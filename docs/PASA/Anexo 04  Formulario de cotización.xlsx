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i unidad\Relicitación Medidores + EMS\Paquete de Licitación\ANEXOS\"/>
    </mc:Choice>
  </mc:AlternateContent>
  <xr:revisionPtr revIDLastSave="0" documentId="13_ncr:1_{2A31B3C4-8E67-47DF-8694-1DEF1D3D10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Parque Arauco Shopping Center" sheetId="2" r:id="rId2"/>
    <sheet name="Parque Arauco Oriente" sheetId="3" r:id="rId3"/>
    <sheet name="Arauco Maipú" sheetId="4" r:id="rId4"/>
    <sheet name="Arauco Estación" sheetId="5" r:id="rId5"/>
    <sheet name="Arauco San Antonio" sheetId="6" r:id="rId6"/>
    <sheet name="Arauco Chillán" sheetId="7" r:id="rId7"/>
    <sheet name="Arauco Coronel" sheetId="8" r:id="rId8"/>
    <sheet name="Parque Angamos" sheetId="29" r:id="rId9"/>
    <sheet name="Parque Chicureo" sheetId="30" r:id="rId10"/>
    <sheet name="Arauco Quilicura" sheetId="31" r:id="rId11"/>
    <sheet name="Arauco El Bosque" sheetId="32" r:id="rId12"/>
    <sheet name="Outlet Buenaventura" sheetId="9" r:id="rId13"/>
    <sheet name=" Outlet Curauma" sheetId="10" r:id="rId14"/>
    <sheet name="Outlet Coquimbo" sheetId="11" r:id="rId15"/>
    <sheet name="Outlet San Pedro    " sheetId="12" r:id="rId16"/>
    <sheet name="AEX Pajaritos" sheetId="18" r:id="rId17"/>
    <sheet name="AEX CE" sheetId="19" r:id="rId18"/>
    <sheet name="AEX El Carmen" sheetId="20" r:id="rId19"/>
    <sheet name="AEX La Reina" sheetId="21" r:id="rId20"/>
    <sheet name="AEX Reñaca" sheetId="22" r:id="rId21"/>
    <sheet name="AEX Manuel Montt" sheetId="23" r:id="rId22"/>
    <sheet name="AEX Calama" sheetId="24" r:id="rId23"/>
    <sheet name="AEX Recoleta" sheetId="25" r:id="rId24"/>
    <sheet name="AEX CE2" sheetId="26" r:id="rId25"/>
    <sheet name="AEX Las Brujas" sheetId="27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3" roundtripDataChecksum="jKXuwLIOlxZXNFYf0XWmIveBcKOKEEJPlcIa+sOKV44="/>
    </ext>
  </extLst>
</workbook>
</file>

<file path=xl/calcChain.xml><?xml version="1.0" encoding="utf-8"?>
<calcChain xmlns="http://schemas.openxmlformats.org/spreadsheetml/2006/main">
  <c r="N26" i="1" l="1"/>
  <c r="M26" i="1"/>
  <c r="L26" i="1"/>
  <c r="I26" i="1"/>
  <c r="H26" i="1"/>
  <c r="G26" i="1"/>
  <c r="F26" i="1"/>
  <c r="E26" i="1"/>
  <c r="D26" i="1"/>
  <c r="N25" i="1"/>
  <c r="M25" i="1"/>
  <c r="L25" i="1"/>
  <c r="I25" i="1"/>
  <c r="H25" i="1"/>
  <c r="G25" i="1"/>
  <c r="F25" i="1"/>
  <c r="E25" i="1"/>
  <c r="D25" i="1"/>
  <c r="N24" i="1"/>
  <c r="M24" i="1"/>
  <c r="L24" i="1"/>
  <c r="I24" i="1"/>
  <c r="H24" i="1"/>
  <c r="G24" i="1"/>
  <c r="F24" i="1"/>
  <c r="E24" i="1"/>
  <c r="D24" i="1"/>
  <c r="D40" i="32"/>
  <c r="D39" i="32"/>
  <c r="J35" i="32"/>
  <c r="J33" i="32"/>
  <c r="J32" i="32"/>
  <c r="J29" i="32"/>
  <c r="J28" i="32"/>
  <c r="J27" i="32"/>
  <c r="J26" i="32"/>
  <c r="J23" i="32"/>
  <c r="J22" i="32"/>
  <c r="J21" i="32"/>
  <c r="J20" i="32"/>
  <c r="J19" i="32"/>
  <c r="J18" i="32"/>
  <c r="J16" i="32"/>
  <c r="J15" i="32"/>
  <c r="J14" i="32"/>
  <c r="J13" i="32"/>
  <c r="J10" i="32"/>
  <c r="J9" i="32"/>
  <c r="J8" i="32"/>
  <c r="J7" i="32"/>
  <c r="J6" i="32"/>
  <c r="D40" i="31"/>
  <c r="D39" i="31"/>
  <c r="J36" i="31"/>
  <c r="J35" i="31"/>
  <c r="J32" i="31"/>
  <c r="J29" i="31"/>
  <c r="J28" i="31"/>
  <c r="J27" i="31"/>
  <c r="J26" i="31"/>
  <c r="J23" i="31"/>
  <c r="J22" i="31"/>
  <c r="J21" i="31"/>
  <c r="J20" i="31"/>
  <c r="J19" i="31"/>
  <c r="J18" i="31"/>
  <c r="J15" i="31"/>
  <c r="J14" i="31"/>
  <c r="J13" i="31"/>
  <c r="J10" i="31"/>
  <c r="J9" i="31"/>
  <c r="J8" i="31"/>
  <c r="J7" i="31"/>
  <c r="J6" i="31"/>
  <c r="D40" i="30"/>
  <c r="D39" i="30"/>
  <c r="J36" i="30"/>
  <c r="J35" i="30"/>
  <c r="J33" i="30"/>
  <c r="J32" i="30"/>
  <c r="J29" i="30"/>
  <c r="J28" i="30"/>
  <c r="J27" i="30"/>
  <c r="J26" i="30"/>
  <c r="J23" i="30"/>
  <c r="J22" i="30"/>
  <c r="J21" i="30"/>
  <c r="J20" i="30"/>
  <c r="J19" i="30"/>
  <c r="J18" i="30"/>
  <c r="J16" i="30"/>
  <c r="J15" i="30"/>
  <c r="J14" i="30"/>
  <c r="J13" i="30"/>
  <c r="J10" i="30"/>
  <c r="J9" i="30"/>
  <c r="J8" i="30"/>
  <c r="J7" i="30"/>
  <c r="J6" i="30"/>
  <c r="F29" i="1"/>
  <c r="N23" i="1"/>
  <c r="M23" i="1"/>
  <c r="L23" i="1"/>
  <c r="I23" i="1"/>
  <c r="H23" i="1"/>
  <c r="G23" i="1"/>
  <c r="F23" i="1"/>
  <c r="E23" i="1"/>
  <c r="D23" i="1"/>
  <c r="D40" i="29"/>
  <c r="D39" i="29"/>
  <c r="J35" i="29"/>
  <c r="J36" i="29" s="1"/>
  <c r="D48" i="29" s="1"/>
  <c r="J32" i="29"/>
  <c r="J33" i="29" s="1"/>
  <c r="D47" i="29" s="1"/>
  <c r="J29" i="29"/>
  <c r="J28" i="29"/>
  <c r="J27" i="29"/>
  <c r="J26" i="29"/>
  <c r="J30" i="29" s="1"/>
  <c r="D46" i="29" s="1"/>
  <c r="J23" i="29"/>
  <c r="J22" i="29"/>
  <c r="J21" i="29"/>
  <c r="J20" i="29"/>
  <c r="J19" i="29"/>
  <c r="J18" i="29"/>
  <c r="J24" i="29" s="1"/>
  <c r="D45" i="29" s="1"/>
  <c r="J15" i="29"/>
  <c r="J16" i="29" s="1"/>
  <c r="D44" i="29" s="1"/>
  <c r="J14" i="29"/>
  <c r="J13" i="29"/>
  <c r="J10" i="29"/>
  <c r="J9" i="29"/>
  <c r="J8" i="29"/>
  <c r="J7" i="29"/>
  <c r="J6" i="29"/>
  <c r="J11" i="29" s="1"/>
  <c r="D43" i="29" s="1"/>
  <c r="D40" i="27"/>
  <c r="N40" i="1" s="1"/>
  <c r="D39" i="27"/>
  <c r="J36" i="27"/>
  <c r="D48" i="27" s="1"/>
  <c r="I40" i="1" s="1"/>
  <c r="J35" i="27"/>
  <c r="J33" i="27"/>
  <c r="D47" i="27" s="1"/>
  <c r="J32" i="27"/>
  <c r="J29" i="27"/>
  <c r="J28" i="27"/>
  <c r="J27" i="27"/>
  <c r="J30" i="27" s="1"/>
  <c r="D46" i="27" s="1"/>
  <c r="J26" i="27"/>
  <c r="J23" i="27"/>
  <c r="J22" i="27"/>
  <c r="J21" i="27"/>
  <c r="J20" i="27"/>
  <c r="J19" i="27"/>
  <c r="J18" i="27"/>
  <c r="J24" i="27" s="1"/>
  <c r="D45" i="27" s="1"/>
  <c r="F40" i="1" s="1"/>
  <c r="J15" i="27"/>
  <c r="J14" i="27"/>
  <c r="J13" i="27"/>
  <c r="J16" i="27" s="1"/>
  <c r="D44" i="27" s="1"/>
  <c r="E40" i="1" s="1"/>
  <c r="J10" i="27"/>
  <c r="J9" i="27"/>
  <c r="J8" i="27"/>
  <c r="J7" i="27"/>
  <c r="J11" i="27" s="1"/>
  <c r="D43" i="27" s="1"/>
  <c r="J6" i="27"/>
  <c r="D40" i="26"/>
  <c r="D39" i="26"/>
  <c r="J35" i="26"/>
  <c r="J36" i="26" s="1"/>
  <c r="D48" i="26" s="1"/>
  <c r="J33" i="26"/>
  <c r="D47" i="26" s="1"/>
  <c r="J32" i="26"/>
  <c r="J29" i="26"/>
  <c r="J28" i="26"/>
  <c r="J27" i="26"/>
  <c r="J30" i="26" s="1"/>
  <c r="D46" i="26" s="1"/>
  <c r="G39" i="1" s="1"/>
  <c r="J26" i="26"/>
  <c r="J24" i="26"/>
  <c r="D45" i="26" s="1"/>
  <c r="J23" i="26"/>
  <c r="J22" i="26"/>
  <c r="J21" i="26"/>
  <c r="J20" i="26"/>
  <c r="J19" i="26"/>
  <c r="J18" i="26"/>
  <c r="J15" i="26"/>
  <c r="J14" i="26"/>
  <c r="J13" i="26"/>
  <c r="J10" i="26"/>
  <c r="J9" i="26"/>
  <c r="J8" i="26"/>
  <c r="J7" i="26"/>
  <c r="J6" i="26"/>
  <c r="J11" i="26" s="1"/>
  <c r="D43" i="26" s="1"/>
  <c r="D40" i="25"/>
  <c r="N38" i="1" s="1"/>
  <c r="D39" i="25"/>
  <c r="J35" i="25"/>
  <c r="J36" i="25" s="1"/>
  <c r="D48" i="25" s="1"/>
  <c r="I38" i="1" s="1"/>
  <c r="J33" i="25"/>
  <c r="D47" i="25" s="1"/>
  <c r="J32" i="25"/>
  <c r="J29" i="25"/>
  <c r="J28" i="25"/>
  <c r="J27" i="25"/>
  <c r="J26" i="25"/>
  <c r="J30" i="25" s="1"/>
  <c r="D46" i="25" s="1"/>
  <c r="J23" i="25"/>
  <c r="J22" i="25"/>
  <c r="J21" i="25"/>
  <c r="J20" i="25"/>
  <c r="J19" i="25"/>
  <c r="J18" i="25"/>
  <c r="J24" i="25" s="1"/>
  <c r="D45" i="25" s="1"/>
  <c r="F38" i="1" s="1"/>
  <c r="J15" i="25"/>
  <c r="J14" i="25"/>
  <c r="J13" i="25"/>
  <c r="J16" i="25" s="1"/>
  <c r="D44" i="25" s="1"/>
  <c r="E38" i="1" s="1"/>
  <c r="J10" i="25"/>
  <c r="J9" i="25"/>
  <c r="J8" i="25"/>
  <c r="J7" i="25"/>
  <c r="J6" i="25"/>
  <c r="J11" i="25" s="1"/>
  <c r="D43" i="25" s="1"/>
  <c r="D40" i="24"/>
  <c r="D39" i="24"/>
  <c r="J35" i="24"/>
  <c r="J36" i="24" s="1"/>
  <c r="D48" i="24" s="1"/>
  <c r="J33" i="24"/>
  <c r="D47" i="24" s="1"/>
  <c r="J32" i="24"/>
  <c r="J29" i="24"/>
  <c r="J28" i="24"/>
  <c r="J27" i="24"/>
  <c r="J26" i="24"/>
  <c r="J30" i="24" s="1"/>
  <c r="D46" i="24" s="1"/>
  <c r="G37" i="1" s="1"/>
  <c r="J24" i="24"/>
  <c r="D45" i="24" s="1"/>
  <c r="J23" i="24"/>
  <c r="J22" i="24"/>
  <c r="J21" i="24"/>
  <c r="J20" i="24"/>
  <c r="J19" i="24"/>
  <c r="J18" i="24"/>
  <c r="J15" i="24"/>
  <c r="J14" i="24"/>
  <c r="J13" i="24"/>
  <c r="J16" i="24" s="1"/>
  <c r="D44" i="24" s="1"/>
  <c r="J10" i="24"/>
  <c r="J9" i="24"/>
  <c r="J8" i="24"/>
  <c r="J7" i="24"/>
  <c r="J6" i="24"/>
  <c r="J11" i="24" s="1"/>
  <c r="D43" i="24" s="1"/>
  <c r="D40" i="23"/>
  <c r="N36" i="1" s="1"/>
  <c r="D39" i="23"/>
  <c r="J35" i="23"/>
  <c r="J36" i="23" s="1"/>
  <c r="D48" i="23" s="1"/>
  <c r="J33" i="23"/>
  <c r="D47" i="23" s="1"/>
  <c r="J32" i="23"/>
  <c r="J29" i="23"/>
  <c r="J28" i="23"/>
  <c r="J27" i="23"/>
  <c r="J26" i="23"/>
  <c r="J30" i="23" s="1"/>
  <c r="D46" i="23" s="1"/>
  <c r="J23" i="23"/>
  <c r="J22" i="23"/>
  <c r="J21" i="23"/>
  <c r="J20" i="23"/>
  <c r="J19" i="23"/>
  <c r="J18" i="23"/>
  <c r="J24" i="23" s="1"/>
  <c r="D45" i="23" s="1"/>
  <c r="F36" i="1" s="1"/>
  <c r="J15" i="23"/>
  <c r="J14" i="23"/>
  <c r="J13" i="23"/>
  <c r="J16" i="23" s="1"/>
  <c r="D44" i="23" s="1"/>
  <c r="J10" i="23"/>
  <c r="J9" i="23"/>
  <c r="J8" i="23"/>
  <c r="J7" i="23"/>
  <c r="J6" i="23"/>
  <c r="J11" i="23" s="1"/>
  <c r="D43" i="23" s="1"/>
  <c r="D40" i="22"/>
  <c r="D39" i="22"/>
  <c r="J35" i="22"/>
  <c r="J36" i="22" s="1"/>
  <c r="D48" i="22" s="1"/>
  <c r="J33" i="22"/>
  <c r="D47" i="22" s="1"/>
  <c r="J32" i="22"/>
  <c r="J29" i="22"/>
  <c r="J28" i="22"/>
  <c r="J27" i="22"/>
  <c r="J26" i="22"/>
  <c r="J30" i="22" s="1"/>
  <c r="D46" i="22" s="1"/>
  <c r="G35" i="1" s="1"/>
  <c r="J24" i="22"/>
  <c r="D45" i="22" s="1"/>
  <c r="J23" i="22"/>
  <c r="J22" i="22"/>
  <c r="J21" i="22"/>
  <c r="J20" i="22"/>
  <c r="J19" i="22"/>
  <c r="J18" i="22"/>
  <c r="J15" i="22"/>
  <c r="J14" i="22"/>
  <c r="J13" i="22"/>
  <c r="J16" i="22" s="1"/>
  <c r="D44" i="22" s="1"/>
  <c r="J10" i="22"/>
  <c r="J9" i="22"/>
  <c r="J8" i="22"/>
  <c r="J7" i="22"/>
  <c r="J6" i="22"/>
  <c r="J11" i="22" s="1"/>
  <c r="D43" i="22" s="1"/>
  <c r="D40" i="21"/>
  <c r="D39" i="21"/>
  <c r="J35" i="21"/>
  <c r="J36" i="21" s="1"/>
  <c r="D48" i="21" s="1"/>
  <c r="J33" i="21"/>
  <c r="D47" i="21" s="1"/>
  <c r="J32" i="21"/>
  <c r="J29" i="21"/>
  <c r="J28" i="21"/>
  <c r="J27" i="21"/>
  <c r="J26" i="21"/>
  <c r="J30" i="21" s="1"/>
  <c r="D46" i="21" s="1"/>
  <c r="J23" i="21"/>
  <c r="J22" i="21"/>
  <c r="J21" i="21"/>
  <c r="J20" i="21"/>
  <c r="J19" i="21"/>
  <c r="J18" i="21"/>
  <c r="J24" i="21" s="1"/>
  <c r="D45" i="21" s="1"/>
  <c r="F34" i="1" s="1"/>
  <c r="J15" i="21"/>
  <c r="J14" i="21"/>
  <c r="J13" i="21"/>
  <c r="J16" i="21" s="1"/>
  <c r="D44" i="21" s="1"/>
  <c r="J10" i="21"/>
  <c r="J9" i="21"/>
  <c r="J8" i="21"/>
  <c r="J7" i="21"/>
  <c r="J6" i="21"/>
  <c r="J11" i="21" s="1"/>
  <c r="D43" i="21" s="1"/>
  <c r="D40" i="20"/>
  <c r="D39" i="20"/>
  <c r="J35" i="20"/>
  <c r="J36" i="20" s="1"/>
  <c r="D48" i="20" s="1"/>
  <c r="J33" i="20"/>
  <c r="D47" i="20" s="1"/>
  <c r="J32" i="20"/>
  <c r="J29" i="20"/>
  <c r="J28" i="20"/>
  <c r="J27" i="20"/>
  <c r="J26" i="20"/>
  <c r="J30" i="20" s="1"/>
  <c r="D46" i="20" s="1"/>
  <c r="G33" i="1" s="1"/>
  <c r="J24" i="20"/>
  <c r="D45" i="20" s="1"/>
  <c r="J23" i="20"/>
  <c r="J22" i="20"/>
  <c r="J21" i="20"/>
  <c r="J20" i="20"/>
  <c r="J19" i="20"/>
  <c r="J18" i="20"/>
  <c r="J15" i="20"/>
  <c r="J14" i="20"/>
  <c r="J13" i="20"/>
  <c r="J10" i="20"/>
  <c r="J9" i="20"/>
  <c r="J8" i="20"/>
  <c r="J7" i="20"/>
  <c r="J6" i="20"/>
  <c r="J11" i="20" s="1"/>
  <c r="D43" i="20" s="1"/>
  <c r="D40" i="19"/>
  <c r="D39" i="19"/>
  <c r="J36" i="19"/>
  <c r="D48" i="19" s="1"/>
  <c r="J35" i="19"/>
  <c r="J33" i="19"/>
  <c r="D47" i="19" s="1"/>
  <c r="J32" i="19"/>
  <c r="J29" i="19"/>
  <c r="J28" i="19"/>
  <c r="J27" i="19"/>
  <c r="J26" i="19"/>
  <c r="J23" i="19"/>
  <c r="J22" i="19"/>
  <c r="J21" i="19"/>
  <c r="J20" i="19"/>
  <c r="J19" i="19"/>
  <c r="J18" i="19"/>
  <c r="J24" i="19" s="1"/>
  <c r="D45" i="19" s="1"/>
  <c r="J15" i="19"/>
  <c r="J14" i="19"/>
  <c r="J16" i="19" s="1"/>
  <c r="D44" i="19" s="1"/>
  <c r="J13" i="19"/>
  <c r="J10" i="19"/>
  <c r="J9" i="19"/>
  <c r="J8" i="19"/>
  <c r="J7" i="19"/>
  <c r="J6" i="19"/>
  <c r="D46" i="18"/>
  <c r="D40" i="18"/>
  <c r="D39" i="18"/>
  <c r="J35" i="18"/>
  <c r="J36" i="18" s="1"/>
  <c r="D48" i="18" s="1"/>
  <c r="J33" i="18"/>
  <c r="D47" i="18" s="1"/>
  <c r="J32" i="18"/>
  <c r="J29" i="18"/>
  <c r="J28" i="18"/>
  <c r="J27" i="18"/>
  <c r="J26" i="18"/>
  <c r="J30" i="18" s="1"/>
  <c r="J24" i="18"/>
  <c r="D45" i="18" s="1"/>
  <c r="J23" i="18"/>
  <c r="J22" i="18"/>
  <c r="J21" i="18"/>
  <c r="J20" i="18"/>
  <c r="J19" i="18"/>
  <c r="J18" i="18"/>
  <c r="J15" i="18"/>
  <c r="J14" i="18"/>
  <c r="J16" i="18" s="1"/>
  <c r="D44" i="18" s="1"/>
  <c r="J13" i="18"/>
  <c r="J10" i="18"/>
  <c r="J9" i="18"/>
  <c r="J8" i="18"/>
  <c r="J7" i="18"/>
  <c r="J6" i="18"/>
  <c r="J11" i="18" s="1"/>
  <c r="D43" i="18" s="1"/>
  <c r="D46" i="12"/>
  <c r="D40" i="12"/>
  <c r="D39" i="12"/>
  <c r="J35" i="12"/>
  <c r="J36" i="12" s="1"/>
  <c r="D48" i="12" s="1"/>
  <c r="J33" i="12"/>
  <c r="D47" i="12" s="1"/>
  <c r="H30" i="1" s="1"/>
  <c r="J32" i="12"/>
  <c r="J29" i="12"/>
  <c r="J28" i="12"/>
  <c r="J27" i="12"/>
  <c r="J26" i="12"/>
  <c r="J30" i="12" s="1"/>
  <c r="J24" i="12"/>
  <c r="D45" i="12" s="1"/>
  <c r="J23" i="12"/>
  <c r="J22" i="12"/>
  <c r="J21" i="12"/>
  <c r="J20" i="12"/>
  <c r="J19" i="12"/>
  <c r="J18" i="12"/>
  <c r="J15" i="12"/>
  <c r="J14" i="12"/>
  <c r="J16" i="12" s="1"/>
  <c r="D44" i="12" s="1"/>
  <c r="J13" i="12"/>
  <c r="J10" i="12"/>
  <c r="J9" i="12"/>
  <c r="J8" i="12"/>
  <c r="J7" i="12"/>
  <c r="J6" i="12"/>
  <c r="J11" i="12" s="1"/>
  <c r="D43" i="12" s="1"/>
  <c r="D40" i="11"/>
  <c r="D39" i="11"/>
  <c r="J35" i="11"/>
  <c r="J36" i="11" s="1"/>
  <c r="D48" i="11" s="1"/>
  <c r="J33" i="11"/>
  <c r="D47" i="11" s="1"/>
  <c r="J32" i="11"/>
  <c r="J29" i="11"/>
  <c r="J28" i="11"/>
  <c r="J30" i="11" s="1"/>
  <c r="D46" i="11" s="1"/>
  <c r="J27" i="11"/>
  <c r="J26" i="11"/>
  <c r="J23" i="11"/>
  <c r="J22" i="11"/>
  <c r="J21" i="11"/>
  <c r="J20" i="11"/>
  <c r="J19" i="11"/>
  <c r="J18" i="11"/>
  <c r="J15" i="11"/>
  <c r="J14" i="11"/>
  <c r="J13" i="11"/>
  <c r="J10" i="11"/>
  <c r="J9" i="11"/>
  <c r="J8" i="11"/>
  <c r="J7" i="11"/>
  <c r="J6" i="11"/>
  <c r="D40" i="10"/>
  <c r="D39" i="10"/>
  <c r="M28" i="1" s="1"/>
  <c r="J35" i="10"/>
  <c r="J36" i="10" s="1"/>
  <c r="D48" i="10" s="1"/>
  <c r="J33" i="10"/>
  <c r="D47" i="10" s="1"/>
  <c r="H28" i="1" s="1"/>
  <c r="J32" i="10"/>
  <c r="J29" i="10"/>
  <c r="J28" i="10"/>
  <c r="J27" i="10"/>
  <c r="J26" i="10"/>
  <c r="J24" i="10"/>
  <c r="D45" i="10" s="1"/>
  <c r="F28" i="1" s="1"/>
  <c r="J23" i="10"/>
  <c r="J22" i="10"/>
  <c r="J21" i="10"/>
  <c r="J20" i="10"/>
  <c r="J19" i="10"/>
  <c r="J18" i="10"/>
  <c r="J15" i="10"/>
  <c r="J14" i="10"/>
  <c r="J16" i="10" s="1"/>
  <c r="D44" i="10" s="1"/>
  <c r="J13" i="10"/>
  <c r="J10" i="10"/>
  <c r="J9" i="10"/>
  <c r="J8" i="10"/>
  <c r="J7" i="10"/>
  <c r="J6" i="10"/>
  <c r="J11" i="10" s="1"/>
  <c r="D43" i="10" s="1"/>
  <c r="D40" i="9"/>
  <c r="D39" i="9"/>
  <c r="J35" i="9"/>
  <c r="J36" i="9" s="1"/>
  <c r="D48" i="9" s="1"/>
  <c r="J33" i="9"/>
  <c r="D47" i="9" s="1"/>
  <c r="J32" i="9"/>
  <c r="J29" i="9"/>
  <c r="J28" i="9"/>
  <c r="J27" i="9"/>
  <c r="J26" i="9"/>
  <c r="J23" i="9"/>
  <c r="J22" i="9"/>
  <c r="J21" i="9"/>
  <c r="J20" i="9"/>
  <c r="J19" i="9"/>
  <c r="J18" i="9"/>
  <c r="J15" i="9"/>
  <c r="J14" i="9"/>
  <c r="J13" i="9"/>
  <c r="J10" i="9"/>
  <c r="J9" i="9"/>
  <c r="J8" i="9"/>
  <c r="J7" i="9"/>
  <c r="J6" i="9"/>
  <c r="D40" i="8"/>
  <c r="D39" i="8"/>
  <c r="M22" i="1" s="1"/>
  <c r="J35" i="8"/>
  <c r="J36" i="8" s="1"/>
  <c r="D48" i="8" s="1"/>
  <c r="J33" i="8"/>
  <c r="D47" i="8" s="1"/>
  <c r="J32" i="8"/>
  <c r="J29" i="8"/>
  <c r="J28" i="8"/>
  <c r="J27" i="8"/>
  <c r="J26" i="8"/>
  <c r="J24" i="8"/>
  <c r="D45" i="8" s="1"/>
  <c r="J23" i="8"/>
  <c r="J22" i="8"/>
  <c r="J21" i="8"/>
  <c r="J20" i="8"/>
  <c r="J19" i="8"/>
  <c r="J18" i="8"/>
  <c r="J15" i="8"/>
  <c r="J14" i="8"/>
  <c r="J16" i="8" s="1"/>
  <c r="D44" i="8" s="1"/>
  <c r="J13" i="8"/>
  <c r="J10" i="8"/>
  <c r="J9" i="8"/>
  <c r="J8" i="8"/>
  <c r="J7" i="8"/>
  <c r="J6" i="8"/>
  <c r="J11" i="8" s="1"/>
  <c r="D43" i="8" s="1"/>
  <c r="D22" i="1" s="1"/>
  <c r="D40" i="7"/>
  <c r="N21" i="1" s="1"/>
  <c r="D39" i="7"/>
  <c r="J35" i="7"/>
  <c r="J36" i="7" s="1"/>
  <c r="D48" i="7" s="1"/>
  <c r="J33" i="7"/>
  <c r="D47" i="7" s="1"/>
  <c r="H21" i="1" s="1"/>
  <c r="J32" i="7"/>
  <c r="J29" i="7"/>
  <c r="J28" i="7"/>
  <c r="J30" i="7" s="1"/>
  <c r="D46" i="7" s="1"/>
  <c r="G21" i="1" s="1"/>
  <c r="J27" i="7"/>
  <c r="J26" i="7"/>
  <c r="J23" i="7"/>
  <c r="J22" i="7"/>
  <c r="J21" i="7"/>
  <c r="J20" i="7"/>
  <c r="J19" i="7"/>
  <c r="J18" i="7"/>
  <c r="J15" i="7"/>
  <c r="J14" i="7"/>
  <c r="J13" i="7"/>
  <c r="J10" i="7"/>
  <c r="J9" i="7"/>
  <c r="J8" i="7"/>
  <c r="J7" i="7"/>
  <c r="J6" i="7"/>
  <c r="J11" i="7" s="1"/>
  <c r="D43" i="7" s="1"/>
  <c r="D21" i="1" s="1"/>
  <c r="D40" i="6"/>
  <c r="D39" i="6"/>
  <c r="M20" i="1" s="1"/>
  <c r="J35" i="6"/>
  <c r="J36" i="6" s="1"/>
  <c r="D48" i="6" s="1"/>
  <c r="J33" i="6"/>
  <c r="D47" i="6" s="1"/>
  <c r="J32" i="6"/>
  <c r="J29" i="6"/>
  <c r="J28" i="6"/>
  <c r="J27" i="6"/>
  <c r="J26" i="6"/>
  <c r="J24" i="6"/>
  <c r="D45" i="6" s="1"/>
  <c r="F20" i="1" s="1"/>
  <c r="J23" i="6"/>
  <c r="J22" i="6"/>
  <c r="J21" i="6"/>
  <c r="J20" i="6"/>
  <c r="J19" i="6"/>
  <c r="J18" i="6"/>
  <c r="J15" i="6"/>
  <c r="J14" i="6"/>
  <c r="J16" i="6" s="1"/>
  <c r="D44" i="6" s="1"/>
  <c r="E20" i="1" s="1"/>
  <c r="J13" i="6"/>
  <c r="J10" i="6"/>
  <c r="J9" i="6"/>
  <c r="J8" i="6"/>
  <c r="J7" i="6"/>
  <c r="J6" i="6"/>
  <c r="D40" i="5"/>
  <c r="D39" i="5"/>
  <c r="J35" i="5"/>
  <c r="J36" i="5" s="1"/>
  <c r="D48" i="5" s="1"/>
  <c r="I19" i="1" s="1"/>
  <c r="J33" i="5"/>
  <c r="D47" i="5" s="1"/>
  <c r="J32" i="5"/>
  <c r="J29" i="5"/>
  <c r="J28" i="5"/>
  <c r="J30" i="5" s="1"/>
  <c r="D46" i="5" s="1"/>
  <c r="J27" i="5"/>
  <c r="J26" i="5"/>
  <c r="J23" i="5"/>
  <c r="J22" i="5"/>
  <c r="J21" i="5"/>
  <c r="J20" i="5"/>
  <c r="J19" i="5"/>
  <c r="J18" i="5"/>
  <c r="J15" i="5"/>
  <c r="J14" i="5"/>
  <c r="J13" i="5"/>
  <c r="J10" i="5"/>
  <c r="J9" i="5"/>
  <c r="J8" i="5"/>
  <c r="J7" i="5"/>
  <c r="J6" i="5"/>
  <c r="D40" i="4"/>
  <c r="D39" i="4"/>
  <c r="J35" i="4"/>
  <c r="J36" i="4" s="1"/>
  <c r="D48" i="4" s="1"/>
  <c r="J33" i="4"/>
  <c r="D47" i="4" s="1"/>
  <c r="J32" i="4"/>
  <c r="J29" i="4"/>
  <c r="J28" i="4"/>
  <c r="J27" i="4"/>
  <c r="J26" i="4"/>
  <c r="J30" i="4" s="1"/>
  <c r="D46" i="4" s="1"/>
  <c r="G18" i="1" s="1"/>
  <c r="J23" i="4"/>
  <c r="J24" i="4" s="1"/>
  <c r="D45" i="4" s="1"/>
  <c r="F18" i="1" s="1"/>
  <c r="J22" i="4"/>
  <c r="J21" i="4"/>
  <c r="J20" i="4"/>
  <c r="J19" i="4"/>
  <c r="J18" i="4"/>
  <c r="J15" i="4"/>
  <c r="J14" i="4"/>
  <c r="J13" i="4"/>
  <c r="J10" i="4"/>
  <c r="J9" i="4"/>
  <c r="J8" i="4"/>
  <c r="J7" i="4"/>
  <c r="J6" i="4"/>
  <c r="D44" i="3"/>
  <c r="E17" i="1" s="1"/>
  <c r="D40" i="3"/>
  <c r="D39" i="3"/>
  <c r="J35" i="3"/>
  <c r="J36" i="3" s="1"/>
  <c r="D48" i="3" s="1"/>
  <c r="J33" i="3"/>
  <c r="D47" i="3" s="1"/>
  <c r="J32" i="3"/>
  <c r="J29" i="3"/>
  <c r="J28" i="3"/>
  <c r="J27" i="3"/>
  <c r="J26" i="3"/>
  <c r="J23" i="3"/>
  <c r="J22" i="3"/>
  <c r="J21" i="3"/>
  <c r="J20" i="3"/>
  <c r="J19" i="3"/>
  <c r="J18" i="3"/>
  <c r="J15" i="3"/>
  <c r="J14" i="3"/>
  <c r="J13" i="3"/>
  <c r="J16" i="3" s="1"/>
  <c r="J10" i="3"/>
  <c r="J9" i="3"/>
  <c r="J8" i="3"/>
  <c r="J7" i="3"/>
  <c r="J6" i="3"/>
  <c r="D40" i="2"/>
  <c r="D39" i="2"/>
  <c r="J35" i="2"/>
  <c r="J36" i="2" s="1"/>
  <c r="D48" i="2" s="1"/>
  <c r="I16" i="1" s="1"/>
  <c r="J33" i="2"/>
  <c r="D47" i="2" s="1"/>
  <c r="H16" i="1" s="1"/>
  <c r="J32" i="2"/>
  <c r="J29" i="2"/>
  <c r="J28" i="2"/>
  <c r="J27" i="2"/>
  <c r="J26" i="2"/>
  <c r="J24" i="2"/>
  <c r="D45" i="2" s="1"/>
  <c r="J23" i="2"/>
  <c r="J22" i="2"/>
  <c r="J21" i="2"/>
  <c r="J20" i="2"/>
  <c r="J19" i="2"/>
  <c r="J18" i="2"/>
  <c r="J15" i="2"/>
  <c r="J14" i="2"/>
  <c r="J16" i="2" s="1"/>
  <c r="D44" i="2" s="1"/>
  <c r="J13" i="2"/>
  <c r="J10" i="2"/>
  <c r="J9" i="2"/>
  <c r="J8" i="2"/>
  <c r="J7" i="2"/>
  <c r="J6" i="2"/>
  <c r="J11" i="2" s="1"/>
  <c r="D43" i="2" s="1"/>
  <c r="M40" i="1"/>
  <c r="H40" i="1"/>
  <c r="G40" i="1"/>
  <c r="D40" i="1"/>
  <c r="N39" i="1"/>
  <c r="M39" i="1"/>
  <c r="I39" i="1"/>
  <c r="H39" i="1"/>
  <c r="F39" i="1"/>
  <c r="D39" i="1"/>
  <c r="M38" i="1"/>
  <c r="H38" i="1"/>
  <c r="G38" i="1"/>
  <c r="N37" i="1"/>
  <c r="M37" i="1"/>
  <c r="I37" i="1"/>
  <c r="H37" i="1"/>
  <c r="F37" i="1"/>
  <c r="E37" i="1"/>
  <c r="D37" i="1"/>
  <c r="M36" i="1"/>
  <c r="I36" i="1"/>
  <c r="H36" i="1"/>
  <c r="G36" i="1"/>
  <c r="E36" i="1"/>
  <c r="N35" i="1"/>
  <c r="M35" i="1"/>
  <c r="I35" i="1"/>
  <c r="H35" i="1"/>
  <c r="F35" i="1"/>
  <c r="E35" i="1"/>
  <c r="D35" i="1"/>
  <c r="N34" i="1"/>
  <c r="M34" i="1"/>
  <c r="I34" i="1"/>
  <c r="H34" i="1"/>
  <c r="G34" i="1"/>
  <c r="E34" i="1"/>
  <c r="N33" i="1"/>
  <c r="M33" i="1"/>
  <c r="I33" i="1"/>
  <c r="H33" i="1"/>
  <c r="F33" i="1"/>
  <c r="D33" i="1"/>
  <c r="N32" i="1"/>
  <c r="M32" i="1"/>
  <c r="I32" i="1"/>
  <c r="H32" i="1"/>
  <c r="F32" i="1"/>
  <c r="E32" i="1"/>
  <c r="N31" i="1"/>
  <c r="M31" i="1"/>
  <c r="I31" i="1"/>
  <c r="H31" i="1"/>
  <c r="G31" i="1"/>
  <c r="F31" i="1"/>
  <c r="E31" i="1"/>
  <c r="D31" i="1"/>
  <c r="J31" i="1" s="1"/>
  <c r="N30" i="1"/>
  <c r="M30" i="1"/>
  <c r="I30" i="1"/>
  <c r="G30" i="1"/>
  <c r="J30" i="1" s="1"/>
  <c r="F30" i="1"/>
  <c r="E30" i="1"/>
  <c r="D30" i="1"/>
  <c r="N29" i="1"/>
  <c r="M29" i="1"/>
  <c r="I29" i="1"/>
  <c r="H29" i="1"/>
  <c r="G29" i="1"/>
  <c r="N28" i="1"/>
  <c r="I28" i="1"/>
  <c r="D28" i="1"/>
  <c r="N27" i="1"/>
  <c r="M27" i="1"/>
  <c r="I27" i="1"/>
  <c r="H27" i="1"/>
  <c r="N22" i="1"/>
  <c r="I22" i="1"/>
  <c r="H22" i="1"/>
  <c r="F22" i="1"/>
  <c r="E22" i="1"/>
  <c r="M21" i="1"/>
  <c r="I21" i="1"/>
  <c r="N20" i="1"/>
  <c r="I20" i="1"/>
  <c r="H20" i="1"/>
  <c r="N19" i="1"/>
  <c r="M19" i="1"/>
  <c r="H19" i="1"/>
  <c r="G19" i="1"/>
  <c r="N18" i="1"/>
  <c r="M18" i="1"/>
  <c r="I18" i="1"/>
  <c r="H18" i="1"/>
  <c r="N17" i="1"/>
  <c r="M17" i="1"/>
  <c r="I17" i="1"/>
  <c r="H17" i="1"/>
  <c r="N16" i="1"/>
  <c r="M16" i="1"/>
  <c r="D16" i="1"/>
  <c r="C11" i="1" l="1"/>
  <c r="C10" i="1"/>
  <c r="J26" i="1"/>
  <c r="J25" i="1"/>
  <c r="E10" i="1"/>
  <c r="J24" i="1"/>
  <c r="J36" i="32"/>
  <c r="D48" i="32" s="1"/>
  <c r="J11" i="32"/>
  <c r="D43" i="32" s="1"/>
  <c r="D47" i="32"/>
  <c r="D44" i="32"/>
  <c r="J30" i="32"/>
  <c r="D46" i="32" s="1"/>
  <c r="J24" i="32"/>
  <c r="D45" i="32" s="1"/>
  <c r="J33" i="31"/>
  <c r="D47" i="31" s="1"/>
  <c r="D48" i="31"/>
  <c r="J30" i="31"/>
  <c r="D46" i="31" s="1"/>
  <c r="J16" i="31"/>
  <c r="D44" i="31" s="1"/>
  <c r="J11" i="31"/>
  <c r="D43" i="31" s="1"/>
  <c r="J24" i="31"/>
  <c r="D45" i="31" s="1"/>
  <c r="D44" i="30"/>
  <c r="J11" i="30"/>
  <c r="D43" i="30" s="1"/>
  <c r="D47" i="30"/>
  <c r="D48" i="30"/>
  <c r="J30" i="30"/>
  <c r="D46" i="30" s="1"/>
  <c r="J24" i="30"/>
  <c r="D45" i="30" s="1"/>
  <c r="J37" i="1"/>
  <c r="J35" i="1"/>
  <c r="D11" i="1"/>
  <c r="E11" i="1"/>
  <c r="J23" i="1"/>
  <c r="J40" i="1"/>
  <c r="D49" i="29"/>
  <c r="D38" i="29"/>
  <c r="D49" i="10"/>
  <c r="D10" i="1"/>
  <c r="F16" i="1"/>
  <c r="D38" i="2"/>
  <c r="L16" i="1" s="1"/>
  <c r="J30" i="2"/>
  <c r="D46" i="2" s="1"/>
  <c r="G16" i="1" s="1"/>
  <c r="J11" i="4"/>
  <c r="D43" i="4" s="1"/>
  <c r="J16" i="5"/>
  <c r="D44" i="5" s="1"/>
  <c r="E19" i="1" s="1"/>
  <c r="J24" i="7"/>
  <c r="D45" i="7" s="1"/>
  <c r="F21" i="1" s="1"/>
  <c r="D49" i="8"/>
  <c r="J30" i="10"/>
  <c r="D46" i="10" s="1"/>
  <c r="G28" i="1" s="1"/>
  <c r="J16" i="11"/>
  <c r="D44" i="11" s="1"/>
  <c r="E29" i="1" s="1"/>
  <c r="D49" i="27"/>
  <c r="D38" i="27"/>
  <c r="L40" i="1" s="1"/>
  <c r="D49" i="21"/>
  <c r="D38" i="21"/>
  <c r="L34" i="1" s="1"/>
  <c r="D49" i="23"/>
  <c r="D38" i="23"/>
  <c r="L36" i="1" s="1"/>
  <c r="D49" i="25"/>
  <c r="D38" i="25"/>
  <c r="L38" i="1" s="1"/>
  <c r="E16" i="1"/>
  <c r="E28" i="1"/>
  <c r="J11" i="3"/>
  <c r="D43" i="3" s="1"/>
  <c r="J24" i="9"/>
  <c r="D45" i="9" s="1"/>
  <c r="F27" i="1" s="1"/>
  <c r="J30" i="9"/>
  <c r="D46" i="9" s="1"/>
  <c r="G27" i="1" s="1"/>
  <c r="D38" i="10"/>
  <c r="L28" i="1" s="1"/>
  <c r="D36" i="1"/>
  <c r="J36" i="1" s="1"/>
  <c r="J30" i="6"/>
  <c r="D46" i="6" s="1"/>
  <c r="G20" i="1" s="1"/>
  <c r="D38" i="12"/>
  <c r="L30" i="1" s="1"/>
  <c r="J16" i="20"/>
  <c r="D44" i="20" s="1"/>
  <c r="E33" i="1" s="1"/>
  <c r="J33" i="1" s="1"/>
  <c r="J16" i="26"/>
  <c r="D44" i="26" s="1"/>
  <c r="E39" i="1" s="1"/>
  <c r="J39" i="1" s="1"/>
  <c r="D38" i="1"/>
  <c r="J38" i="1" s="1"/>
  <c r="J24" i="5"/>
  <c r="D45" i="5" s="1"/>
  <c r="F19" i="1" s="1"/>
  <c r="J11" i="6"/>
  <c r="D43" i="6" s="1"/>
  <c r="J16" i="7"/>
  <c r="D44" i="7" s="1"/>
  <c r="E21" i="1" s="1"/>
  <c r="J11" i="9"/>
  <c r="D43" i="9" s="1"/>
  <c r="J24" i="11"/>
  <c r="D45" i="11" s="1"/>
  <c r="D49" i="12"/>
  <c r="D38" i="8"/>
  <c r="L22" i="1" s="1"/>
  <c r="D49" i="18"/>
  <c r="D38" i="18"/>
  <c r="L31" i="1" s="1"/>
  <c r="D34" i="1"/>
  <c r="J34" i="1" s="1"/>
  <c r="J24" i="3"/>
  <c r="D45" i="3" s="1"/>
  <c r="F17" i="1" s="1"/>
  <c r="J30" i="3"/>
  <c r="D46" i="3" s="1"/>
  <c r="G17" i="1" s="1"/>
  <c r="J16" i="4"/>
  <c r="D44" i="4" s="1"/>
  <c r="E18" i="1" s="1"/>
  <c r="J11" i="5"/>
  <c r="D43" i="5" s="1"/>
  <c r="J30" i="8"/>
  <c r="D46" i="8" s="1"/>
  <c r="G22" i="1" s="1"/>
  <c r="J22" i="1" s="1"/>
  <c r="J16" i="9"/>
  <c r="D44" i="9" s="1"/>
  <c r="E27" i="1" s="1"/>
  <c r="J11" i="11"/>
  <c r="D43" i="11" s="1"/>
  <c r="J11" i="19"/>
  <c r="D43" i="19" s="1"/>
  <c r="J30" i="19"/>
  <c r="D46" i="19" s="1"/>
  <c r="G32" i="1" s="1"/>
  <c r="E9" i="1" s="1"/>
  <c r="D49" i="20"/>
  <c r="D38" i="20"/>
  <c r="L33" i="1" s="1"/>
  <c r="D49" i="22"/>
  <c r="D38" i="22"/>
  <c r="L35" i="1" s="1"/>
  <c r="D49" i="24"/>
  <c r="D38" i="24"/>
  <c r="L37" i="1" s="1"/>
  <c r="D49" i="26"/>
  <c r="D38" i="26"/>
  <c r="L39" i="1" s="1"/>
  <c r="C8" i="1" l="1"/>
  <c r="C9" i="1"/>
  <c r="C7" i="1"/>
  <c r="J28" i="1"/>
  <c r="D9" i="1"/>
  <c r="D49" i="32"/>
  <c r="D38" i="32"/>
  <c r="D49" i="31"/>
  <c r="D38" i="31"/>
  <c r="D49" i="30"/>
  <c r="D38" i="30"/>
  <c r="J21" i="1"/>
  <c r="E7" i="1"/>
  <c r="E8" i="1"/>
  <c r="D7" i="1"/>
  <c r="D8" i="1"/>
  <c r="D49" i="19"/>
  <c r="D38" i="19"/>
  <c r="L32" i="1" s="1"/>
  <c r="D32" i="1"/>
  <c r="J32" i="1" s="1"/>
  <c r="D38" i="3"/>
  <c r="L17" i="1" s="1"/>
  <c r="D49" i="3"/>
  <c r="D17" i="1"/>
  <c r="D38" i="5"/>
  <c r="L19" i="1" s="1"/>
  <c r="D19" i="1"/>
  <c r="J19" i="1" s="1"/>
  <c r="D49" i="5"/>
  <c r="D38" i="4"/>
  <c r="L18" i="1" s="1"/>
  <c r="D18" i="1"/>
  <c r="J18" i="1" s="1"/>
  <c r="D49" i="4"/>
  <c r="D38" i="7"/>
  <c r="L21" i="1" s="1"/>
  <c r="J16" i="1"/>
  <c r="D49" i="2"/>
  <c r="D49" i="11"/>
  <c r="D38" i="11"/>
  <c r="L29" i="1" s="1"/>
  <c r="D29" i="1"/>
  <c r="J29" i="1" s="1"/>
  <c r="D38" i="6"/>
  <c r="L20" i="1" s="1"/>
  <c r="D49" i="6"/>
  <c r="D20" i="1"/>
  <c r="J20" i="1" s="1"/>
  <c r="D49" i="7"/>
  <c r="D49" i="9"/>
  <c r="D38" i="9"/>
  <c r="L27" i="1" s="1"/>
  <c r="D27" i="1"/>
  <c r="C6" i="1" l="1"/>
  <c r="E6" i="1"/>
  <c r="J17" i="1"/>
  <c r="J27" i="1"/>
  <c r="D6" i="1"/>
  <c r="D12" i="1" s="1"/>
  <c r="E12" i="1" l="1"/>
  <c r="C12" i="1"/>
</calcChain>
</file>

<file path=xl/sharedStrings.xml><?xml version="1.0" encoding="utf-8"?>
<sst xmlns="http://schemas.openxmlformats.org/spreadsheetml/2006/main" count="2749" uniqueCount="139">
  <si>
    <t>FORMATO DE OFERTA ECONOMICA LICITACIÓN MEDIDORES + EMS CHILE</t>
  </si>
  <si>
    <t>Resumen Global</t>
  </si>
  <si>
    <t>Malls</t>
  </si>
  <si>
    <t>Outlets</t>
  </si>
  <si>
    <t>StripCenters</t>
  </si>
  <si>
    <t>CAPEX: NIVEL 1 - EQUIPOS DE MEDICIÓN EN CAMPO</t>
  </si>
  <si>
    <t xml:space="preserve">CAPEX: NIVEL 2 - SISTEMAS DE CONCENTRACIÓN </t>
  </si>
  <si>
    <t>CAPEX: NIVEL 3 - ARQUITECTURA DE COMUNICACIONES</t>
  </si>
  <si>
    <t>SERVICIOS: INSTALACIÓN, INTEGRACIÓN Y MARCHA</t>
  </si>
  <si>
    <t>OPEX: PLATAFORMA, LICENCIAS</t>
  </si>
  <si>
    <t xml:space="preserve">OPEX: MANTENCIÓN </t>
  </si>
  <si>
    <t>TOTAL</t>
  </si>
  <si>
    <t>Habilitación de Nuevo Punto</t>
  </si>
  <si>
    <t>Mantención Nuevo Punto</t>
  </si>
  <si>
    <t>USO DE SW Nuevo Punto</t>
  </si>
  <si>
    <t>Centro Comercial</t>
  </si>
  <si>
    <t>TIPO</t>
  </si>
  <si>
    <t>Item 1</t>
  </si>
  <si>
    <t>Item 2</t>
  </si>
  <si>
    <t>Item 3</t>
  </si>
  <si>
    <t>Item 4</t>
  </si>
  <si>
    <t>Item 5</t>
  </si>
  <si>
    <t>Iatem 6</t>
  </si>
  <si>
    <t>Total</t>
  </si>
  <si>
    <t>Parque Arauco Shopping Center</t>
  </si>
  <si>
    <t>Mall</t>
  </si>
  <si>
    <t>Parque Arauco Oriente</t>
  </si>
  <si>
    <t>Arauco Maipú</t>
  </si>
  <si>
    <t>Arauco Estación</t>
  </si>
  <si>
    <t>Arauco San Antonio</t>
  </si>
  <si>
    <t>Arauco Chillán</t>
  </si>
  <si>
    <t>Arauco Coronel</t>
  </si>
  <si>
    <t>Parque Angamos</t>
  </si>
  <si>
    <t>Arauco Premium Outlet Buenaventura</t>
  </si>
  <si>
    <t>Outlet</t>
  </si>
  <si>
    <t>Arauco Premium Outlet Curauma</t>
  </si>
  <si>
    <t>Arauco Premium Outlet Coquimbo</t>
  </si>
  <si>
    <t xml:space="preserve">Arauco Premium Outlet San Pedro    </t>
  </si>
  <si>
    <t>StripCenter</t>
  </si>
  <si>
    <t>Arauco Express Pajaritos</t>
  </si>
  <si>
    <t>Arauco Express Ciudad Empresarial</t>
  </si>
  <si>
    <t>Arauco Express El Carmen de Huechuraba</t>
  </si>
  <si>
    <t>Arauco Express La Reina</t>
  </si>
  <si>
    <t>Arauco Express Palmares de Reñaca</t>
  </si>
  <si>
    <t>Arauco Express Manuel Montt</t>
  </si>
  <si>
    <t>Arauco Express Nueva Calama</t>
  </si>
  <si>
    <t>Arauco Express Recoleta</t>
  </si>
  <si>
    <t>Arauco Express Ciudad Empresarial II</t>
  </si>
  <si>
    <t>Arauco Express Las Brujas</t>
  </si>
  <si>
    <t>CENTRO COMERCIAL:</t>
  </si>
  <si>
    <t>Ítem</t>
  </si>
  <si>
    <t>Descripción del Bien o Servicio</t>
  </si>
  <si>
    <t>Descripción</t>
  </si>
  <si>
    <t>VALORES EN UF</t>
  </si>
  <si>
    <t>1.0</t>
  </si>
  <si>
    <t>MEDIDA</t>
  </si>
  <si>
    <t>MARCA</t>
  </si>
  <si>
    <t>MODELO</t>
  </si>
  <si>
    <t>Cantidad</t>
  </si>
  <si>
    <t>P. Unitario (Neto)</t>
  </si>
  <si>
    <t>P. Total (Neto)</t>
  </si>
  <si>
    <t>Medidores Eléctricos Básicos (Medición directa, baja/media potencia, ej: PAC 1651)</t>
  </si>
  <si>
    <t>Un</t>
  </si>
  <si>
    <t>Medidores Eléctricos Avanzados (Mayor granularidad/calidad de energía, ej: PAC 1670)</t>
  </si>
  <si>
    <t>1.3</t>
  </si>
  <si>
    <t>Otros Medidores Electricos | Locales pequeños y aislados de red general (Modulos)</t>
  </si>
  <si>
    <t>1.4</t>
  </si>
  <si>
    <t>Otros Medidores Electricos</t>
  </si>
  <si>
    <t>1.6</t>
  </si>
  <si>
    <t>Accesorios de Medición (Transformadores de corriente, borneras, etc.)</t>
  </si>
  <si>
    <t>Gl</t>
  </si>
  <si>
    <t>2.0</t>
  </si>
  <si>
    <t>CAPEX: NIVEL 2 - SISTEMAS DE CONCENTRACIÓN Y PASARELAS</t>
  </si>
  <si>
    <t>Concentradores/Gateways para Malls (Alta capacidad, Modbus RTU a TCP, ej: PAC 4220)</t>
  </si>
  <si>
    <t>Sistema Centralizado (Power Center) para Malls (Consolidación &gt;200 puntos)</t>
  </si>
  <si>
    <t>Concentradores Locales Alternativos para Strip Centers (Solución simplificada/PLC)</t>
  </si>
  <si>
    <t>3.0</t>
  </si>
  <si>
    <t>CAPEX: NIVEL 3 - ARQUITECTURA DE COMUNICACIONES Y TABLEROS</t>
  </si>
  <si>
    <t>Nodos Inalámbricos / Enlaces (Ej: Gateways LoRa para zonas sin cableado)</t>
  </si>
  <si>
    <t>Equipamiento de Red (Switches gestionables)</t>
  </si>
  <si>
    <t>Conversores de Medios (Ej: Serial a Ethernet, Cobre a Fibra)</t>
  </si>
  <si>
    <t>M</t>
  </si>
  <si>
    <t>Cobre o fibra</t>
  </si>
  <si>
    <t>Tableros de Comunicación y Concentración de Datos (Armado, gabinete, protecciones)</t>
  </si>
  <si>
    <t>3.6</t>
  </si>
  <si>
    <t>Materiales de Conectividad (Cable RS-485, Patchcords, Ferretería menor)</t>
  </si>
  <si>
    <t>4.0</t>
  </si>
  <si>
    <t>SERVICIOS: INSTALACIÓN, INTEGRACIÓN Y PUESTA EN MARCHA</t>
  </si>
  <si>
    <t>Desmontaje de medidores existentes e instalación de nuevos equipos</t>
  </si>
  <si>
    <t>Tendido de cableado (Nivel de campo y enlace a Backbone PA)</t>
  </si>
  <si>
    <t>MT</t>
  </si>
  <si>
    <t>Configuración de Red, Asignación IP y Protocolos (Modbus RTU/TCP, MQTT)</t>
  </si>
  <si>
    <t>Integración con Plataforma IoT/Cloud y Pruebas de Comunicación (Puesta en marcha)</t>
  </si>
  <si>
    <t>5.0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</si>
  <si>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</si>
  <si>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>Anual</t>
  </si>
  <si>
    <t>Costo de licenciamiento por medidor</t>
  </si>
  <si>
    <t>6.0</t>
  </si>
  <si>
    <t>Rutina de Mantenimiento Anual</t>
  </si>
  <si>
    <t>Debe ceñirse a la rutina definida en BTG. No otra</t>
  </si>
  <si>
    <t>HABILITACIÓN DE NUEVO PUNTO</t>
  </si>
  <si>
    <t>MANTENCIÓN NUEVO PUNTO</t>
  </si>
  <si>
    <t>USO DE SOFTWARE POR NUEVO PUNTO</t>
  </si>
  <si>
    <t>RESUMEN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</si>
  <si>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</si>
  <si>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</si>
  <si>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</si>
  <si>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</si>
  <si>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</si>
  <si>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</si>
  <si>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>Outlet Buenaventura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</si>
  <si>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</si>
  <si>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 xml:space="preserve"> Outlet Curauma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</si>
  <si>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</si>
  <si>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>Outlet Coquimbo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</si>
  <si>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</si>
  <si>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 xml:space="preserve">Outlet San Pedro    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</si>
  <si>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</si>
  <si>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>AEX Pajaritos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</si>
  <si>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</si>
  <si>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>AEXCiudad Empresarial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</si>
  <si>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</si>
  <si>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</si>
  <si>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>AEX La Reina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</si>
  <si>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</si>
  <si>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>AEX Reñaca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</si>
  <si>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</si>
  <si>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>AEX Manuel Montt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</si>
  <si>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</si>
  <si>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>AEX Calama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</si>
  <si>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</si>
  <si>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>AEX Recoleta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</si>
  <si>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</si>
  <si>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</si>
  <si>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>AEX Las Brujas</t>
  </si>
  <si>
    <r>
      <rPr>
        <sz val="10"/>
        <color theme="1"/>
        <rFont val="Arial"/>
      </rPr>
      <t xml:space="preserve">Licencia </t>
    </r>
    <r>
      <rPr>
        <b/>
        <sz val="10"/>
        <color theme="1"/>
        <rFont val="Arial"/>
      </rPr>
      <t>Anual</t>
    </r>
    <r>
      <rPr>
        <sz val="10"/>
        <color theme="1"/>
        <rFont val="Arial"/>
      </rPr>
      <t xml:space="preserve"> Plataforma Cloud de Gestión Energética (Punto)</t>
    </r>
  </si>
  <si>
    <t>Parque Chicureo</t>
  </si>
  <si>
    <t>Arauco Quilicura</t>
  </si>
  <si>
    <t>Arauco El Bosque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</si>
</sst>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d\.m"/>
  </numFmts>
  <fonts count="11" x14ac:knownFonts="1">
    <font>
      <sz val="10"/>
      <color rgb="FF000000"/>
      <name val="Arial"/>
      <scheme val="minor"/>
    </font>
    <font>
      <sz val="11"/>
      <color rgb="FF000000"/>
      <name val="Arial"/>
    </font>
    <font>
      <sz val="10"/>
      <name val="Arial"/>
    </font>
    <font>
      <sz val="11"/>
      <color theme="0"/>
      <name val="Arial"/>
    </font>
    <font>
      <b/>
      <sz val="11"/>
      <color rgb="FF000000"/>
      <name val="Arial"/>
    </font>
    <font>
      <sz val="11"/>
      <color theme="1"/>
      <name val="Arial"/>
    </font>
    <font>
      <sz val="10"/>
      <color rgb="FF000000"/>
      <name val="Arial"/>
    </font>
    <font>
      <b/>
      <sz val="10"/>
      <color theme="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6FC"/>
        <bgColor rgb="FFD9E6FC"/>
      </patternFill>
    </fill>
    <fill>
      <patternFill patternType="solid">
        <fgColor rgb="FF002060"/>
        <bgColor rgb="FF002060"/>
      </patternFill>
    </fill>
    <fill>
      <patternFill patternType="solid">
        <fgColor rgb="FFD9F1F3"/>
        <bgColor rgb="FFD9F1F3"/>
      </patternFill>
    </fill>
    <fill>
      <patternFill patternType="solid">
        <fgColor rgb="FFBFBFBF"/>
        <bgColor rgb="FFBFBFBF"/>
      </patternFill>
    </fill>
    <fill>
      <patternFill patternType="solid">
        <fgColor rgb="FFFDE49A"/>
        <bgColor rgb="FFFDE49A"/>
      </patternFill>
    </fill>
    <fill>
      <patternFill patternType="solid">
        <fgColor rgb="FFFEF1CC"/>
        <bgColor rgb="FFFEF1CC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/>
      <top/>
      <bottom/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3" borderId="4" xfId="0" applyFont="1" applyFill="1" applyBorder="1"/>
    <xf numFmtId="0" fontId="1" fillId="0" borderId="4" xfId="0" applyFont="1" applyBorder="1"/>
    <xf numFmtId="0" fontId="3" fillId="4" borderId="4" xfId="0" applyFont="1" applyFill="1" applyBorder="1"/>
    <xf numFmtId="42" fontId="1" fillId="0" borderId="4" xfId="0" applyNumberFormat="1" applyFont="1" applyBorder="1"/>
    <xf numFmtId="0" fontId="6" fillId="0" borderId="0" xfId="0" applyFont="1" applyAlignment="1">
      <alignment horizontal="center"/>
    </xf>
    <xf numFmtId="0" fontId="7" fillId="4" borderId="4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left"/>
    </xf>
    <xf numFmtId="0" fontId="8" fillId="6" borderId="4" xfId="0" applyFont="1" applyFill="1" applyBorder="1"/>
    <xf numFmtId="0" fontId="8" fillId="6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7" fillId="4" borderId="4" xfId="0" applyFont="1" applyFill="1" applyBorder="1"/>
    <xf numFmtId="0" fontId="7" fillId="4" borderId="4" xfId="0" applyFont="1" applyFill="1" applyBorder="1" applyAlignment="1">
      <alignment horizontal="center"/>
    </xf>
    <xf numFmtId="164" fontId="9" fillId="0" borderId="0" xfId="0" applyNumberFormat="1" applyFont="1" applyAlignment="1">
      <alignment horizontal="left"/>
    </xf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42" fontId="9" fillId="7" borderId="4" xfId="0" applyNumberFormat="1" applyFont="1" applyFill="1" applyBorder="1"/>
    <xf numFmtId="42" fontId="6" fillId="7" borderId="4" xfId="0" applyNumberFormat="1" applyFont="1" applyFill="1" applyBorder="1"/>
    <xf numFmtId="42" fontId="6" fillId="7" borderId="4" xfId="0" applyNumberFormat="1" applyFont="1" applyFill="1" applyBorder="1" applyAlignment="1">
      <alignment horizontal="center"/>
    </xf>
    <xf numFmtId="0" fontId="9" fillId="8" borderId="4" xfId="0" applyFont="1" applyFill="1" applyBorder="1"/>
    <xf numFmtId="0" fontId="9" fillId="8" borderId="4" xfId="0" applyFont="1" applyFill="1" applyBorder="1" applyAlignment="1">
      <alignment horizontal="center"/>
    </xf>
    <xf numFmtId="0" fontId="6" fillId="8" borderId="4" xfId="0" applyFont="1" applyFill="1" applyBorder="1"/>
    <xf numFmtId="42" fontId="6" fillId="8" borderId="4" xfId="0" applyNumberFormat="1" applyFont="1" applyFill="1" applyBorder="1" applyAlignment="1">
      <alignment horizontal="center"/>
    </xf>
    <xf numFmtId="0" fontId="9" fillId="7" borderId="4" xfId="0" applyFont="1" applyFill="1" applyBorder="1"/>
    <xf numFmtId="0" fontId="6" fillId="0" borderId="0" xfId="0" applyFont="1"/>
    <xf numFmtId="0" fontId="10" fillId="0" borderId="0" xfId="0" applyFont="1"/>
    <xf numFmtId="0" fontId="6" fillId="7" borderId="4" xfId="0" applyFont="1" applyFill="1" applyBorder="1"/>
    <xf numFmtId="0" fontId="6" fillId="2" borderId="4" xfId="0" applyFont="1" applyFill="1" applyBorder="1"/>
    <xf numFmtId="42" fontId="6" fillId="2" borderId="4" xfId="0" applyNumberFormat="1" applyFont="1" applyFill="1" applyBorder="1"/>
    <xf numFmtId="42" fontId="6" fillId="0" borderId="4" xfId="0" applyNumberFormat="1" applyFont="1" applyBorder="1" applyAlignment="1">
      <alignment horizontal="center"/>
    </xf>
    <xf numFmtId="42" fontId="6" fillId="3" borderId="4" xfId="0" applyNumberFormat="1" applyFont="1" applyFill="1" applyBorder="1" applyAlignment="1">
      <alignment horizontal="center"/>
    </xf>
    <xf numFmtId="0" fontId="3" fillId="4" borderId="8" xfId="0" applyFont="1" applyFill="1" applyBorder="1"/>
    <xf numFmtId="0" fontId="1" fillId="0" borderId="8" xfId="0" applyFont="1" applyBorder="1"/>
    <xf numFmtId="0" fontId="4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42" fontId="1" fillId="0" borderId="8" xfId="0" applyNumberFormat="1" applyFont="1" applyBorder="1"/>
    <xf numFmtId="42" fontId="4" fillId="2" borderId="8" xfId="0" applyNumberFormat="1" applyFont="1" applyFill="1" applyBorder="1" applyAlignment="1">
      <alignment horizontal="center"/>
    </xf>
    <xf numFmtId="42" fontId="0" fillId="0" borderId="8" xfId="0" applyNumberFormat="1" applyBorder="1"/>
    <xf numFmtId="0" fontId="5" fillId="9" borderId="8" xfId="0" applyFont="1" applyFill="1" applyBorder="1" applyAlignment="1">
      <alignment horizontal="left" vertical="center"/>
    </xf>
    <xf numFmtId="42" fontId="1" fillId="5" borderId="8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8" xfId="0" applyFont="1" applyBorder="1" applyAlignment="1">
      <alignment horizontal="center" wrapText="1"/>
    </xf>
    <xf numFmtId="0" fontId="2" fillId="0" borderId="8" xfId="0" applyFont="1" applyBorder="1"/>
    <xf numFmtId="0" fontId="6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zoomScale="88" zoomScaleNormal="100" workbookViewId="0">
      <selection activeCell="G11" sqref="G11"/>
    </sheetView>
  </sheetViews>
  <sheetFormatPr baseColWidth="10" defaultColWidth="12.6640625" defaultRowHeight="15" customHeight="1" x14ac:dyDescent="0.25"/>
  <cols>
    <col min="1" max="1" width="11.44140625" customWidth="1"/>
    <col min="2" max="2" width="57.44140625" customWidth="1"/>
    <col min="3" max="10" width="19.6640625" customWidth="1"/>
    <col min="11" max="11" width="6.44140625" customWidth="1"/>
    <col min="12" max="14" width="16.44140625" customWidth="1"/>
    <col min="15" max="26" width="10.6640625" customWidth="1"/>
  </cols>
  <sheetData>
    <row r="1" spans="1:26" ht="13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1"/>
      <c r="B3" s="44" t="s">
        <v>0</v>
      </c>
      <c r="C3" s="45"/>
      <c r="D3" s="45"/>
      <c r="E3" s="46"/>
      <c r="F3" s="1"/>
      <c r="G3" s="1"/>
      <c r="H3" s="1"/>
      <c r="I3" s="1"/>
      <c r="J3" s="1"/>
      <c r="K3" s="1"/>
      <c r="L3" s="2"/>
      <c r="M3" s="2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1"/>
      <c r="B5" s="3" t="s">
        <v>1</v>
      </c>
      <c r="C5" s="4" t="s">
        <v>2</v>
      </c>
      <c r="D5" s="4" t="s">
        <v>3</v>
      </c>
      <c r="E5" s="4" t="s">
        <v>4</v>
      </c>
      <c r="F5" s="1"/>
      <c r="G5" s="1"/>
      <c r="H5" s="1"/>
      <c r="I5" s="1"/>
      <c r="J5" s="1"/>
      <c r="K5" s="1"/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5">
      <c r="A6" s="1"/>
      <c r="B6" s="5" t="s">
        <v>5</v>
      </c>
      <c r="C6" s="6">
        <f>SUM(D16:D26)</f>
        <v>0</v>
      </c>
      <c r="D6" s="6">
        <f>SUM(D27:D30)</f>
        <v>0</v>
      </c>
      <c r="E6" s="6">
        <f>SUM(D31:D40)</f>
        <v>0</v>
      </c>
      <c r="F6" s="1"/>
      <c r="G6" s="1"/>
      <c r="H6" s="1"/>
      <c r="I6" s="1"/>
      <c r="J6" s="1"/>
      <c r="K6" s="1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5" t="s">
        <v>6</v>
      </c>
      <c r="C7" s="6">
        <f>SUM(E16:E26)</f>
        <v>0</v>
      </c>
      <c r="D7" s="6">
        <f>SUM(E27:E30)</f>
        <v>0</v>
      </c>
      <c r="E7" s="6">
        <f>SUM(E31:E40)</f>
        <v>0</v>
      </c>
      <c r="F7" s="1"/>
      <c r="G7" s="1"/>
      <c r="H7" s="1"/>
      <c r="I7" s="1"/>
      <c r="J7" s="1"/>
      <c r="K7" s="1"/>
      <c r="L7" s="2"/>
      <c r="M7" s="2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1"/>
      <c r="B8" s="5" t="s">
        <v>7</v>
      </c>
      <c r="C8" s="6">
        <f>SUM(F16:F26)</f>
        <v>0</v>
      </c>
      <c r="D8" s="6">
        <f>SUM(F27:F30)</f>
        <v>0</v>
      </c>
      <c r="E8" s="6">
        <f>SUM(F31:F40)</f>
        <v>0</v>
      </c>
      <c r="F8" s="1"/>
      <c r="G8" s="1"/>
      <c r="H8" s="1"/>
      <c r="I8" s="1"/>
      <c r="J8" s="1"/>
      <c r="K8" s="1"/>
      <c r="L8" s="2"/>
      <c r="M8" s="2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1"/>
      <c r="B9" s="5" t="s">
        <v>8</v>
      </c>
      <c r="C9" s="6">
        <f>SUM(G16:G26)</f>
        <v>0</v>
      </c>
      <c r="D9" s="6">
        <f>SUM(G27:G30)</f>
        <v>0</v>
      </c>
      <c r="E9" s="6">
        <f>SUM(G31:G40)</f>
        <v>0</v>
      </c>
      <c r="F9" s="1"/>
      <c r="G9" s="1"/>
      <c r="H9" s="1"/>
      <c r="I9" s="1"/>
      <c r="J9" s="1"/>
      <c r="K9" s="1"/>
      <c r="L9" s="2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5">
      <c r="A10" s="1"/>
      <c r="B10" s="5" t="s">
        <v>9</v>
      </c>
      <c r="C10" s="6">
        <f>SUM(H16:H26)</f>
        <v>0</v>
      </c>
      <c r="D10" s="6">
        <f>SUM(H27:H30)</f>
        <v>0</v>
      </c>
      <c r="E10" s="6">
        <f>SUM(H31:H40)</f>
        <v>0</v>
      </c>
      <c r="F10" s="1"/>
      <c r="G10" s="1"/>
      <c r="H10" s="1"/>
      <c r="I10" s="1"/>
      <c r="J10" s="1"/>
      <c r="K10" s="1"/>
      <c r="L10" s="2"/>
      <c r="M10" s="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1"/>
      <c r="B11" s="5" t="s">
        <v>10</v>
      </c>
      <c r="C11" s="6">
        <f>SUM(I16:I26)</f>
        <v>0</v>
      </c>
      <c r="D11" s="6">
        <f>SUM(I27:I30)</f>
        <v>0</v>
      </c>
      <c r="E11" s="6">
        <f>SUM(I31:I40)</f>
        <v>0</v>
      </c>
      <c r="F11" s="1"/>
      <c r="G11" s="1"/>
      <c r="H11" s="1"/>
      <c r="I11" s="1"/>
      <c r="J11" s="1"/>
      <c r="K11" s="1"/>
      <c r="L11" s="2"/>
      <c r="M11" s="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5">
      <c r="A12" s="1"/>
      <c r="B12" s="5" t="s">
        <v>11</v>
      </c>
      <c r="C12" s="6">
        <f t="shared" ref="C12:E12" si="0">SUM(C6:C11)</f>
        <v>0</v>
      </c>
      <c r="D12" s="6">
        <f t="shared" si="0"/>
        <v>0</v>
      </c>
      <c r="E12" s="6">
        <f t="shared" si="0"/>
        <v>0</v>
      </c>
      <c r="F12" s="1"/>
      <c r="G12" s="1"/>
      <c r="H12" s="1"/>
      <c r="I12" s="1"/>
      <c r="J12" s="1"/>
      <c r="K12" s="1"/>
      <c r="L12" s="2"/>
      <c r="M12" s="2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2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47" t="s">
        <v>12</v>
      </c>
      <c r="M14" s="47" t="s">
        <v>13</v>
      </c>
      <c r="N14" s="47" t="s">
        <v>14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1"/>
      <c r="B15" s="35" t="s">
        <v>15</v>
      </c>
      <c r="C15" s="36" t="s">
        <v>16</v>
      </c>
      <c r="D15" s="36" t="s">
        <v>17</v>
      </c>
      <c r="E15" s="36" t="s">
        <v>18</v>
      </c>
      <c r="F15" s="36" t="s">
        <v>19</v>
      </c>
      <c r="G15" s="36" t="s">
        <v>20</v>
      </c>
      <c r="H15" s="36" t="s">
        <v>21</v>
      </c>
      <c r="I15" s="36" t="s">
        <v>22</v>
      </c>
      <c r="J15" s="37" t="s">
        <v>23</v>
      </c>
      <c r="K15" s="1"/>
      <c r="L15" s="48"/>
      <c r="M15" s="48"/>
      <c r="N15" s="4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38" t="s">
        <v>24</v>
      </c>
      <c r="C16" s="38" t="s">
        <v>25</v>
      </c>
      <c r="D16" s="39">
        <f>'Parque Arauco Shopping Center'!D43</f>
        <v>0</v>
      </c>
      <c r="E16" s="39">
        <f>'Parque Arauco Shopping Center'!D44</f>
        <v>0</v>
      </c>
      <c r="F16" s="39">
        <f>'Parque Arauco Shopping Center'!D45</f>
        <v>0</v>
      </c>
      <c r="G16" s="39">
        <f>'Parque Arauco Shopping Center'!D46</f>
        <v>0</v>
      </c>
      <c r="H16" s="39">
        <f>'Parque Arauco Shopping Center'!D47</f>
        <v>0</v>
      </c>
      <c r="I16" s="39">
        <f>'Parque Arauco Shopping Center'!D48</f>
        <v>0</v>
      </c>
      <c r="J16" s="40">
        <f t="shared" ref="J16:J26" si="1">SUM(D16:I16)</f>
        <v>0</v>
      </c>
      <c r="K16" s="1"/>
      <c r="L16" s="43">
        <f>'Parque Arauco Shopping Center'!D38</f>
        <v>0</v>
      </c>
      <c r="M16" s="43">
        <f>'Parque Arauco Shopping Center'!D39</f>
        <v>0</v>
      </c>
      <c r="N16" s="43">
        <f>'Parque Arauco Shopping Center'!D40</f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38" t="s">
        <v>26</v>
      </c>
      <c r="C17" s="38" t="s">
        <v>25</v>
      </c>
      <c r="D17" s="39">
        <f>'Parque Arauco Oriente'!D43</f>
        <v>0</v>
      </c>
      <c r="E17" s="39">
        <f>'Parque Arauco Oriente'!D44</f>
        <v>0</v>
      </c>
      <c r="F17" s="39">
        <f>'Parque Arauco Oriente'!D45</f>
        <v>0</v>
      </c>
      <c r="G17" s="39">
        <f>'Parque Arauco Oriente'!D46</f>
        <v>0</v>
      </c>
      <c r="H17" s="39">
        <f>'Parque Arauco Oriente'!D47</f>
        <v>0</v>
      </c>
      <c r="I17" s="39">
        <f>'Parque Arauco Oriente'!D48</f>
        <v>0</v>
      </c>
      <c r="J17" s="40">
        <f t="shared" si="1"/>
        <v>0</v>
      </c>
      <c r="K17" s="1"/>
      <c r="L17" s="43">
        <f>'Parque Arauco Oriente'!D38</f>
        <v>0</v>
      </c>
      <c r="M17" s="43">
        <f>'Parque Arauco Oriente'!D39</f>
        <v>0</v>
      </c>
      <c r="N17" s="43">
        <f>'Parque Arauco Oriente'!D40</f>
        <v>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1"/>
      <c r="B18" s="38" t="s">
        <v>27</v>
      </c>
      <c r="C18" s="38" t="s">
        <v>25</v>
      </c>
      <c r="D18" s="39">
        <f>'Arauco Maipú'!D43</f>
        <v>0</v>
      </c>
      <c r="E18" s="39">
        <f>'Arauco Maipú'!D44</f>
        <v>0</v>
      </c>
      <c r="F18" s="39">
        <f>'Arauco Maipú'!D45</f>
        <v>0</v>
      </c>
      <c r="G18" s="39">
        <f>'Arauco Maipú'!D46</f>
        <v>0</v>
      </c>
      <c r="H18" s="39">
        <f>'Arauco Maipú'!D47</f>
        <v>0</v>
      </c>
      <c r="I18" s="39">
        <f>'Arauco Maipú'!D48</f>
        <v>0</v>
      </c>
      <c r="J18" s="40">
        <f t="shared" si="1"/>
        <v>0</v>
      </c>
      <c r="K18" s="1"/>
      <c r="L18" s="43">
        <f>'Arauco Maipú'!D38</f>
        <v>0</v>
      </c>
      <c r="M18" s="43">
        <f>'Arauco Maipú'!D39</f>
        <v>0</v>
      </c>
      <c r="N18" s="43">
        <f>'Arauco Maipú'!D40</f>
        <v>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1"/>
      <c r="B19" s="38" t="s">
        <v>28</v>
      </c>
      <c r="C19" s="38" t="s">
        <v>25</v>
      </c>
      <c r="D19" s="39">
        <f>'Arauco Estación'!D43</f>
        <v>0</v>
      </c>
      <c r="E19" s="39">
        <f>'Arauco Estación'!D44</f>
        <v>0</v>
      </c>
      <c r="F19" s="39">
        <f>'Arauco Estación'!D45</f>
        <v>0</v>
      </c>
      <c r="G19" s="39">
        <f>'Arauco Estación'!D46</f>
        <v>0</v>
      </c>
      <c r="H19" s="39">
        <f>'Arauco Estación'!D47</f>
        <v>0</v>
      </c>
      <c r="I19" s="39">
        <f>'Arauco Estación'!D48</f>
        <v>0</v>
      </c>
      <c r="J19" s="40">
        <f t="shared" si="1"/>
        <v>0</v>
      </c>
      <c r="K19" s="1"/>
      <c r="L19" s="43">
        <f>'Arauco Estación'!D38</f>
        <v>0</v>
      </c>
      <c r="M19" s="43">
        <f>'Arauco Estación'!D39</f>
        <v>0</v>
      </c>
      <c r="N19" s="43">
        <f>'Arauco Estación'!D40</f>
        <v>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1"/>
      <c r="B20" s="38" t="s">
        <v>29</v>
      </c>
      <c r="C20" s="38" t="s">
        <v>25</v>
      </c>
      <c r="D20" s="39">
        <f>'Arauco San Antonio'!D43</f>
        <v>0</v>
      </c>
      <c r="E20" s="39">
        <f>'Arauco San Antonio'!D44</f>
        <v>0</v>
      </c>
      <c r="F20" s="39">
        <f>'Arauco San Antonio'!D45</f>
        <v>0</v>
      </c>
      <c r="G20" s="39">
        <f>'Arauco San Antonio'!D46</f>
        <v>0</v>
      </c>
      <c r="H20" s="39">
        <f>'Arauco San Antonio'!D47</f>
        <v>0</v>
      </c>
      <c r="I20" s="39">
        <f>'Arauco San Antonio'!D48</f>
        <v>0</v>
      </c>
      <c r="J20" s="40">
        <f t="shared" si="1"/>
        <v>0</v>
      </c>
      <c r="K20" s="1"/>
      <c r="L20" s="43">
        <f>'Arauco San Antonio'!D38</f>
        <v>0</v>
      </c>
      <c r="M20" s="43">
        <f>'Arauco San Antonio'!D39</f>
        <v>0</v>
      </c>
      <c r="N20" s="43">
        <f>'Arauco San Antonio'!D40</f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1"/>
      <c r="B21" s="38" t="s">
        <v>30</v>
      </c>
      <c r="C21" s="38" t="s">
        <v>25</v>
      </c>
      <c r="D21" s="39">
        <f>'Arauco Chillán'!D43</f>
        <v>0</v>
      </c>
      <c r="E21" s="39">
        <f>'Arauco Chillán'!D44</f>
        <v>0</v>
      </c>
      <c r="F21" s="39">
        <f>'Arauco Chillán'!D45</f>
        <v>0</v>
      </c>
      <c r="G21" s="39">
        <f>'Arauco Chillán'!D46</f>
        <v>0</v>
      </c>
      <c r="H21" s="39">
        <f>'Arauco Chillán'!D47</f>
        <v>0</v>
      </c>
      <c r="I21" s="39">
        <f>'Arauco Chillán'!D48</f>
        <v>0</v>
      </c>
      <c r="J21" s="40">
        <f t="shared" si="1"/>
        <v>0</v>
      </c>
      <c r="K21" s="1"/>
      <c r="L21" s="43">
        <f>'Arauco Chillán'!D38</f>
        <v>0</v>
      </c>
      <c r="M21" s="43">
        <f>'Arauco Chillán'!D39</f>
        <v>0</v>
      </c>
      <c r="N21" s="43">
        <f>'Arauco Chillán'!D40</f>
        <v>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B22" s="38" t="s">
        <v>31</v>
      </c>
      <c r="C22" s="38" t="s">
        <v>25</v>
      </c>
      <c r="D22" s="39">
        <f>'Arauco Coronel'!D43</f>
        <v>0</v>
      </c>
      <c r="E22" s="39">
        <f>'Arauco Coronel'!D44</f>
        <v>0</v>
      </c>
      <c r="F22" s="39">
        <f>'Arauco Coronel'!D45</f>
        <v>0</v>
      </c>
      <c r="G22" s="39">
        <f>'Arauco Coronel'!D46</f>
        <v>0</v>
      </c>
      <c r="H22" s="39">
        <f>'Arauco Coronel'!D47</f>
        <v>0</v>
      </c>
      <c r="I22" s="39">
        <f>'Arauco Coronel'!D48</f>
        <v>0</v>
      </c>
      <c r="J22" s="40">
        <f t="shared" si="1"/>
        <v>0</v>
      </c>
      <c r="K22" s="1"/>
      <c r="L22" s="43">
        <f>'Arauco Coronel'!D38</f>
        <v>0</v>
      </c>
      <c r="M22" s="43">
        <f>'Arauco Coronel'!D39</f>
        <v>0</v>
      </c>
      <c r="N22" s="43">
        <f>'Arauco Coronel'!D40</f>
        <v>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8" x14ac:dyDescent="0.25">
      <c r="B23" s="38" t="s">
        <v>32</v>
      </c>
      <c r="C23" s="38" t="s">
        <v>25</v>
      </c>
      <c r="D23" s="41">
        <f>'Parque Angamos'!D43</f>
        <v>0</v>
      </c>
      <c r="E23" s="41">
        <f>'Parque Angamos'!D44</f>
        <v>0</v>
      </c>
      <c r="F23" s="41">
        <f>'Parque Angamos'!D45</f>
        <v>0</v>
      </c>
      <c r="G23" s="41">
        <f>'Parque Angamos'!D46</f>
        <v>0</v>
      </c>
      <c r="H23" s="41">
        <f>'Parque Angamos'!D47</f>
        <v>0</v>
      </c>
      <c r="I23" s="41">
        <f>'Parque Angamos'!D48</f>
        <v>0</v>
      </c>
      <c r="J23" s="40">
        <f t="shared" si="1"/>
        <v>0</v>
      </c>
      <c r="L23" s="43">
        <f>'Parque Angamos'!D38</f>
        <v>0</v>
      </c>
      <c r="M23" s="43">
        <f>'Parque Angamos'!D39</f>
        <v>0</v>
      </c>
      <c r="N23" s="43">
        <f>'Parque Angamos'!D40</f>
        <v>0</v>
      </c>
    </row>
    <row r="24" spans="1:26" ht="13.8" x14ac:dyDescent="0.25">
      <c r="B24" s="38" t="s">
        <v>136</v>
      </c>
      <c r="C24" s="38" t="s">
        <v>25</v>
      </c>
      <c r="D24" s="41">
        <f>'Parque Chicureo'!D43</f>
        <v>0</v>
      </c>
      <c r="E24" s="41">
        <f>'Parque Chicureo'!D44</f>
        <v>0</v>
      </c>
      <c r="F24" s="41">
        <f>'Parque Chicureo'!D45</f>
        <v>0</v>
      </c>
      <c r="G24" s="41">
        <f>'Parque Chicureo'!D46</f>
        <v>0</v>
      </c>
      <c r="H24" s="41">
        <f>'Parque Chicureo'!D47</f>
        <v>0</v>
      </c>
      <c r="I24" s="41">
        <f>'Parque Chicureo'!D48</f>
        <v>0</v>
      </c>
      <c r="J24" s="40">
        <f t="shared" si="1"/>
        <v>0</v>
      </c>
      <c r="L24" s="43">
        <f>'Parque Chicureo'!D38</f>
        <v>0</v>
      </c>
      <c r="M24" s="43">
        <f>'Parque Chicureo'!D39</f>
        <v>0</v>
      </c>
      <c r="N24" s="43">
        <f>'Parque Chicureo'!D40</f>
        <v>0</v>
      </c>
    </row>
    <row r="25" spans="1:26" ht="13.8" x14ac:dyDescent="0.25">
      <c r="B25" s="38" t="s">
        <v>137</v>
      </c>
      <c r="C25" s="38" t="s">
        <v>25</v>
      </c>
      <c r="D25" s="41">
        <f>'Arauco Quilicura'!D43</f>
        <v>0</v>
      </c>
      <c r="E25" s="41">
        <f>'Arauco Quilicura'!D44</f>
        <v>0</v>
      </c>
      <c r="F25" s="41">
        <f>'Arauco Quilicura'!D45</f>
        <v>0</v>
      </c>
      <c r="G25" s="41">
        <f>'Arauco Quilicura'!D46</f>
        <v>0</v>
      </c>
      <c r="H25" s="41">
        <f>'Arauco Quilicura'!D47</f>
        <v>0</v>
      </c>
      <c r="I25" s="41">
        <f>'Arauco Quilicura'!D48</f>
        <v>0</v>
      </c>
      <c r="J25" s="40">
        <f t="shared" si="1"/>
        <v>0</v>
      </c>
      <c r="L25" s="43">
        <f>'Arauco Quilicura'!D38</f>
        <v>0</v>
      </c>
      <c r="M25" s="43">
        <f>'Arauco Quilicura'!D39</f>
        <v>0</v>
      </c>
      <c r="N25" s="43">
        <f>'Arauco Quilicura'!D40</f>
        <v>0</v>
      </c>
    </row>
    <row r="26" spans="1:26" ht="13.8" x14ac:dyDescent="0.25">
      <c r="B26" s="38" t="s">
        <v>138</v>
      </c>
      <c r="C26" s="38" t="s">
        <v>25</v>
      </c>
      <c r="D26" s="41">
        <f>'Arauco El Bosque'!D43</f>
        <v>0</v>
      </c>
      <c r="E26" s="41">
        <f>'Arauco El Bosque'!D44</f>
        <v>0</v>
      </c>
      <c r="F26" s="41">
        <f>'Arauco El Bosque'!D45</f>
        <v>0</v>
      </c>
      <c r="G26" s="41">
        <f>'Arauco El Bosque'!D46</f>
        <v>0</v>
      </c>
      <c r="H26" s="41">
        <f>'Arauco El Bosque'!D47</f>
        <v>0</v>
      </c>
      <c r="I26" s="41">
        <f>'Arauco El Bosque'!D48</f>
        <v>0</v>
      </c>
      <c r="J26" s="40">
        <f t="shared" si="1"/>
        <v>0</v>
      </c>
      <c r="L26" s="43">
        <f>'Arauco El Bosque'!D38</f>
        <v>0</v>
      </c>
      <c r="M26" s="43">
        <f>'Arauco El Bosque'!D39</f>
        <v>0</v>
      </c>
      <c r="N26" s="43">
        <f>'Arauco El Bosque'!D40</f>
        <v>0</v>
      </c>
    </row>
    <row r="27" spans="1:26" ht="13.5" customHeight="1" x14ac:dyDescent="0.25">
      <c r="B27" s="38" t="s">
        <v>33</v>
      </c>
      <c r="C27" s="38" t="s">
        <v>34</v>
      </c>
      <c r="D27" s="39">
        <f>'Outlet Buenaventura'!D43</f>
        <v>0</v>
      </c>
      <c r="E27" s="39">
        <f>'Outlet Buenaventura'!D44</f>
        <v>0</v>
      </c>
      <c r="F27" s="39">
        <f>'Outlet Buenaventura'!D45</f>
        <v>0</v>
      </c>
      <c r="G27" s="39">
        <f>'Outlet Buenaventura'!D46</f>
        <v>0</v>
      </c>
      <c r="H27" s="39">
        <f>'Outlet Buenaventura'!D47</f>
        <v>0</v>
      </c>
      <c r="I27" s="39">
        <f>'Outlet Buenaventura'!D48</f>
        <v>0</v>
      </c>
      <c r="J27" s="40">
        <f t="shared" ref="J27:J40" si="2">SUM(D27:I27)</f>
        <v>0</v>
      </c>
      <c r="K27" s="1"/>
      <c r="L27" s="43">
        <f>'Outlet Buenaventura'!D38</f>
        <v>0</v>
      </c>
      <c r="M27" s="43">
        <f>'Outlet Buenaventura'!D39</f>
        <v>0</v>
      </c>
      <c r="N27" s="43">
        <f>'Outlet Buenaventura'!D40</f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5">
      <c r="A28" s="1"/>
      <c r="B28" s="38" t="s">
        <v>35</v>
      </c>
      <c r="C28" s="38" t="s">
        <v>34</v>
      </c>
      <c r="D28" s="39">
        <f>' Outlet Curauma'!D43</f>
        <v>0</v>
      </c>
      <c r="E28" s="39">
        <f>' Outlet Curauma'!D44</f>
        <v>0</v>
      </c>
      <c r="F28" s="39">
        <f>' Outlet Curauma'!D45</f>
        <v>0</v>
      </c>
      <c r="G28" s="39">
        <f>' Outlet Curauma'!D46</f>
        <v>0</v>
      </c>
      <c r="H28" s="39">
        <f>' Outlet Curauma'!D47</f>
        <v>0</v>
      </c>
      <c r="I28" s="39">
        <f>' Outlet Curauma'!D48</f>
        <v>0</v>
      </c>
      <c r="J28" s="40">
        <f t="shared" si="2"/>
        <v>0</v>
      </c>
      <c r="K28" s="1"/>
      <c r="L28" s="43">
        <f>' Outlet Curauma'!D38</f>
        <v>0</v>
      </c>
      <c r="M28" s="43">
        <f>' Outlet Curauma'!D39</f>
        <v>0</v>
      </c>
      <c r="N28" s="43">
        <f>' Outlet Curauma'!D40</f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1"/>
      <c r="B29" s="38" t="s">
        <v>36</v>
      </c>
      <c r="C29" s="38" t="s">
        <v>34</v>
      </c>
      <c r="D29" s="39">
        <f>'Outlet Coquimbo'!D43</f>
        <v>0</v>
      </c>
      <c r="E29" s="39">
        <f>'Outlet Coquimbo'!D44</f>
        <v>0</v>
      </c>
      <c r="F29" s="39">
        <f>'Outlet Coquimbo'!F13</f>
        <v>0</v>
      </c>
      <c r="G29" s="39">
        <f>'Outlet Coquimbo'!D46</f>
        <v>0</v>
      </c>
      <c r="H29" s="39">
        <f>'Outlet Coquimbo'!D47</f>
        <v>0</v>
      </c>
      <c r="I29" s="39">
        <f>'Outlet Coquimbo'!D48</f>
        <v>0</v>
      </c>
      <c r="J29" s="40">
        <f t="shared" si="2"/>
        <v>0</v>
      </c>
      <c r="K29" s="1"/>
      <c r="L29" s="43">
        <f>'Outlet Coquimbo'!D38</f>
        <v>0</v>
      </c>
      <c r="M29" s="43">
        <f>'Outlet Coquimbo'!D39</f>
        <v>0</v>
      </c>
      <c r="N29" s="43">
        <f>'Outlet Coquimbo'!D40</f>
        <v>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5">
      <c r="A30" s="1"/>
      <c r="B30" s="38" t="s">
        <v>37</v>
      </c>
      <c r="C30" s="38" t="s">
        <v>34</v>
      </c>
      <c r="D30" s="39">
        <f>'Outlet San Pedro    '!D43</f>
        <v>0</v>
      </c>
      <c r="E30" s="39">
        <f>'Outlet San Pedro    '!D44</f>
        <v>0</v>
      </c>
      <c r="F30" s="39">
        <f>'Outlet San Pedro    '!D45</f>
        <v>0</v>
      </c>
      <c r="G30" s="39">
        <f>'Outlet San Pedro    '!D46</f>
        <v>0</v>
      </c>
      <c r="H30" s="39">
        <f>'Outlet San Pedro    '!D47</f>
        <v>0</v>
      </c>
      <c r="I30" s="39">
        <f>'Outlet San Pedro    '!D48</f>
        <v>0</v>
      </c>
      <c r="J30" s="40">
        <f t="shared" si="2"/>
        <v>0</v>
      </c>
      <c r="K30" s="1"/>
      <c r="L30" s="43">
        <f>'Outlet San Pedro    '!D38</f>
        <v>0</v>
      </c>
      <c r="M30" s="43">
        <f>'Outlet San Pedro    '!D39</f>
        <v>0</v>
      </c>
      <c r="N30" s="43">
        <f>'Outlet San Pedro    '!D40</f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5">
      <c r="A31" s="1"/>
      <c r="B31" s="38" t="s">
        <v>39</v>
      </c>
      <c r="C31" s="36" t="s">
        <v>38</v>
      </c>
      <c r="D31" s="39">
        <f>'AEX Pajaritos'!D43</f>
        <v>0</v>
      </c>
      <c r="E31" s="39">
        <f>'AEX Pajaritos'!D44</f>
        <v>0</v>
      </c>
      <c r="F31" s="39">
        <f>'AEX Pajaritos'!D45</f>
        <v>0</v>
      </c>
      <c r="G31" s="39">
        <f>'AEX Pajaritos'!D46</f>
        <v>0</v>
      </c>
      <c r="H31" s="39">
        <f>'AEX Pajaritos'!D47</f>
        <v>0</v>
      </c>
      <c r="I31" s="39">
        <f>'AEX Pajaritos'!D48</f>
        <v>0</v>
      </c>
      <c r="J31" s="40">
        <f t="shared" si="2"/>
        <v>0</v>
      </c>
      <c r="K31" s="1"/>
      <c r="L31" s="43">
        <f>'AEX Pajaritos'!D38</f>
        <v>0</v>
      </c>
      <c r="M31" s="43">
        <f>'AEX Pajaritos'!D39</f>
        <v>0</v>
      </c>
      <c r="N31" s="43">
        <f>'AEX Pajaritos'!D40</f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1"/>
      <c r="B32" s="38" t="s">
        <v>40</v>
      </c>
      <c r="C32" s="36" t="s">
        <v>38</v>
      </c>
      <c r="D32" s="39">
        <f>'AEX CE'!D43</f>
        <v>0</v>
      </c>
      <c r="E32" s="39">
        <f>'AEX CE'!D44</f>
        <v>0</v>
      </c>
      <c r="F32" s="39">
        <f>'AEX CE'!D45</f>
        <v>0</v>
      </c>
      <c r="G32" s="39">
        <f>'AEX CE'!D46</f>
        <v>0</v>
      </c>
      <c r="H32" s="39">
        <f>'AEX CE'!D47</f>
        <v>0</v>
      </c>
      <c r="I32" s="39">
        <f>'AEX CE'!D48</f>
        <v>0</v>
      </c>
      <c r="J32" s="40">
        <f t="shared" si="2"/>
        <v>0</v>
      </c>
      <c r="K32" s="1"/>
      <c r="L32" s="43">
        <f>'AEX CE'!D38</f>
        <v>0</v>
      </c>
      <c r="M32" s="43">
        <f>'AEX CE'!D39</f>
        <v>0</v>
      </c>
      <c r="N32" s="43">
        <f>'AEX CE'!D40</f>
        <v>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5">
      <c r="A33" s="1"/>
      <c r="B33" s="38" t="s">
        <v>41</v>
      </c>
      <c r="C33" s="36" t="s">
        <v>38</v>
      </c>
      <c r="D33" s="39">
        <f>'AEX El Carmen'!D43</f>
        <v>0</v>
      </c>
      <c r="E33" s="39">
        <f>'AEX El Carmen'!D44</f>
        <v>0</v>
      </c>
      <c r="F33" s="39">
        <f>'AEX El Carmen'!D45</f>
        <v>0</v>
      </c>
      <c r="G33" s="39">
        <f>'AEX El Carmen'!D46</f>
        <v>0</v>
      </c>
      <c r="H33" s="39">
        <f>'AEX El Carmen'!D47</f>
        <v>0</v>
      </c>
      <c r="I33" s="39">
        <f>'AEX El Carmen'!D48</f>
        <v>0</v>
      </c>
      <c r="J33" s="40">
        <f t="shared" si="2"/>
        <v>0</v>
      </c>
      <c r="K33" s="1"/>
      <c r="L33" s="43">
        <f>'AEX El Carmen'!D38</f>
        <v>0</v>
      </c>
      <c r="M33" s="43">
        <f>'AEX El Carmen'!D39</f>
        <v>0</v>
      </c>
      <c r="N33" s="43">
        <f>'AEX El Carmen'!D40</f>
        <v>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5">
      <c r="A34" s="1"/>
      <c r="B34" s="38" t="s">
        <v>42</v>
      </c>
      <c r="C34" s="36" t="s">
        <v>38</v>
      </c>
      <c r="D34" s="39">
        <f>'AEX La Reina'!D43</f>
        <v>0</v>
      </c>
      <c r="E34" s="39">
        <f>'AEX La Reina'!D44</f>
        <v>0</v>
      </c>
      <c r="F34" s="39">
        <f>'AEX La Reina'!D45</f>
        <v>0</v>
      </c>
      <c r="G34" s="39">
        <f>'AEX La Reina'!D46</f>
        <v>0</v>
      </c>
      <c r="H34" s="39">
        <f>'AEX La Reina'!D47</f>
        <v>0</v>
      </c>
      <c r="I34" s="39">
        <f>'AEX La Reina'!D48</f>
        <v>0</v>
      </c>
      <c r="J34" s="40">
        <f t="shared" si="2"/>
        <v>0</v>
      </c>
      <c r="K34" s="1"/>
      <c r="L34" s="43">
        <f>'AEX La Reina'!D38</f>
        <v>0</v>
      </c>
      <c r="M34" s="43">
        <f>'AEX La Reina'!D39</f>
        <v>0</v>
      </c>
      <c r="N34" s="43">
        <f>'AEX La Reina'!D40</f>
        <v>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1"/>
      <c r="B35" s="38" t="s">
        <v>43</v>
      </c>
      <c r="C35" s="36" t="s">
        <v>38</v>
      </c>
      <c r="D35" s="39">
        <f>'AEX Reñaca'!D43</f>
        <v>0</v>
      </c>
      <c r="E35" s="39">
        <f>'AEX Reñaca'!D44</f>
        <v>0</v>
      </c>
      <c r="F35" s="39">
        <f>'AEX Reñaca'!D45</f>
        <v>0</v>
      </c>
      <c r="G35" s="39">
        <f>'AEX Reñaca'!D46</f>
        <v>0</v>
      </c>
      <c r="H35" s="39">
        <f>'AEX Reñaca'!D47</f>
        <v>0</v>
      </c>
      <c r="I35" s="39">
        <f>'AEX Reñaca'!D48</f>
        <v>0</v>
      </c>
      <c r="J35" s="40">
        <f t="shared" si="2"/>
        <v>0</v>
      </c>
      <c r="K35" s="1"/>
      <c r="L35" s="43">
        <f>'AEX Reñaca'!D38</f>
        <v>0</v>
      </c>
      <c r="M35" s="43">
        <f>'AEX Reñaca'!D39</f>
        <v>0</v>
      </c>
      <c r="N35" s="43">
        <f>'AEX Reñaca'!D40</f>
        <v>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5">
      <c r="A36" s="1"/>
      <c r="B36" s="38" t="s">
        <v>44</v>
      </c>
      <c r="C36" s="36" t="s">
        <v>38</v>
      </c>
      <c r="D36" s="39">
        <f>'AEX Manuel Montt'!D43</f>
        <v>0</v>
      </c>
      <c r="E36" s="39">
        <f>'AEX Manuel Montt'!D44</f>
        <v>0</v>
      </c>
      <c r="F36" s="39">
        <f>'AEX Manuel Montt'!D45</f>
        <v>0</v>
      </c>
      <c r="G36" s="39">
        <f>'AEX Manuel Montt'!D46</f>
        <v>0</v>
      </c>
      <c r="H36" s="39">
        <f>'AEX Manuel Montt'!D47</f>
        <v>0</v>
      </c>
      <c r="I36" s="39">
        <f>'AEX Manuel Montt'!D48</f>
        <v>0</v>
      </c>
      <c r="J36" s="40">
        <f t="shared" si="2"/>
        <v>0</v>
      </c>
      <c r="K36" s="1"/>
      <c r="L36" s="43">
        <f>'AEX Manuel Montt'!D38</f>
        <v>0</v>
      </c>
      <c r="M36" s="43">
        <f>'AEX Manuel Montt'!D39</f>
        <v>0</v>
      </c>
      <c r="N36" s="43">
        <f>'AEX Manuel Montt'!D40</f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5">
      <c r="A37" s="1"/>
      <c r="B37" s="38" t="s">
        <v>45</v>
      </c>
      <c r="C37" s="36" t="s">
        <v>38</v>
      </c>
      <c r="D37" s="39">
        <f>'AEX Calama'!D43</f>
        <v>0</v>
      </c>
      <c r="E37" s="39">
        <f>'AEX Calama'!D44</f>
        <v>0</v>
      </c>
      <c r="F37" s="39">
        <f>'AEX Calama'!D45</f>
        <v>0</v>
      </c>
      <c r="G37" s="39">
        <f>'AEX Calama'!D46</f>
        <v>0</v>
      </c>
      <c r="H37" s="39">
        <f>'AEX Calama'!D47</f>
        <v>0</v>
      </c>
      <c r="I37" s="39">
        <f>'AEX Calama'!D48</f>
        <v>0</v>
      </c>
      <c r="J37" s="40">
        <f t="shared" si="2"/>
        <v>0</v>
      </c>
      <c r="K37" s="1"/>
      <c r="L37" s="43">
        <f>'AEX Calama'!D38</f>
        <v>0</v>
      </c>
      <c r="M37" s="43">
        <f>'AEX Calama'!D39</f>
        <v>0</v>
      </c>
      <c r="N37" s="43">
        <f>'AEX Calama'!D40</f>
        <v>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5">
      <c r="A38" s="1"/>
      <c r="B38" s="38" t="s">
        <v>46</v>
      </c>
      <c r="C38" s="36" t="s">
        <v>38</v>
      </c>
      <c r="D38" s="39">
        <f>'AEX Recoleta'!D43</f>
        <v>0</v>
      </c>
      <c r="E38" s="39">
        <f>'AEX Recoleta'!D44</f>
        <v>0</v>
      </c>
      <c r="F38" s="39">
        <f>'AEX Recoleta'!D45</f>
        <v>0</v>
      </c>
      <c r="G38" s="39">
        <f>'AEX Recoleta'!D46</f>
        <v>0</v>
      </c>
      <c r="H38" s="39">
        <f>'AEX Recoleta'!D47</f>
        <v>0</v>
      </c>
      <c r="I38" s="39">
        <f>'AEX Recoleta'!D48</f>
        <v>0</v>
      </c>
      <c r="J38" s="40">
        <f t="shared" si="2"/>
        <v>0</v>
      </c>
      <c r="K38" s="1"/>
      <c r="L38" s="43">
        <f>'AEX Recoleta'!D38</f>
        <v>0</v>
      </c>
      <c r="M38" s="43">
        <f>'AEX Recoleta'!D39</f>
        <v>0</v>
      </c>
      <c r="N38" s="43">
        <f>'AEX Recoleta'!D40</f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1"/>
      <c r="B39" s="38" t="s">
        <v>47</v>
      </c>
      <c r="C39" s="36" t="s">
        <v>38</v>
      </c>
      <c r="D39" s="39">
        <f>'AEX CE2'!D43</f>
        <v>0</v>
      </c>
      <c r="E39" s="39">
        <f>'AEX CE2'!D44</f>
        <v>0</v>
      </c>
      <c r="F39" s="39">
        <f>'AEX CE2'!D45</f>
        <v>0</v>
      </c>
      <c r="G39" s="39">
        <f>'AEX CE2'!D46</f>
        <v>0</v>
      </c>
      <c r="H39" s="39">
        <f>'AEX CE2'!D47</f>
        <v>0</v>
      </c>
      <c r="I39" s="39">
        <f>'AEX CE2'!D48</f>
        <v>0</v>
      </c>
      <c r="J39" s="40">
        <f t="shared" si="2"/>
        <v>0</v>
      </c>
      <c r="K39" s="1"/>
      <c r="L39" s="43">
        <f>'AEX CE2'!D38</f>
        <v>0</v>
      </c>
      <c r="M39" s="43">
        <f>'AEX CE2'!D39</f>
        <v>0</v>
      </c>
      <c r="N39" s="43">
        <f>'AEX CE2'!D40</f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1"/>
      <c r="B40" s="42" t="s">
        <v>48</v>
      </c>
      <c r="C40" s="36" t="s">
        <v>38</v>
      </c>
      <c r="D40" s="39">
        <f>'AEX Las Brujas'!D43</f>
        <v>0</v>
      </c>
      <c r="E40" s="39">
        <f>'AEX Las Brujas'!D44</f>
        <v>0</v>
      </c>
      <c r="F40" s="39">
        <f>'AEX Las Brujas'!D45</f>
        <v>0</v>
      </c>
      <c r="G40" s="39">
        <f>'AEX Las Brujas'!D46</f>
        <v>0</v>
      </c>
      <c r="H40" s="39">
        <f>'AEX Las Brujas'!D47</f>
        <v>0</v>
      </c>
      <c r="I40" s="39">
        <f>'AEX Las Brujas'!D48</f>
        <v>0</v>
      </c>
      <c r="J40" s="40">
        <f t="shared" si="2"/>
        <v>0</v>
      </c>
      <c r="K40" s="1"/>
      <c r="L40" s="43">
        <f>'AEX Las Brujas'!D38</f>
        <v>0</v>
      </c>
      <c r="M40" s="43">
        <f>'AEX Las Brujas'!D39</f>
        <v>0</v>
      </c>
      <c r="N40" s="43">
        <f>'AEX Las Brujas'!D40</f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2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2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2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2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2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2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2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2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2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2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2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2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4">
    <mergeCell ref="B3:E3"/>
    <mergeCell ref="L14:L15"/>
    <mergeCell ref="M14:M15"/>
    <mergeCell ref="N14:N15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K1007"/>
  <sheetViews>
    <sheetView workbookViewId="0">
      <selection activeCell="D18" sqref="D18"/>
    </sheetView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24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94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  <row r="1001" spans="4:10" ht="15.75" customHeight="1" x14ac:dyDescent="0.25">
      <c r="D1001" s="7"/>
      <c r="J1001" s="7"/>
    </row>
    <row r="1002" spans="4:10" ht="15.75" customHeight="1" x14ac:dyDescent="0.25">
      <c r="D1002" s="7"/>
      <c r="J1002" s="7"/>
    </row>
    <row r="1003" spans="4:10" ht="15.75" customHeight="1" x14ac:dyDescent="0.25">
      <c r="D1003" s="7"/>
      <c r="J1003" s="7"/>
    </row>
    <row r="1004" spans="4:10" ht="15.75" customHeight="1" x14ac:dyDescent="0.25">
      <c r="D1004" s="7"/>
      <c r="J1004" s="7"/>
    </row>
    <row r="1005" spans="4:10" ht="15.75" customHeight="1" x14ac:dyDescent="0.25">
      <c r="D1005" s="7"/>
      <c r="J1005" s="7"/>
    </row>
    <row r="1006" spans="4:10" ht="15.75" customHeight="1" x14ac:dyDescent="0.25">
      <c r="D1006" s="7"/>
      <c r="J1006" s="7"/>
    </row>
    <row r="1007" spans="4:10" ht="15.75" customHeight="1" x14ac:dyDescent="0.25">
      <c r="D1007" s="7"/>
      <c r="J1007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26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104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27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105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28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106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29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107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30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108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31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109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09BD-187E-4060-BC52-EC1144581995}">
  <sheetPr>
    <outlinePr summaryBelow="0" summaryRight="0"/>
  </sheetPr>
  <dimension ref="B1:K1000"/>
  <sheetViews>
    <sheetView topLeftCell="A21" workbookViewId="0">
      <selection activeCell="E41" sqref="E41"/>
    </sheetView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32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94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5DE0-FB7B-4B5B-83D1-79E576C95267}">
  <sheetPr>
    <outlinePr summaryBelow="0" summaryRight="0"/>
  </sheetPr>
  <dimension ref="B1:K1000"/>
  <sheetViews>
    <sheetView topLeftCell="A29" workbookViewId="0">
      <selection activeCell="E2" sqref="E2"/>
    </sheetView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136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94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9230-DFFF-44A6-8DE5-CF161664D5F1}">
  <sheetPr>
    <outlinePr summaryBelow="0" summaryRight="0"/>
  </sheetPr>
  <dimension ref="B1:K1000"/>
  <sheetViews>
    <sheetView topLeftCell="A27" workbookViewId="0">
      <selection activeCell="D2" sqref="D2"/>
    </sheetView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137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94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6097-86DB-48B0-B9C9-C8064B953919}">
  <sheetPr>
    <outlinePr summaryBelow="0" summaryRight="0"/>
  </sheetPr>
  <dimension ref="B1:K1000"/>
  <sheetViews>
    <sheetView topLeftCell="A27" workbookViewId="0">
      <selection activeCell="C12" sqref="C12:C13"/>
    </sheetView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138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94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110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111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112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113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114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115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116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117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118</v>
      </c>
      <c r="F2" s="28"/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119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9" t="s">
        <v>120</v>
      </c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121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1">
    <mergeCell ref="C42:D4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50" t="s">
        <v>41</v>
      </c>
      <c r="E2" s="51"/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122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2">
    <mergeCell ref="D2:E2"/>
    <mergeCell ref="C42:D42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50" t="s">
        <v>123</v>
      </c>
      <c r="E2" s="51"/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124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2">
    <mergeCell ref="D2:E2"/>
    <mergeCell ref="C42:D42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50" t="s">
        <v>125</v>
      </c>
      <c r="E2" s="51"/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126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2">
    <mergeCell ref="D2:E2"/>
    <mergeCell ref="C42:D42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50" t="s">
        <v>127</v>
      </c>
      <c r="E2" s="51"/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128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2">
    <mergeCell ref="D2:E2"/>
    <mergeCell ref="C42:D4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50" t="s">
        <v>129</v>
      </c>
      <c r="E2" s="51"/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130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2">
    <mergeCell ref="D2:E2"/>
    <mergeCell ref="C42:D42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50" t="s">
        <v>131</v>
      </c>
      <c r="E2" s="51"/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132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2">
    <mergeCell ref="D2:E2"/>
    <mergeCell ref="C42:D42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50" t="s">
        <v>47</v>
      </c>
      <c r="E2" s="51"/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133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2">
    <mergeCell ref="D2:E2"/>
    <mergeCell ref="C42:D42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B1:K1000"/>
  <sheetViews>
    <sheetView workbookViewId="0"/>
  </sheetViews>
  <sheetFormatPr baseColWidth="10" defaultColWidth="12.6640625" defaultRowHeight="15" customHeight="1" x14ac:dyDescent="0.25"/>
  <cols>
    <col min="2" max="2" width="5.109375" customWidth="1"/>
    <col min="3" max="3" width="71.88671875" customWidth="1"/>
    <col min="4" max="4" width="27.88671875" customWidth="1"/>
    <col min="5" max="8" width="16.21875" customWidth="1"/>
    <col min="9" max="9" width="8.44140625" customWidth="1"/>
    <col min="10" max="10" width="22.33203125" customWidth="1"/>
    <col min="11" max="11" width="42.77734375" customWidth="1"/>
  </cols>
  <sheetData>
    <row r="1" spans="2:10" ht="13.2" x14ac:dyDescent="0.25">
      <c r="D1" s="7"/>
      <c r="J1" s="7"/>
    </row>
    <row r="2" spans="2:10" ht="15" customHeight="1" x14ac:dyDescent="0.25">
      <c r="C2" s="8" t="s">
        <v>49</v>
      </c>
      <c r="D2" s="50" t="s">
        <v>134</v>
      </c>
      <c r="E2" s="51"/>
      <c r="J2" s="7"/>
    </row>
    <row r="3" spans="2:10" ht="13.2" x14ac:dyDescent="0.25">
      <c r="D3" s="7"/>
      <c r="J3" s="7"/>
    </row>
    <row r="4" spans="2:10" ht="15.75" customHeight="1" x14ac:dyDescent="0.25">
      <c r="B4" s="10" t="s">
        <v>50</v>
      </c>
      <c r="C4" s="11" t="s">
        <v>51</v>
      </c>
      <c r="D4" s="12" t="s">
        <v>52</v>
      </c>
      <c r="E4" s="11"/>
      <c r="F4" s="11"/>
      <c r="G4" s="11"/>
      <c r="H4" s="11"/>
      <c r="J4" s="13" t="s">
        <v>53</v>
      </c>
    </row>
    <row r="5" spans="2:10" ht="15.75" customHeight="1" x14ac:dyDescent="0.25">
      <c r="B5" s="14" t="s">
        <v>54</v>
      </c>
      <c r="C5" s="15" t="s">
        <v>5</v>
      </c>
      <c r="D5" s="16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J5" s="16" t="s">
        <v>60</v>
      </c>
    </row>
    <row r="6" spans="2:10" ht="15.75" customHeight="1" x14ac:dyDescent="0.25">
      <c r="B6" s="17">
        <v>46023</v>
      </c>
      <c r="C6" s="18" t="s">
        <v>61</v>
      </c>
      <c r="D6" s="19" t="s">
        <v>62</v>
      </c>
      <c r="E6" s="20"/>
      <c r="F6" s="20"/>
      <c r="G6" s="21"/>
      <c r="H6" s="21">
        <v>0</v>
      </c>
      <c r="J6" s="22">
        <f t="shared" ref="J6:J10" si="0">G6*H6</f>
        <v>0</v>
      </c>
    </row>
    <row r="7" spans="2:10" ht="15.75" customHeight="1" x14ac:dyDescent="0.25">
      <c r="B7" s="17">
        <v>46054</v>
      </c>
      <c r="C7" s="18" t="s">
        <v>63</v>
      </c>
      <c r="D7" s="19" t="s">
        <v>62</v>
      </c>
      <c r="E7" s="20"/>
      <c r="F7" s="20"/>
      <c r="G7" s="21"/>
      <c r="H7" s="21">
        <v>0</v>
      </c>
      <c r="J7" s="22">
        <f t="shared" si="0"/>
        <v>0</v>
      </c>
    </row>
    <row r="8" spans="2:10" ht="15.75" customHeight="1" x14ac:dyDescent="0.25">
      <c r="B8" s="17" t="s">
        <v>64</v>
      </c>
      <c r="C8" s="18" t="s">
        <v>65</v>
      </c>
      <c r="D8" s="19" t="s">
        <v>62</v>
      </c>
      <c r="E8" s="20"/>
      <c r="F8" s="20"/>
      <c r="G8" s="21"/>
      <c r="H8" s="21">
        <v>0</v>
      </c>
      <c r="J8" s="22">
        <f t="shared" si="0"/>
        <v>0</v>
      </c>
    </row>
    <row r="9" spans="2:10" ht="15.75" customHeight="1" x14ac:dyDescent="0.25">
      <c r="B9" s="17" t="s">
        <v>66</v>
      </c>
      <c r="C9" s="18" t="s">
        <v>67</v>
      </c>
      <c r="D9" s="19" t="s">
        <v>62</v>
      </c>
      <c r="E9" s="20"/>
      <c r="F9" s="20"/>
      <c r="G9" s="21"/>
      <c r="H9" s="21">
        <v>0</v>
      </c>
      <c r="J9" s="22">
        <f t="shared" si="0"/>
        <v>0</v>
      </c>
    </row>
    <row r="10" spans="2:10" ht="15.75" customHeight="1" x14ac:dyDescent="0.25">
      <c r="B10" s="17" t="s">
        <v>68</v>
      </c>
      <c r="C10" s="18" t="s">
        <v>69</v>
      </c>
      <c r="D10" s="19" t="s">
        <v>70</v>
      </c>
      <c r="E10" s="20"/>
      <c r="F10" s="20"/>
      <c r="G10" s="21"/>
      <c r="H10" s="21">
        <v>0</v>
      </c>
      <c r="J10" s="22">
        <f t="shared" si="0"/>
        <v>0</v>
      </c>
    </row>
    <row r="11" spans="2:10" ht="15.75" customHeight="1" x14ac:dyDescent="0.25">
      <c r="B11" s="17"/>
      <c r="C11" s="23" t="s">
        <v>11</v>
      </c>
      <c r="D11" s="24"/>
      <c r="E11" s="23"/>
      <c r="F11" s="23"/>
      <c r="G11" s="25"/>
      <c r="H11" s="25"/>
      <c r="J11" s="26">
        <f>SUM(J6:J10)</f>
        <v>0</v>
      </c>
    </row>
    <row r="12" spans="2:10" ht="15.75" customHeight="1" x14ac:dyDescent="0.25">
      <c r="B12" s="14" t="s">
        <v>71</v>
      </c>
      <c r="C12" s="15" t="s">
        <v>72</v>
      </c>
      <c r="D12" s="16"/>
      <c r="E12" s="15" t="s">
        <v>56</v>
      </c>
      <c r="F12" s="15" t="s">
        <v>57</v>
      </c>
      <c r="G12" s="15" t="s">
        <v>58</v>
      </c>
      <c r="H12" s="15" t="s">
        <v>59</v>
      </c>
      <c r="J12" s="16" t="s">
        <v>60</v>
      </c>
    </row>
    <row r="13" spans="2:10" ht="15.75" customHeight="1" x14ac:dyDescent="0.25">
      <c r="B13" s="17">
        <v>46024</v>
      </c>
      <c r="C13" s="18" t="s">
        <v>73</v>
      </c>
      <c r="D13" s="19" t="s">
        <v>62</v>
      </c>
      <c r="E13" s="20"/>
      <c r="F13" s="20"/>
      <c r="G13" s="20"/>
      <c r="H13" s="20">
        <v>0</v>
      </c>
      <c r="J13" s="22">
        <f t="shared" ref="J13:J15" si="1">G13*H13</f>
        <v>0</v>
      </c>
    </row>
    <row r="14" spans="2:10" ht="15.75" customHeight="1" x14ac:dyDescent="0.25">
      <c r="B14" s="17">
        <v>46055</v>
      </c>
      <c r="C14" s="18" t="s">
        <v>74</v>
      </c>
      <c r="D14" s="19" t="s">
        <v>62</v>
      </c>
      <c r="E14" s="20"/>
      <c r="F14" s="20"/>
      <c r="G14" s="20"/>
      <c r="H14" s="20">
        <v>0</v>
      </c>
      <c r="J14" s="22">
        <f t="shared" si="1"/>
        <v>0</v>
      </c>
    </row>
    <row r="15" spans="2:10" ht="15.75" customHeight="1" x14ac:dyDescent="0.25">
      <c r="B15" s="17">
        <v>46083</v>
      </c>
      <c r="C15" s="18" t="s">
        <v>75</v>
      </c>
      <c r="D15" s="19" t="s">
        <v>62</v>
      </c>
      <c r="E15" s="20"/>
      <c r="F15" s="20"/>
      <c r="G15" s="20"/>
      <c r="H15" s="20">
        <v>0</v>
      </c>
      <c r="J15" s="22">
        <f t="shared" si="1"/>
        <v>0</v>
      </c>
    </row>
    <row r="16" spans="2:10" ht="15.75" customHeight="1" x14ac:dyDescent="0.25">
      <c r="B16" s="17"/>
      <c r="C16" s="23" t="s">
        <v>11</v>
      </c>
      <c r="D16" s="24"/>
      <c r="E16" s="23"/>
      <c r="F16" s="23"/>
      <c r="G16" s="25"/>
      <c r="H16" s="25"/>
      <c r="J16" s="26">
        <f>SUM(J13:J15)</f>
        <v>0</v>
      </c>
    </row>
    <row r="17" spans="2:11" ht="15.75" customHeight="1" x14ac:dyDescent="0.25">
      <c r="B17" s="14" t="s">
        <v>76</v>
      </c>
      <c r="C17" s="15" t="s">
        <v>77</v>
      </c>
      <c r="D17" s="16"/>
      <c r="E17" s="15" t="s">
        <v>56</v>
      </c>
      <c r="F17" s="15" t="s">
        <v>57</v>
      </c>
      <c r="G17" s="15" t="s">
        <v>58</v>
      </c>
      <c r="H17" s="15" t="s">
        <v>59</v>
      </c>
      <c r="J17" s="16" t="s">
        <v>60</v>
      </c>
    </row>
    <row r="18" spans="2:11" ht="15.75" customHeight="1" x14ac:dyDescent="0.25">
      <c r="B18" s="17">
        <v>46025</v>
      </c>
      <c r="C18" s="18" t="s">
        <v>78</v>
      </c>
      <c r="D18" s="19" t="s">
        <v>62</v>
      </c>
      <c r="E18" s="27"/>
      <c r="F18" s="27"/>
      <c r="G18" s="27"/>
      <c r="H18" s="20">
        <v>0</v>
      </c>
      <c r="J18" s="22">
        <f t="shared" ref="J18:J23" si="2">G18*H18</f>
        <v>0</v>
      </c>
    </row>
    <row r="19" spans="2:11" ht="15.75" customHeight="1" x14ac:dyDescent="0.25">
      <c r="B19" s="17">
        <v>46056</v>
      </c>
      <c r="C19" s="18" t="s">
        <v>79</v>
      </c>
      <c r="D19" s="19" t="s">
        <v>62</v>
      </c>
      <c r="E19" s="27"/>
      <c r="F19" s="27"/>
      <c r="G19" s="27"/>
      <c r="H19" s="20">
        <v>0</v>
      </c>
      <c r="J19" s="22">
        <f t="shared" si="2"/>
        <v>0</v>
      </c>
    </row>
    <row r="20" spans="2:11" ht="15.75" customHeight="1" x14ac:dyDescent="0.25">
      <c r="B20" s="17">
        <v>46084</v>
      </c>
      <c r="C20" s="18" t="s">
        <v>80</v>
      </c>
      <c r="D20" s="19" t="s">
        <v>81</v>
      </c>
      <c r="E20" s="27"/>
      <c r="F20" s="27"/>
      <c r="G20" s="27"/>
      <c r="H20" s="20">
        <v>0</v>
      </c>
      <c r="J20" s="22">
        <f t="shared" si="2"/>
        <v>0</v>
      </c>
    </row>
    <row r="21" spans="2:11" ht="15.75" customHeight="1" x14ac:dyDescent="0.25">
      <c r="B21" s="17">
        <v>46115</v>
      </c>
      <c r="C21" s="18" t="s">
        <v>82</v>
      </c>
      <c r="D21" s="19"/>
      <c r="E21" s="27"/>
      <c r="F21" s="27"/>
      <c r="G21" s="27"/>
      <c r="H21" s="20">
        <v>0</v>
      </c>
      <c r="J21" s="22">
        <f t="shared" si="2"/>
        <v>0</v>
      </c>
    </row>
    <row r="22" spans="2:11" ht="15.75" customHeight="1" x14ac:dyDescent="0.25">
      <c r="B22" s="17">
        <v>46145</v>
      </c>
      <c r="C22" s="18" t="s">
        <v>83</v>
      </c>
      <c r="D22" s="19" t="s">
        <v>62</v>
      </c>
      <c r="E22" s="27"/>
      <c r="F22" s="27"/>
      <c r="G22" s="27"/>
      <c r="H22" s="20">
        <v>0</v>
      </c>
      <c r="J22" s="22">
        <f t="shared" si="2"/>
        <v>0</v>
      </c>
    </row>
    <row r="23" spans="2:11" ht="15.75" customHeight="1" x14ac:dyDescent="0.25">
      <c r="B23" s="28" t="s">
        <v>84</v>
      </c>
      <c r="C23" s="18" t="s">
        <v>85</v>
      </c>
      <c r="D23" s="19" t="s">
        <v>70</v>
      </c>
      <c r="E23" s="27"/>
      <c r="F23" s="27"/>
      <c r="G23" s="27"/>
      <c r="H23" s="20">
        <v>0</v>
      </c>
      <c r="J23" s="22">
        <f t="shared" si="2"/>
        <v>0</v>
      </c>
    </row>
    <row r="24" spans="2:11" ht="15.75" customHeight="1" x14ac:dyDescent="0.25">
      <c r="B24" s="17"/>
      <c r="C24" s="23" t="s">
        <v>11</v>
      </c>
      <c r="D24" s="24"/>
      <c r="E24" s="23"/>
      <c r="F24" s="23"/>
      <c r="G24" s="25"/>
      <c r="H24" s="25"/>
      <c r="J24" s="26">
        <f>SUM(J18:J23)</f>
        <v>0</v>
      </c>
    </row>
    <row r="25" spans="2:11" ht="15.75" customHeight="1" x14ac:dyDescent="0.25">
      <c r="B25" s="14" t="s">
        <v>86</v>
      </c>
      <c r="C25" s="15" t="s">
        <v>87</v>
      </c>
      <c r="D25" s="16"/>
      <c r="E25" s="15" t="s">
        <v>56</v>
      </c>
      <c r="F25" s="15" t="s">
        <v>57</v>
      </c>
      <c r="G25" s="15" t="s">
        <v>58</v>
      </c>
      <c r="H25" s="15" t="s">
        <v>59</v>
      </c>
      <c r="J25" s="16" t="s">
        <v>60</v>
      </c>
    </row>
    <row r="26" spans="2:11" ht="15.75" customHeight="1" x14ac:dyDescent="0.25">
      <c r="B26" s="17">
        <v>46026</v>
      </c>
      <c r="C26" s="18" t="s">
        <v>88</v>
      </c>
      <c r="D26" s="19" t="s">
        <v>70</v>
      </c>
      <c r="E26" s="27"/>
      <c r="F26" s="27"/>
      <c r="G26" s="27"/>
      <c r="H26" s="20">
        <v>0</v>
      </c>
      <c r="J26" s="22">
        <f t="shared" ref="J26:J29" si="3">G26*H26</f>
        <v>0</v>
      </c>
    </row>
    <row r="27" spans="2:11" ht="15.75" customHeight="1" x14ac:dyDescent="0.25">
      <c r="B27" s="17">
        <v>46057</v>
      </c>
      <c r="C27" s="18" t="s">
        <v>89</v>
      </c>
      <c r="D27" s="19" t="s">
        <v>90</v>
      </c>
      <c r="E27" s="27"/>
      <c r="F27" s="27"/>
      <c r="G27" s="27"/>
      <c r="H27" s="20">
        <v>0</v>
      </c>
      <c r="J27" s="22">
        <f t="shared" si="3"/>
        <v>0</v>
      </c>
    </row>
    <row r="28" spans="2:11" ht="15.75" customHeight="1" x14ac:dyDescent="0.25">
      <c r="B28" s="17">
        <v>46085</v>
      </c>
      <c r="C28" s="18" t="s">
        <v>91</v>
      </c>
      <c r="D28" s="19" t="s">
        <v>70</v>
      </c>
      <c r="E28" s="27"/>
      <c r="F28" s="27"/>
      <c r="G28" s="27"/>
      <c r="H28" s="20">
        <v>0</v>
      </c>
      <c r="J28" s="22">
        <f t="shared" si="3"/>
        <v>0</v>
      </c>
    </row>
    <row r="29" spans="2:11" ht="15.75" customHeight="1" x14ac:dyDescent="0.25">
      <c r="B29" s="17">
        <v>46116</v>
      </c>
      <c r="C29" s="18" t="s">
        <v>92</v>
      </c>
      <c r="D29" s="19" t="s">
        <v>70</v>
      </c>
      <c r="E29" s="27"/>
      <c r="F29" s="27"/>
      <c r="G29" s="27"/>
      <c r="H29" s="20">
        <v>0</v>
      </c>
      <c r="J29" s="22">
        <f t="shared" si="3"/>
        <v>0</v>
      </c>
    </row>
    <row r="30" spans="2:11" ht="15.75" customHeight="1" x14ac:dyDescent="0.25">
      <c r="B30" s="17"/>
      <c r="C30" s="23" t="s">
        <v>11</v>
      </c>
      <c r="D30" s="24"/>
      <c r="E30" s="23"/>
      <c r="F30" s="23"/>
      <c r="G30" s="25"/>
      <c r="H30" s="25"/>
      <c r="J30" s="26">
        <f>SUM(J26:J29)</f>
        <v>0</v>
      </c>
    </row>
    <row r="31" spans="2:11" ht="15.75" customHeight="1" x14ac:dyDescent="0.25">
      <c r="B31" s="14" t="s">
        <v>93</v>
      </c>
      <c r="C31" s="15" t="s">
        <v>9</v>
      </c>
      <c r="D31" s="16"/>
      <c r="E31" s="15"/>
      <c r="F31" s="15"/>
      <c r="G31" s="15" t="s">
        <v>58</v>
      </c>
      <c r="H31" s="15" t="s">
        <v>59</v>
      </c>
      <c r="J31" s="16" t="s">
        <v>60</v>
      </c>
    </row>
    <row r="32" spans="2:11" ht="15.75" customHeight="1" x14ac:dyDescent="0.25">
      <c r="B32" s="17">
        <v>46027</v>
      </c>
      <c r="C32" s="18" t="s">
        <v>135</v>
      </c>
      <c r="D32" s="19" t="s">
        <v>95</v>
      </c>
      <c r="E32" s="27"/>
      <c r="F32" s="27"/>
      <c r="G32" s="27">
        <v>1</v>
      </c>
      <c r="H32" s="20">
        <v>0</v>
      </c>
      <c r="J32" s="22">
        <f>G32*H32</f>
        <v>0</v>
      </c>
      <c r="K32" s="29" t="s">
        <v>96</v>
      </c>
    </row>
    <row r="33" spans="2:11" ht="15.75" customHeight="1" x14ac:dyDescent="0.25">
      <c r="B33" s="17"/>
      <c r="C33" s="23" t="s">
        <v>11</v>
      </c>
      <c r="D33" s="24"/>
      <c r="E33" s="23"/>
      <c r="F33" s="23"/>
      <c r="G33" s="25"/>
      <c r="H33" s="25"/>
      <c r="J33" s="26">
        <f>SUM(J32)</f>
        <v>0</v>
      </c>
    </row>
    <row r="34" spans="2:11" ht="15.75" customHeight="1" x14ac:dyDescent="0.25">
      <c r="B34" s="14" t="s">
        <v>97</v>
      </c>
      <c r="C34" s="15" t="s">
        <v>10</v>
      </c>
      <c r="D34" s="16"/>
      <c r="E34" s="15"/>
      <c r="F34" s="15"/>
      <c r="G34" s="15" t="s">
        <v>58</v>
      </c>
      <c r="H34" s="15" t="s">
        <v>59</v>
      </c>
      <c r="J34" s="16" t="s">
        <v>60</v>
      </c>
    </row>
    <row r="35" spans="2:11" ht="15.75" customHeight="1" x14ac:dyDescent="0.25">
      <c r="B35" s="17">
        <v>46028</v>
      </c>
      <c r="C35" s="18" t="s">
        <v>98</v>
      </c>
      <c r="D35" s="19" t="s">
        <v>95</v>
      </c>
      <c r="E35" s="27"/>
      <c r="F35" s="27"/>
      <c r="G35" s="30">
        <v>1</v>
      </c>
      <c r="H35" s="20">
        <v>0</v>
      </c>
      <c r="J35" s="22">
        <f>G35*H35</f>
        <v>0</v>
      </c>
      <c r="K35" s="29" t="s">
        <v>99</v>
      </c>
    </row>
    <row r="36" spans="2:11" ht="15.75" customHeight="1" x14ac:dyDescent="0.25">
      <c r="B36" s="14"/>
      <c r="C36" s="23" t="s">
        <v>11</v>
      </c>
      <c r="D36" s="24"/>
      <c r="E36" s="23"/>
      <c r="F36" s="23"/>
      <c r="G36" s="25"/>
      <c r="H36" s="25"/>
      <c r="J36" s="26">
        <f>SUM(J35)</f>
        <v>0</v>
      </c>
    </row>
    <row r="37" spans="2:11" ht="15.75" customHeight="1" x14ac:dyDescent="0.25">
      <c r="B37" s="14"/>
      <c r="D37" s="7"/>
      <c r="J37" s="7"/>
    </row>
    <row r="38" spans="2:11" ht="15.75" customHeight="1" x14ac:dyDescent="0.25">
      <c r="B38" s="14"/>
      <c r="C38" s="31" t="s">
        <v>100</v>
      </c>
      <c r="D38" s="32">
        <f>SUM(D43:D47)/G32</f>
        <v>0</v>
      </c>
      <c r="J38" s="7"/>
    </row>
    <row r="39" spans="2:11" ht="15.75" customHeight="1" x14ac:dyDescent="0.25">
      <c r="B39" s="14"/>
      <c r="C39" s="31" t="s">
        <v>101</v>
      </c>
      <c r="D39" s="32">
        <f>H35</f>
        <v>0</v>
      </c>
      <c r="J39" s="7"/>
    </row>
    <row r="40" spans="2:11" ht="15.75" customHeight="1" x14ac:dyDescent="0.25">
      <c r="B40" s="14"/>
      <c r="C40" s="31" t="s">
        <v>102</v>
      </c>
      <c r="D40" s="32">
        <f>H32</f>
        <v>0</v>
      </c>
      <c r="J40" s="7"/>
    </row>
    <row r="41" spans="2:11" ht="15.75" customHeight="1" x14ac:dyDescent="0.25">
      <c r="B41" s="14"/>
      <c r="D41" s="7"/>
      <c r="J41" s="7"/>
    </row>
    <row r="42" spans="2:11" ht="15.75" customHeight="1" x14ac:dyDescent="0.25">
      <c r="B42" s="14"/>
      <c r="C42" s="49" t="s">
        <v>103</v>
      </c>
      <c r="D42" s="46"/>
      <c r="J42" s="7"/>
    </row>
    <row r="43" spans="2:11" ht="15.75" customHeight="1" x14ac:dyDescent="0.25">
      <c r="B43" s="14"/>
      <c r="C43" s="15" t="s">
        <v>5</v>
      </c>
      <c r="D43" s="33">
        <f>J11</f>
        <v>0</v>
      </c>
      <c r="J43" s="7"/>
    </row>
    <row r="44" spans="2:11" ht="15.75" customHeight="1" x14ac:dyDescent="0.25">
      <c r="B44" s="14"/>
      <c r="C44" s="15" t="s">
        <v>72</v>
      </c>
      <c r="D44" s="33">
        <f>J16</f>
        <v>0</v>
      </c>
      <c r="J44" s="7"/>
    </row>
    <row r="45" spans="2:11" ht="15.75" customHeight="1" x14ac:dyDescent="0.25">
      <c r="B45" s="14"/>
      <c r="C45" s="15" t="s">
        <v>77</v>
      </c>
      <c r="D45" s="33">
        <f>J24</f>
        <v>0</v>
      </c>
      <c r="J45" s="7"/>
    </row>
    <row r="46" spans="2:11" ht="15.75" customHeight="1" x14ac:dyDescent="0.25">
      <c r="B46" s="14"/>
      <c r="C46" s="15" t="s">
        <v>87</v>
      </c>
      <c r="D46" s="33">
        <f>J30</f>
        <v>0</v>
      </c>
      <c r="J46" s="7"/>
    </row>
    <row r="47" spans="2:11" ht="15.75" customHeight="1" x14ac:dyDescent="0.25">
      <c r="B47" s="14"/>
      <c r="C47" s="15" t="s">
        <v>9</v>
      </c>
      <c r="D47" s="33">
        <f>J33</f>
        <v>0</v>
      </c>
      <c r="J47" s="7"/>
    </row>
    <row r="48" spans="2:11" ht="15.75" customHeight="1" x14ac:dyDescent="0.25">
      <c r="B48" s="14"/>
      <c r="C48" s="15" t="s">
        <v>10</v>
      </c>
      <c r="D48" s="33">
        <f>J36</f>
        <v>0</v>
      </c>
      <c r="J48" s="7"/>
    </row>
    <row r="49" spans="2:10" ht="15.75" customHeight="1" x14ac:dyDescent="0.25">
      <c r="B49" s="14"/>
      <c r="C49" s="15" t="s">
        <v>11</v>
      </c>
      <c r="D49" s="34">
        <f>SUM(D43:D48)</f>
        <v>0</v>
      </c>
      <c r="J49" s="7"/>
    </row>
    <row r="50" spans="2:10" ht="15.75" customHeight="1" x14ac:dyDescent="0.25">
      <c r="B50" s="14"/>
      <c r="D50" s="7"/>
      <c r="J50" s="7"/>
    </row>
    <row r="51" spans="2:10" ht="15.75" customHeight="1" x14ac:dyDescent="0.25">
      <c r="B51" s="14"/>
      <c r="D51" s="7"/>
      <c r="J51" s="7"/>
    </row>
    <row r="52" spans="2:10" ht="15.75" customHeight="1" x14ac:dyDescent="0.25">
      <c r="B52" s="14"/>
      <c r="D52" s="7"/>
      <c r="J52" s="7"/>
    </row>
    <row r="53" spans="2:10" ht="15.75" customHeight="1" x14ac:dyDescent="0.25">
      <c r="B53" s="14"/>
      <c r="D53" s="7"/>
      <c r="J53" s="7"/>
    </row>
    <row r="54" spans="2:10" ht="15.75" customHeight="1" x14ac:dyDescent="0.25">
      <c r="B54" s="14"/>
      <c r="D54" s="7"/>
      <c r="J54" s="7"/>
    </row>
    <row r="55" spans="2:10" ht="15.75" customHeight="1" x14ac:dyDescent="0.25">
      <c r="B55" s="14"/>
      <c r="D55" s="7"/>
      <c r="J55" s="7"/>
    </row>
    <row r="56" spans="2:10" ht="15.75" customHeight="1" x14ac:dyDescent="0.25">
      <c r="B56" s="14"/>
      <c r="D56" s="7"/>
      <c r="J56" s="7"/>
    </row>
    <row r="57" spans="2:10" ht="15.75" customHeight="1" x14ac:dyDescent="0.25">
      <c r="B57" s="14"/>
      <c r="D57" s="7"/>
      <c r="J57" s="7"/>
    </row>
    <row r="58" spans="2:10" ht="15.75" customHeight="1" x14ac:dyDescent="0.25">
      <c r="B58" s="14"/>
      <c r="D58" s="7"/>
      <c r="J58" s="7"/>
    </row>
    <row r="59" spans="2:10" ht="15.75" customHeight="1" x14ac:dyDescent="0.25">
      <c r="B59" s="14"/>
      <c r="D59" s="7"/>
      <c r="J59" s="7"/>
    </row>
    <row r="60" spans="2:10" ht="15.75" customHeight="1" x14ac:dyDescent="0.25">
      <c r="B60" s="14"/>
      <c r="D60" s="7"/>
      <c r="J60" s="7"/>
    </row>
    <row r="61" spans="2:10" ht="15.75" customHeight="1" x14ac:dyDescent="0.25">
      <c r="B61" s="14"/>
      <c r="D61" s="7"/>
      <c r="J61" s="7"/>
    </row>
    <row r="62" spans="2:10" ht="15.75" customHeight="1" x14ac:dyDescent="0.25">
      <c r="B62" s="14"/>
      <c r="D62" s="7"/>
      <c r="J62" s="7"/>
    </row>
    <row r="63" spans="2:10" ht="15.75" customHeight="1" x14ac:dyDescent="0.25">
      <c r="B63" s="14"/>
      <c r="D63" s="7"/>
      <c r="J63" s="7"/>
    </row>
    <row r="64" spans="2:10" ht="15.75" customHeight="1" x14ac:dyDescent="0.25">
      <c r="B64" s="14"/>
      <c r="D64" s="7"/>
      <c r="J64" s="7"/>
    </row>
    <row r="65" spans="2:10" ht="15.75" customHeight="1" x14ac:dyDescent="0.25">
      <c r="B65" s="14"/>
      <c r="D65" s="7"/>
      <c r="J65" s="7"/>
    </row>
    <row r="66" spans="2:10" ht="15.75" customHeight="1" x14ac:dyDescent="0.25">
      <c r="B66" s="14"/>
      <c r="D66" s="7"/>
      <c r="J66" s="7"/>
    </row>
    <row r="67" spans="2:10" ht="15.75" customHeight="1" x14ac:dyDescent="0.25">
      <c r="B67" s="14"/>
      <c r="D67" s="7"/>
      <c r="J67" s="7"/>
    </row>
    <row r="68" spans="2:10" ht="15.75" customHeight="1" x14ac:dyDescent="0.25">
      <c r="B68" s="14"/>
      <c r="D68" s="7"/>
      <c r="J68" s="7"/>
    </row>
    <row r="69" spans="2:10" ht="15.75" customHeight="1" x14ac:dyDescent="0.25">
      <c r="B69" s="14"/>
      <c r="D69" s="7"/>
      <c r="J69" s="7"/>
    </row>
    <row r="70" spans="2:10" ht="15.75" customHeight="1" x14ac:dyDescent="0.25">
      <c r="B70" s="14"/>
      <c r="D70" s="7"/>
      <c r="J70" s="7"/>
    </row>
    <row r="71" spans="2:10" ht="15.75" customHeight="1" x14ac:dyDescent="0.25">
      <c r="B71" s="14"/>
      <c r="D71" s="7"/>
      <c r="J71" s="7"/>
    </row>
    <row r="72" spans="2:10" ht="15.75" customHeight="1" x14ac:dyDescent="0.25">
      <c r="B72" s="14"/>
      <c r="D72" s="7"/>
      <c r="J72" s="7"/>
    </row>
    <row r="73" spans="2:10" ht="15.75" customHeight="1" x14ac:dyDescent="0.25">
      <c r="B73" s="14"/>
      <c r="D73" s="7"/>
      <c r="J73" s="7"/>
    </row>
    <row r="74" spans="2:10" ht="15.75" customHeight="1" x14ac:dyDescent="0.25">
      <c r="B74" s="14"/>
      <c r="D74" s="7"/>
      <c r="J74" s="7"/>
    </row>
    <row r="75" spans="2:10" ht="15.75" customHeight="1" x14ac:dyDescent="0.25">
      <c r="B75" s="14"/>
      <c r="D75" s="7"/>
      <c r="J75" s="7"/>
    </row>
    <row r="76" spans="2:10" ht="15.75" customHeight="1" x14ac:dyDescent="0.25">
      <c r="B76" s="14"/>
      <c r="D76" s="7"/>
      <c r="J76" s="7"/>
    </row>
    <row r="77" spans="2:10" ht="15.75" customHeight="1" x14ac:dyDescent="0.25">
      <c r="B77" s="14"/>
      <c r="D77" s="7"/>
      <c r="J77" s="7"/>
    </row>
    <row r="78" spans="2:10" ht="15.75" customHeight="1" x14ac:dyDescent="0.25">
      <c r="B78" s="14"/>
      <c r="D78" s="7"/>
      <c r="J78" s="7"/>
    </row>
    <row r="79" spans="2:10" ht="15.75" customHeight="1" x14ac:dyDescent="0.25">
      <c r="B79" s="14"/>
      <c r="D79" s="7"/>
      <c r="J79" s="7"/>
    </row>
    <row r="80" spans="2:10" ht="15.75" customHeight="1" x14ac:dyDescent="0.25">
      <c r="B80" s="14"/>
      <c r="D80" s="7"/>
      <c r="J80" s="7"/>
    </row>
    <row r="81" spans="2:10" ht="15.75" customHeight="1" x14ac:dyDescent="0.25">
      <c r="B81" s="14"/>
      <c r="D81" s="7"/>
      <c r="J81" s="7"/>
    </row>
    <row r="82" spans="2:10" ht="15.75" customHeight="1" x14ac:dyDescent="0.25">
      <c r="B82" s="14"/>
      <c r="D82" s="7"/>
      <c r="J82" s="7"/>
    </row>
    <row r="83" spans="2:10" ht="15.75" customHeight="1" x14ac:dyDescent="0.25">
      <c r="B83" s="14"/>
      <c r="D83" s="7"/>
      <c r="J83" s="7"/>
    </row>
    <row r="84" spans="2:10" ht="15.75" customHeight="1" x14ac:dyDescent="0.25">
      <c r="B84" s="14"/>
      <c r="D84" s="7"/>
      <c r="J84" s="7"/>
    </row>
    <row r="85" spans="2:10" ht="15.75" customHeight="1" x14ac:dyDescent="0.25">
      <c r="B85" s="14"/>
      <c r="D85" s="7"/>
      <c r="J85" s="7"/>
    </row>
    <row r="86" spans="2:10" ht="15.75" customHeight="1" x14ac:dyDescent="0.25">
      <c r="B86" s="14"/>
      <c r="D86" s="7"/>
      <c r="J86" s="7"/>
    </row>
    <row r="87" spans="2:10" ht="15.75" customHeight="1" x14ac:dyDescent="0.25">
      <c r="B87" s="14"/>
      <c r="D87" s="7"/>
      <c r="J87" s="7"/>
    </row>
    <row r="88" spans="2:10" ht="15.75" customHeight="1" x14ac:dyDescent="0.25">
      <c r="B88" s="14"/>
      <c r="D88" s="7"/>
      <c r="J88" s="7"/>
    </row>
    <row r="89" spans="2:10" ht="15.75" customHeight="1" x14ac:dyDescent="0.25">
      <c r="B89" s="14"/>
      <c r="D89" s="7"/>
      <c r="J89" s="7"/>
    </row>
    <row r="90" spans="2:10" ht="15.75" customHeight="1" x14ac:dyDescent="0.25">
      <c r="B90" s="14"/>
      <c r="D90" s="7"/>
      <c r="J90" s="7"/>
    </row>
    <row r="91" spans="2:10" ht="15.75" customHeight="1" x14ac:dyDescent="0.25">
      <c r="B91" s="14"/>
      <c r="D91" s="7"/>
      <c r="J91" s="7"/>
    </row>
    <row r="92" spans="2:10" ht="15.75" customHeight="1" x14ac:dyDescent="0.25">
      <c r="B92" s="14"/>
      <c r="D92" s="7"/>
      <c r="J92" s="7"/>
    </row>
    <row r="93" spans="2:10" ht="15.75" customHeight="1" x14ac:dyDescent="0.25">
      <c r="B93" s="14"/>
      <c r="D93" s="7"/>
      <c r="J93" s="7"/>
    </row>
    <row r="94" spans="2:10" ht="15.75" customHeight="1" x14ac:dyDescent="0.25">
      <c r="B94" s="14"/>
      <c r="D94" s="7"/>
      <c r="J94" s="7"/>
    </row>
    <row r="95" spans="2:10" ht="15.75" customHeight="1" x14ac:dyDescent="0.25">
      <c r="B95" s="14"/>
      <c r="D95" s="7"/>
      <c r="J95" s="7"/>
    </row>
    <row r="96" spans="2:10" ht="15.75" customHeight="1" x14ac:dyDescent="0.25">
      <c r="B96" s="14"/>
      <c r="D96" s="7"/>
      <c r="J96" s="7"/>
    </row>
    <row r="97" spans="2:10" ht="15.75" customHeight="1" x14ac:dyDescent="0.25">
      <c r="B97" s="14"/>
      <c r="D97" s="7"/>
      <c r="J97" s="7"/>
    </row>
    <row r="98" spans="2:10" ht="15.75" customHeight="1" x14ac:dyDescent="0.25">
      <c r="B98" s="14"/>
      <c r="D98" s="7"/>
      <c r="J98" s="7"/>
    </row>
    <row r="99" spans="2:10" ht="15.75" customHeight="1" x14ac:dyDescent="0.25">
      <c r="B99" s="14"/>
      <c r="D99" s="7"/>
      <c r="J99" s="7"/>
    </row>
    <row r="100" spans="2:10" ht="15.75" customHeight="1" x14ac:dyDescent="0.25">
      <c r="B100" s="14"/>
      <c r="D100" s="7"/>
      <c r="J100" s="7"/>
    </row>
    <row r="101" spans="2:10" ht="15.75" customHeight="1" x14ac:dyDescent="0.25">
      <c r="B101" s="14"/>
      <c r="D101" s="7"/>
      <c r="J101" s="7"/>
    </row>
    <row r="102" spans="2:10" ht="15.75" customHeight="1" x14ac:dyDescent="0.25">
      <c r="B102" s="14"/>
      <c r="D102" s="7"/>
      <c r="J102" s="7"/>
    </row>
    <row r="103" spans="2:10" ht="15.75" customHeight="1" x14ac:dyDescent="0.25">
      <c r="B103" s="14"/>
      <c r="D103" s="7"/>
      <c r="J103" s="7"/>
    </row>
    <row r="104" spans="2:10" ht="15.75" customHeight="1" x14ac:dyDescent="0.25">
      <c r="B104" s="14"/>
      <c r="D104" s="7"/>
      <c r="J104" s="7"/>
    </row>
    <row r="105" spans="2:10" ht="15.75" customHeight="1" x14ac:dyDescent="0.25">
      <c r="B105" s="14"/>
      <c r="D105" s="7"/>
      <c r="J105" s="7"/>
    </row>
    <row r="106" spans="2:10" ht="15.75" customHeight="1" x14ac:dyDescent="0.25">
      <c r="B106" s="14"/>
      <c r="D106" s="7"/>
      <c r="J106" s="7"/>
    </row>
    <row r="107" spans="2:10" ht="15.75" customHeight="1" x14ac:dyDescent="0.25">
      <c r="B107" s="14"/>
      <c r="D107" s="7"/>
      <c r="J107" s="7"/>
    </row>
    <row r="108" spans="2:10" ht="15.75" customHeight="1" x14ac:dyDescent="0.25">
      <c r="B108" s="14"/>
      <c r="D108" s="7"/>
      <c r="J108" s="7"/>
    </row>
    <row r="109" spans="2:10" ht="15.75" customHeight="1" x14ac:dyDescent="0.25">
      <c r="B109" s="14"/>
      <c r="D109" s="7"/>
      <c r="J109" s="7"/>
    </row>
    <row r="110" spans="2:10" ht="15.75" customHeight="1" x14ac:dyDescent="0.25">
      <c r="B110" s="14"/>
      <c r="D110" s="7"/>
      <c r="J110" s="7"/>
    </row>
    <row r="111" spans="2:10" ht="15.75" customHeight="1" x14ac:dyDescent="0.25">
      <c r="B111" s="14"/>
      <c r="D111" s="7"/>
      <c r="J111" s="7"/>
    </row>
    <row r="112" spans="2:10" ht="15.75" customHeight="1" x14ac:dyDescent="0.25">
      <c r="B112" s="14"/>
      <c r="D112" s="7"/>
      <c r="J112" s="7"/>
    </row>
    <row r="113" spans="2:10" ht="15.75" customHeight="1" x14ac:dyDescent="0.25">
      <c r="B113" s="14"/>
      <c r="D113" s="7"/>
      <c r="J113" s="7"/>
    </row>
    <row r="114" spans="2:10" ht="15.75" customHeight="1" x14ac:dyDescent="0.25">
      <c r="B114" s="14"/>
      <c r="D114" s="7"/>
      <c r="J114" s="7"/>
    </row>
    <row r="115" spans="2:10" ht="15.75" customHeight="1" x14ac:dyDescent="0.25">
      <c r="B115" s="14"/>
      <c r="D115" s="7"/>
      <c r="J115" s="7"/>
    </row>
    <row r="116" spans="2:10" ht="15.75" customHeight="1" x14ac:dyDescent="0.25">
      <c r="B116" s="14"/>
      <c r="D116" s="7"/>
      <c r="J116" s="7"/>
    </row>
    <row r="117" spans="2:10" ht="15.75" customHeight="1" x14ac:dyDescent="0.25">
      <c r="B117" s="14"/>
      <c r="D117" s="7"/>
      <c r="J117" s="7"/>
    </row>
    <row r="118" spans="2:10" ht="15.75" customHeight="1" x14ac:dyDescent="0.25">
      <c r="B118" s="14"/>
      <c r="D118" s="7"/>
      <c r="J118" s="7"/>
    </row>
    <row r="119" spans="2:10" ht="15.75" customHeight="1" x14ac:dyDescent="0.25">
      <c r="B119" s="14"/>
      <c r="D119" s="7"/>
      <c r="J119" s="7"/>
    </row>
    <row r="120" spans="2:10" ht="15.75" customHeight="1" x14ac:dyDescent="0.25">
      <c r="B120" s="14"/>
      <c r="D120" s="7"/>
      <c r="J120" s="7"/>
    </row>
    <row r="121" spans="2:10" ht="15.75" customHeight="1" x14ac:dyDescent="0.25">
      <c r="B121" s="14"/>
      <c r="D121" s="7"/>
      <c r="J121" s="7"/>
    </row>
    <row r="122" spans="2:10" ht="15.75" customHeight="1" x14ac:dyDescent="0.25">
      <c r="B122" s="14"/>
      <c r="D122" s="7"/>
      <c r="J122" s="7"/>
    </row>
    <row r="123" spans="2:10" ht="15.75" customHeight="1" x14ac:dyDescent="0.25">
      <c r="B123" s="14"/>
      <c r="D123" s="7"/>
      <c r="J123" s="7"/>
    </row>
    <row r="124" spans="2:10" ht="15.75" customHeight="1" x14ac:dyDescent="0.25">
      <c r="B124" s="14"/>
      <c r="D124" s="7"/>
      <c r="J124" s="7"/>
    </row>
    <row r="125" spans="2:10" ht="15.75" customHeight="1" x14ac:dyDescent="0.25">
      <c r="B125" s="14"/>
      <c r="D125" s="7"/>
      <c r="J125" s="7"/>
    </row>
    <row r="126" spans="2:10" ht="15.75" customHeight="1" x14ac:dyDescent="0.25">
      <c r="B126" s="14"/>
      <c r="D126" s="7"/>
      <c r="J126" s="7"/>
    </row>
    <row r="127" spans="2:10" ht="15.75" customHeight="1" x14ac:dyDescent="0.25">
      <c r="B127" s="14"/>
      <c r="D127" s="7"/>
      <c r="J127" s="7"/>
    </row>
    <row r="128" spans="2:10" ht="15.75" customHeight="1" x14ac:dyDescent="0.25">
      <c r="B128" s="14"/>
      <c r="D128" s="7"/>
      <c r="J128" s="7"/>
    </row>
    <row r="129" spans="2:10" ht="15.75" customHeight="1" x14ac:dyDescent="0.25">
      <c r="B129" s="14"/>
      <c r="D129" s="7"/>
      <c r="J129" s="7"/>
    </row>
    <row r="130" spans="2:10" ht="15.75" customHeight="1" x14ac:dyDescent="0.25">
      <c r="B130" s="14"/>
      <c r="D130" s="7"/>
      <c r="J130" s="7"/>
    </row>
    <row r="131" spans="2:10" ht="15.75" customHeight="1" x14ac:dyDescent="0.25">
      <c r="B131" s="14"/>
      <c r="D131" s="7"/>
      <c r="J131" s="7"/>
    </row>
    <row r="132" spans="2:10" ht="15.75" customHeight="1" x14ac:dyDescent="0.25">
      <c r="B132" s="14"/>
      <c r="D132" s="7"/>
      <c r="J132" s="7"/>
    </row>
    <row r="133" spans="2:10" ht="15.75" customHeight="1" x14ac:dyDescent="0.25">
      <c r="B133" s="14"/>
      <c r="D133" s="7"/>
      <c r="J133" s="7"/>
    </row>
    <row r="134" spans="2:10" ht="15.75" customHeight="1" x14ac:dyDescent="0.25">
      <c r="B134" s="14"/>
      <c r="D134" s="7"/>
      <c r="J134" s="7"/>
    </row>
    <row r="135" spans="2:10" ht="15.75" customHeight="1" x14ac:dyDescent="0.25">
      <c r="B135" s="14"/>
      <c r="D135" s="7"/>
      <c r="J135" s="7"/>
    </row>
    <row r="136" spans="2:10" ht="15.75" customHeight="1" x14ac:dyDescent="0.25">
      <c r="B136" s="14"/>
      <c r="D136" s="7"/>
      <c r="J136" s="7"/>
    </row>
    <row r="137" spans="2:10" ht="15.75" customHeight="1" x14ac:dyDescent="0.25">
      <c r="B137" s="14"/>
      <c r="D137" s="7"/>
      <c r="J137" s="7"/>
    </row>
    <row r="138" spans="2:10" ht="15.75" customHeight="1" x14ac:dyDescent="0.25">
      <c r="B138" s="14"/>
      <c r="D138" s="7"/>
      <c r="J138" s="7"/>
    </row>
    <row r="139" spans="2:10" ht="15.75" customHeight="1" x14ac:dyDescent="0.25">
      <c r="B139" s="14"/>
      <c r="D139" s="7"/>
      <c r="J139" s="7"/>
    </row>
    <row r="140" spans="2:10" ht="15.75" customHeight="1" x14ac:dyDescent="0.25">
      <c r="B140" s="14"/>
      <c r="D140" s="7"/>
      <c r="J140" s="7"/>
    </row>
    <row r="141" spans="2:10" ht="15.75" customHeight="1" x14ac:dyDescent="0.25">
      <c r="B141" s="14"/>
      <c r="D141" s="7"/>
      <c r="J141" s="7"/>
    </row>
    <row r="142" spans="2:10" ht="15.75" customHeight="1" x14ac:dyDescent="0.25">
      <c r="B142" s="14"/>
      <c r="D142" s="7"/>
      <c r="J142" s="7"/>
    </row>
    <row r="143" spans="2:10" ht="15.75" customHeight="1" x14ac:dyDescent="0.25">
      <c r="B143" s="14"/>
      <c r="D143" s="7"/>
      <c r="J143" s="7"/>
    </row>
    <row r="144" spans="2:10" ht="15.75" customHeight="1" x14ac:dyDescent="0.25">
      <c r="B144" s="14"/>
      <c r="D144" s="7"/>
      <c r="J144" s="7"/>
    </row>
    <row r="145" spans="2:10" ht="15.75" customHeight="1" x14ac:dyDescent="0.25">
      <c r="B145" s="14"/>
      <c r="D145" s="7"/>
      <c r="J145" s="7"/>
    </row>
    <row r="146" spans="2:10" ht="15.75" customHeight="1" x14ac:dyDescent="0.25">
      <c r="B146" s="14"/>
      <c r="D146" s="7"/>
      <c r="J146" s="7"/>
    </row>
    <row r="147" spans="2:10" ht="15.75" customHeight="1" x14ac:dyDescent="0.25">
      <c r="B147" s="14"/>
      <c r="D147" s="7"/>
      <c r="J147" s="7"/>
    </row>
    <row r="148" spans="2:10" ht="15.75" customHeight="1" x14ac:dyDescent="0.25">
      <c r="B148" s="14"/>
      <c r="D148" s="7"/>
      <c r="J148" s="7"/>
    </row>
    <row r="149" spans="2:10" ht="15.75" customHeight="1" x14ac:dyDescent="0.25">
      <c r="B149" s="14"/>
      <c r="D149" s="7"/>
      <c r="J149" s="7"/>
    </row>
    <row r="150" spans="2:10" ht="15.75" customHeight="1" x14ac:dyDescent="0.25">
      <c r="B150" s="14"/>
      <c r="D150" s="7"/>
      <c r="J150" s="7"/>
    </row>
    <row r="151" spans="2:10" ht="15.75" customHeight="1" x14ac:dyDescent="0.25">
      <c r="B151" s="14"/>
      <c r="D151" s="7"/>
      <c r="J151" s="7"/>
    </row>
    <row r="152" spans="2:10" ht="15.75" customHeight="1" x14ac:dyDescent="0.25">
      <c r="B152" s="14"/>
      <c r="D152" s="7"/>
      <c r="J152" s="7"/>
    </row>
    <row r="153" spans="2:10" ht="15.75" customHeight="1" x14ac:dyDescent="0.25">
      <c r="B153" s="14"/>
      <c r="D153" s="7"/>
      <c r="J153" s="7"/>
    </row>
    <row r="154" spans="2:10" ht="15.75" customHeight="1" x14ac:dyDescent="0.25">
      <c r="B154" s="14"/>
      <c r="D154" s="7"/>
      <c r="J154" s="7"/>
    </row>
    <row r="155" spans="2:10" ht="15.75" customHeight="1" x14ac:dyDescent="0.25">
      <c r="B155" s="14"/>
      <c r="D155" s="7"/>
      <c r="J155" s="7"/>
    </row>
    <row r="156" spans="2:10" ht="15.75" customHeight="1" x14ac:dyDescent="0.25">
      <c r="B156" s="14"/>
      <c r="D156" s="7"/>
      <c r="J156" s="7"/>
    </row>
    <row r="157" spans="2:10" ht="15.75" customHeight="1" x14ac:dyDescent="0.25">
      <c r="B157" s="14"/>
      <c r="D157" s="7"/>
      <c r="J157" s="7"/>
    </row>
    <row r="158" spans="2:10" ht="15.75" customHeight="1" x14ac:dyDescent="0.25">
      <c r="B158" s="14"/>
      <c r="D158" s="7"/>
      <c r="J158" s="7"/>
    </row>
    <row r="159" spans="2:10" ht="15.75" customHeight="1" x14ac:dyDescent="0.25">
      <c r="B159" s="14"/>
      <c r="D159" s="7"/>
      <c r="J159" s="7"/>
    </row>
    <row r="160" spans="2:10" ht="15.75" customHeight="1" x14ac:dyDescent="0.25">
      <c r="B160" s="14"/>
      <c r="D160" s="7"/>
      <c r="J160" s="7"/>
    </row>
    <row r="161" spans="2:10" ht="15.75" customHeight="1" x14ac:dyDescent="0.25">
      <c r="B161" s="14"/>
      <c r="D161" s="7"/>
      <c r="J161" s="7"/>
    </row>
    <row r="162" spans="2:10" ht="15.75" customHeight="1" x14ac:dyDescent="0.25">
      <c r="B162" s="14"/>
      <c r="D162" s="7"/>
      <c r="J162" s="7"/>
    </row>
    <row r="163" spans="2:10" ht="15.75" customHeight="1" x14ac:dyDescent="0.25">
      <c r="B163" s="14"/>
      <c r="D163" s="7"/>
      <c r="J163" s="7"/>
    </row>
    <row r="164" spans="2:10" ht="15.75" customHeight="1" x14ac:dyDescent="0.25">
      <c r="B164" s="14"/>
      <c r="D164" s="7"/>
      <c r="J164" s="7"/>
    </row>
    <row r="165" spans="2:10" ht="15.75" customHeight="1" x14ac:dyDescent="0.25">
      <c r="B165" s="14"/>
      <c r="D165" s="7"/>
      <c r="J165" s="7"/>
    </row>
    <row r="166" spans="2:10" ht="15.75" customHeight="1" x14ac:dyDescent="0.25">
      <c r="B166" s="14"/>
      <c r="D166" s="7"/>
      <c r="J166" s="7"/>
    </row>
    <row r="167" spans="2:10" ht="15.75" customHeight="1" x14ac:dyDescent="0.25">
      <c r="B167" s="14"/>
      <c r="D167" s="7"/>
      <c r="J167" s="7"/>
    </row>
    <row r="168" spans="2:10" ht="15.75" customHeight="1" x14ac:dyDescent="0.25">
      <c r="B168" s="14"/>
      <c r="D168" s="7"/>
      <c r="J168" s="7"/>
    </row>
    <row r="169" spans="2:10" ht="15.75" customHeight="1" x14ac:dyDescent="0.25">
      <c r="B169" s="14"/>
      <c r="D169" s="7"/>
      <c r="J169" s="7"/>
    </row>
    <row r="170" spans="2:10" ht="15.75" customHeight="1" x14ac:dyDescent="0.25">
      <c r="B170" s="14"/>
      <c r="D170" s="7"/>
      <c r="J170" s="7"/>
    </row>
    <row r="171" spans="2:10" ht="15.75" customHeight="1" x14ac:dyDescent="0.25">
      <c r="B171" s="14"/>
      <c r="D171" s="7"/>
      <c r="J171" s="7"/>
    </row>
    <row r="172" spans="2:10" ht="15.75" customHeight="1" x14ac:dyDescent="0.25">
      <c r="B172" s="14"/>
      <c r="D172" s="7"/>
      <c r="J172" s="7"/>
    </row>
    <row r="173" spans="2:10" ht="15.75" customHeight="1" x14ac:dyDescent="0.25">
      <c r="B173" s="14"/>
      <c r="D173" s="7"/>
      <c r="J173" s="7"/>
    </row>
    <row r="174" spans="2:10" ht="15.75" customHeight="1" x14ac:dyDescent="0.25">
      <c r="B174" s="14"/>
      <c r="D174" s="7"/>
      <c r="J174" s="7"/>
    </row>
    <row r="175" spans="2:10" ht="15.75" customHeight="1" x14ac:dyDescent="0.25">
      <c r="B175" s="14"/>
      <c r="D175" s="7"/>
      <c r="J175" s="7"/>
    </row>
    <row r="176" spans="2:10" ht="15.75" customHeight="1" x14ac:dyDescent="0.25">
      <c r="B176" s="14"/>
      <c r="D176" s="7"/>
      <c r="J176" s="7"/>
    </row>
    <row r="177" spans="2:10" ht="15.75" customHeight="1" x14ac:dyDescent="0.25">
      <c r="B177" s="14"/>
      <c r="D177" s="7"/>
      <c r="J177" s="7"/>
    </row>
    <row r="178" spans="2:10" ht="15.75" customHeight="1" x14ac:dyDescent="0.25">
      <c r="B178" s="14"/>
      <c r="D178" s="7"/>
      <c r="J178" s="7"/>
    </row>
    <row r="179" spans="2:10" ht="15.75" customHeight="1" x14ac:dyDescent="0.25">
      <c r="B179" s="14"/>
      <c r="D179" s="7"/>
      <c r="J179" s="7"/>
    </row>
    <row r="180" spans="2:10" ht="15.75" customHeight="1" x14ac:dyDescent="0.25">
      <c r="B180" s="14"/>
      <c r="D180" s="7"/>
      <c r="J180" s="7"/>
    </row>
    <row r="181" spans="2:10" ht="15.75" customHeight="1" x14ac:dyDescent="0.25">
      <c r="B181" s="14"/>
      <c r="D181" s="7"/>
      <c r="J181" s="7"/>
    </row>
    <row r="182" spans="2:10" ht="15.75" customHeight="1" x14ac:dyDescent="0.25">
      <c r="B182" s="14"/>
      <c r="D182" s="7"/>
      <c r="J182" s="7"/>
    </row>
    <row r="183" spans="2:10" ht="15.75" customHeight="1" x14ac:dyDescent="0.25">
      <c r="B183" s="14"/>
      <c r="D183" s="7"/>
      <c r="J183" s="7"/>
    </row>
    <row r="184" spans="2:10" ht="15.75" customHeight="1" x14ac:dyDescent="0.25">
      <c r="B184" s="14"/>
      <c r="D184" s="7"/>
      <c r="J184" s="7"/>
    </row>
    <row r="185" spans="2:10" ht="15.75" customHeight="1" x14ac:dyDescent="0.25">
      <c r="B185" s="14"/>
      <c r="D185" s="7"/>
      <c r="J185" s="7"/>
    </row>
    <row r="186" spans="2:10" ht="15.75" customHeight="1" x14ac:dyDescent="0.25">
      <c r="B186" s="14"/>
      <c r="D186" s="7"/>
      <c r="J186" s="7"/>
    </row>
    <row r="187" spans="2:10" ht="15.75" customHeight="1" x14ac:dyDescent="0.25">
      <c r="B187" s="14"/>
      <c r="D187" s="7"/>
      <c r="J187" s="7"/>
    </row>
    <row r="188" spans="2:10" ht="15.75" customHeight="1" x14ac:dyDescent="0.25">
      <c r="B188" s="14"/>
      <c r="D188" s="7"/>
      <c r="J188" s="7"/>
    </row>
    <row r="189" spans="2:10" ht="15.75" customHeight="1" x14ac:dyDescent="0.25">
      <c r="B189" s="14"/>
      <c r="D189" s="7"/>
      <c r="J189" s="7"/>
    </row>
    <row r="190" spans="2:10" ht="15.75" customHeight="1" x14ac:dyDescent="0.25">
      <c r="B190" s="14"/>
      <c r="D190" s="7"/>
      <c r="J190" s="7"/>
    </row>
    <row r="191" spans="2:10" ht="15.75" customHeight="1" x14ac:dyDescent="0.25">
      <c r="B191" s="14"/>
      <c r="D191" s="7"/>
      <c r="J191" s="7"/>
    </row>
    <row r="192" spans="2:10" ht="15.75" customHeight="1" x14ac:dyDescent="0.25">
      <c r="B192" s="14"/>
      <c r="D192" s="7"/>
      <c r="J192" s="7"/>
    </row>
    <row r="193" spans="2:10" ht="15.75" customHeight="1" x14ac:dyDescent="0.25">
      <c r="B193" s="14"/>
      <c r="D193" s="7"/>
      <c r="J193" s="7"/>
    </row>
    <row r="194" spans="2:10" ht="15.75" customHeight="1" x14ac:dyDescent="0.25">
      <c r="B194" s="14"/>
      <c r="D194" s="7"/>
      <c r="J194" s="7"/>
    </row>
    <row r="195" spans="2:10" ht="15.75" customHeight="1" x14ac:dyDescent="0.25">
      <c r="B195" s="14"/>
      <c r="D195" s="7"/>
      <c r="J195" s="7"/>
    </row>
    <row r="196" spans="2:10" ht="15.75" customHeight="1" x14ac:dyDescent="0.25">
      <c r="B196" s="14"/>
      <c r="D196" s="7"/>
      <c r="J196" s="7"/>
    </row>
    <row r="197" spans="2:10" ht="15.75" customHeight="1" x14ac:dyDescent="0.25">
      <c r="B197" s="14"/>
      <c r="D197" s="7"/>
      <c r="J197" s="7"/>
    </row>
    <row r="198" spans="2:10" ht="15.75" customHeight="1" x14ac:dyDescent="0.25">
      <c r="B198" s="14"/>
      <c r="D198" s="7"/>
      <c r="J198" s="7"/>
    </row>
    <row r="199" spans="2:10" ht="15.75" customHeight="1" x14ac:dyDescent="0.25">
      <c r="B199" s="14"/>
      <c r="D199" s="7"/>
      <c r="J199" s="7"/>
    </row>
    <row r="200" spans="2:10" ht="15.75" customHeight="1" x14ac:dyDescent="0.25">
      <c r="B200" s="14"/>
      <c r="D200" s="7"/>
      <c r="J200" s="7"/>
    </row>
    <row r="201" spans="2:10" ht="15.75" customHeight="1" x14ac:dyDescent="0.25">
      <c r="B201" s="14"/>
      <c r="D201" s="7"/>
      <c r="J201" s="7"/>
    </row>
    <row r="202" spans="2:10" ht="15.75" customHeight="1" x14ac:dyDescent="0.25">
      <c r="B202" s="14"/>
      <c r="D202" s="7"/>
      <c r="J202" s="7"/>
    </row>
    <row r="203" spans="2:10" ht="15.75" customHeight="1" x14ac:dyDescent="0.25">
      <c r="B203" s="14"/>
      <c r="D203" s="7"/>
      <c r="J203" s="7"/>
    </row>
    <row r="204" spans="2:10" ht="15.75" customHeight="1" x14ac:dyDescent="0.25">
      <c r="B204" s="14"/>
      <c r="D204" s="7"/>
      <c r="J204" s="7"/>
    </row>
    <row r="205" spans="2:10" ht="15.75" customHeight="1" x14ac:dyDescent="0.25">
      <c r="B205" s="14"/>
      <c r="D205" s="7"/>
      <c r="J205" s="7"/>
    </row>
    <row r="206" spans="2:10" ht="15.75" customHeight="1" x14ac:dyDescent="0.25">
      <c r="B206" s="14"/>
      <c r="D206" s="7"/>
      <c r="J206" s="7"/>
    </row>
    <row r="207" spans="2:10" ht="15.75" customHeight="1" x14ac:dyDescent="0.25">
      <c r="B207" s="14"/>
      <c r="D207" s="7"/>
      <c r="J207" s="7"/>
    </row>
    <row r="208" spans="2:10" ht="15.75" customHeight="1" x14ac:dyDescent="0.25">
      <c r="B208" s="14"/>
      <c r="D208" s="7"/>
      <c r="J208" s="7"/>
    </row>
    <row r="209" spans="2:10" ht="15.75" customHeight="1" x14ac:dyDescent="0.25">
      <c r="B209" s="14"/>
      <c r="D209" s="7"/>
      <c r="J209" s="7"/>
    </row>
    <row r="210" spans="2:10" ht="15.75" customHeight="1" x14ac:dyDescent="0.25">
      <c r="B210" s="14"/>
      <c r="D210" s="7"/>
      <c r="J210" s="7"/>
    </row>
    <row r="211" spans="2:10" ht="15.75" customHeight="1" x14ac:dyDescent="0.25">
      <c r="B211" s="14"/>
      <c r="D211" s="7"/>
      <c r="J211" s="7"/>
    </row>
    <row r="212" spans="2:10" ht="15.75" customHeight="1" x14ac:dyDescent="0.25">
      <c r="B212" s="14"/>
      <c r="D212" s="7"/>
      <c r="J212" s="7"/>
    </row>
    <row r="213" spans="2:10" ht="15.75" customHeight="1" x14ac:dyDescent="0.25">
      <c r="B213" s="14"/>
      <c r="D213" s="7"/>
      <c r="J213" s="7"/>
    </row>
    <row r="214" spans="2:10" ht="15.75" customHeight="1" x14ac:dyDescent="0.25">
      <c r="B214" s="14"/>
      <c r="D214" s="7"/>
      <c r="J214" s="7"/>
    </row>
    <row r="215" spans="2:10" ht="15.75" customHeight="1" x14ac:dyDescent="0.25">
      <c r="B215" s="14"/>
      <c r="D215" s="7"/>
      <c r="J215" s="7"/>
    </row>
    <row r="216" spans="2:10" ht="15.75" customHeight="1" x14ac:dyDescent="0.25">
      <c r="B216" s="14"/>
      <c r="D216" s="7"/>
      <c r="J216" s="7"/>
    </row>
    <row r="217" spans="2:10" ht="15.75" customHeight="1" x14ac:dyDescent="0.25">
      <c r="B217" s="14"/>
      <c r="D217" s="7"/>
      <c r="J217" s="7"/>
    </row>
    <row r="218" spans="2:10" ht="15.75" customHeight="1" x14ac:dyDescent="0.25">
      <c r="B218" s="14"/>
      <c r="D218" s="7"/>
      <c r="J218" s="7"/>
    </row>
    <row r="219" spans="2:10" ht="15.75" customHeight="1" x14ac:dyDescent="0.25">
      <c r="B219" s="14"/>
      <c r="D219" s="7"/>
      <c r="J219" s="7"/>
    </row>
    <row r="220" spans="2:10" ht="15.75" customHeight="1" x14ac:dyDescent="0.25">
      <c r="B220" s="14"/>
      <c r="D220" s="7"/>
      <c r="J220" s="7"/>
    </row>
    <row r="221" spans="2:10" ht="15.75" customHeight="1" x14ac:dyDescent="0.25">
      <c r="B221" s="14"/>
      <c r="D221" s="7"/>
      <c r="J221" s="7"/>
    </row>
    <row r="222" spans="2:10" ht="15.75" customHeight="1" x14ac:dyDescent="0.25">
      <c r="B222" s="14"/>
      <c r="D222" s="7"/>
      <c r="J222" s="7"/>
    </row>
    <row r="223" spans="2:10" ht="15.75" customHeight="1" x14ac:dyDescent="0.25">
      <c r="B223" s="14"/>
      <c r="D223" s="7"/>
      <c r="J223" s="7"/>
    </row>
    <row r="224" spans="2:10" ht="15.75" customHeight="1" x14ac:dyDescent="0.25">
      <c r="B224" s="14"/>
      <c r="D224" s="7"/>
      <c r="J224" s="7"/>
    </row>
    <row r="225" spans="2:10" ht="15.75" customHeight="1" x14ac:dyDescent="0.25">
      <c r="B225" s="14"/>
      <c r="D225" s="7"/>
      <c r="J225" s="7"/>
    </row>
    <row r="226" spans="2:10" ht="15.75" customHeight="1" x14ac:dyDescent="0.25">
      <c r="B226" s="14"/>
      <c r="D226" s="7"/>
      <c r="J226" s="7"/>
    </row>
    <row r="227" spans="2:10" ht="15.75" customHeight="1" x14ac:dyDescent="0.25">
      <c r="B227" s="14"/>
      <c r="D227" s="7"/>
      <c r="J227" s="7"/>
    </row>
    <row r="228" spans="2:10" ht="15.75" customHeight="1" x14ac:dyDescent="0.25">
      <c r="B228" s="14"/>
      <c r="D228" s="7"/>
      <c r="J228" s="7"/>
    </row>
    <row r="229" spans="2:10" ht="15.75" customHeight="1" x14ac:dyDescent="0.25">
      <c r="B229" s="14"/>
      <c r="D229" s="7"/>
      <c r="J229" s="7"/>
    </row>
    <row r="230" spans="2:10" ht="15.75" customHeight="1" x14ac:dyDescent="0.25">
      <c r="B230" s="14"/>
      <c r="D230" s="7"/>
      <c r="J230" s="7"/>
    </row>
    <row r="231" spans="2:10" ht="15.75" customHeight="1" x14ac:dyDescent="0.25">
      <c r="B231" s="14"/>
      <c r="D231" s="7"/>
      <c r="J231" s="7"/>
    </row>
    <row r="232" spans="2:10" ht="15.75" customHeight="1" x14ac:dyDescent="0.25">
      <c r="B232" s="14"/>
      <c r="D232" s="7"/>
      <c r="J232" s="7"/>
    </row>
    <row r="233" spans="2:10" ht="15.75" customHeight="1" x14ac:dyDescent="0.25">
      <c r="D233" s="7"/>
      <c r="J233" s="7"/>
    </row>
    <row r="234" spans="2:10" ht="15.75" customHeight="1" x14ac:dyDescent="0.25">
      <c r="D234" s="7"/>
      <c r="J234" s="7"/>
    </row>
    <row r="235" spans="2:10" ht="15.75" customHeight="1" x14ac:dyDescent="0.25">
      <c r="D235" s="7"/>
      <c r="J235" s="7"/>
    </row>
    <row r="236" spans="2:10" ht="15.75" customHeight="1" x14ac:dyDescent="0.25">
      <c r="D236" s="7"/>
      <c r="J236" s="7"/>
    </row>
    <row r="237" spans="2:10" ht="15.75" customHeight="1" x14ac:dyDescent="0.25">
      <c r="D237" s="7"/>
      <c r="J237" s="7"/>
    </row>
    <row r="238" spans="2:10" ht="15.75" customHeight="1" x14ac:dyDescent="0.25">
      <c r="D238" s="7"/>
      <c r="J238" s="7"/>
    </row>
    <row r="239" spans="2:10" ht="15.75" customHeight="1" x14ac:dyDescent="0.25">
      <c r="D239" s="7"/>
      <c r="J239" s="7"/>
    </row>
    <row r="240" spans="2:10" ht="15.75" customHeight="1" x14ac:dyDescent="0.25">
      <c r="D240" s="7"/>
      <c r="J240" s="7"/>
    </row>
    <row r="241" spans="4:10" ht="15.75" customHeight="1" x14ac:dyDescent="0.25">
      <c r="D241" s="7"/>
      <c r="J241" s="7"/>
    </row>
    <row r="242" spans="4:10" ht="15.75" customHeight="1" x14ac:dyDescent="0.25">
      <c r="D242" s="7"/>
      <c r="J242" s="7"/>
    </row>
    <row r="243" spans="4:10" ht="15.75" customHeight="1" x14ac:dyDescent="0.25">
      <c r="D243" s="7"/>
      <c r="J243" s="7"/>
    </row>
    <row r="244" spans="4:10" ht="15.75" customHeight="1" x14ac:dyDescent="0.25">
      <c r="D244" s="7"/>
      <c r="J244" s="7"/>
    </row>
    <row r="245" spans="4:10" ht="15.75" customHeight="1" x14ac:dyDescent="0.25">
      <c r="D245" s="7"/>
      <c r="J245" s="7"/>
    </row>
    <row r="246" spans="4:10" ht="15.75" customHeight="1" x14ac:dyDescent="0.25">
      <c r="D246" s="7"/>
      <c r="J246" s="7"/>
    </row>
    <row r="247" spans="4:10" ht="15.75" customHeight="1" x14ac:dyDescent="0.25">
      <c r="D247" s="7"/>
      <c r="J247" s="7"/>
    </row>
    <row r="248" spans="4:10" ht="15.75" customHeight="1" x14ac:dyDescent="0.25">
      <c r="D248" s="7"/>
      <c r="J248" s="7"/>
    </row>
    <row r="249" spans="4:10" ht="15.75" customHeight="1" x14ac:dyDescent="0.25">
      <c r="D249" s="7"/>
      <c r="J249" s="7"/>
    </row>
    <row r="250" spans="4:10" ht="15.75" customHeight="1" x14ac:dyDescent="0.25">
      <c r="D250" s="7"/>
      <c r="J250" s="7"/>
    </row>
    <row r="251" spans="4:10" ht="15.75" customHeight="1" x14ac:dyDescent="0.25">
      <c r="D251" s="7"/>
      <c r="J251" s="7"/>
    </row>
    <row r="252" spans="4:10" ht="15.75" customHeight="1" x14ac:dyDescent="0.25">
      <c r="D252" s="7"/>
      <c r="J252" s="7"/>
    </row>
    <row r="253" spans="4:10" ht="15.75" customHeight="1" x14ac:dyDescent="0.25">
      <c r="D253" s="7"/>
      <c r="J253" s="7"/>
    </row>
    <row r="254" spans="4:10" ht="15.75" customHeight="1" x14ac:dyDescent="0.25">
      <c r="D254" s="7"/>
      <c r="J254" s="7"/>
    </row>
    <row r="255" spans="4:10" ht="15.75" customHeight="1" x14ac:dyDescent="0.25">
      <c r="D255" s="7"/>
      <c r="J255" s="7"/>
    </row>
    <row r="256" spans="4:10" ht="15.75" customHeight="1" x14ac:dyDescent="0.25">
      <c r="D256" s="7"/>
      <c r="J256" s="7"/>
    </row>
    <row r="257" spans="4:10" ht="15.75" customHeight="1" x14ac:dyDescent="0.25">
      <c r="D257" s="7"/>
      <c r="J257" s="7"/>
    </row>
    <row r="258" spans="4:10" ht="15.75" customHeight="1" x14ac:dyDescent="0.25">
      <c r="D258" s="7"/>
      <c r="J258" s="7"/>
    </row>
    <row r="259" spans="4:10" ht="15.75" customHeight="1" x14ac:dyDescent="0.25">
      <c r="D259" s="7"/>
      <c r="J259" s="7"/>
    </row>
    <row r="260" spans="4:10" ht="15.75" customHeight="1" x14ac:dyDescent="0.25">
      <c r="D260" s="7"/>
      <c r="J260" s="7"/>
    </row>
    <row r="261" spans="4:10" ht="15.75" customHeight="1" x14ac:dyDescent="0.25">
      <c r="D261" s="7"/>
      <c r="J261" s="7"/>
    </row>
    <row r="262" spans="4:10" ht="15.75" customHeight="1" x14ac:dyDescent="0.25">
      <c r="D262" s="7"/>
      <c r="J262" s="7"/>
    </row>
    <row r="263" spans="4:10" ht="15.75" customHeight="1" x14ac:dyDescent="0.25">
      <c r="D263" s="7"/>
      <c r="J263" s="7"/>
    </row>
    <row r="264" spans="4:10" ht="15.75" customHeight="1" x14ac:dyDescent="0.25">
      <c r="D264" s="7"/>
      <c r="J264" s="7"/>
    </row>
    <row r="265" spans="4:10" ht="15.75" customHeight="1" x14ac:dyDescent="0.25">
      <c r="D265" s="7"/>
      <c r="J265" s="7"/>
    </row>
    <row r="266" spans="4:10" ht="15.75" customHeight="1" x14ac:dyDescent="0.25">
      <c r="D266" s="7"/>
      <c r="J266" s="7"/>
    </row>
    <row r="267" spans="4:10" ht="15.75" customHeight="1" x14ac:dyDescent="0.25">
      <c r="D267" s="7"/>
      <c r="J267" s="7"/>
    </row>
    <row r="268" spans="4:10" ht="15.75" customHeight="1" x14ac:dyDescent="0.25">
      <c r="D268" s="7"/>
      <c r="J268" s="7"/>
    </row>
    <row r="269" spans="4:10" ht="15.75" customHeight="1" x14ac:dyDescent="0.25">
      <c r="D269" s="7"/>
      <c r="J269" s="7"/>
    </row>
    <row r="270" spans="4:10" ht="15.75" customHeight="1" x14ac:dyDescent="0.25">
      <c r="D270" s="7"/>
      <c r="J270" s="7"/>
    </row>
    <row r="271" spans="4:10" ht="15.75" customHeight="1" x14ac:dyDescent="0.25">
      <c r="D271" s="7"/>
      <c r="J271" s="7"/>
    </row>
    <row r="272" spans="4:10" ht="15.75" customHeight="1" x14ac:dyDescent="0.25">
      <c r="D272" s="7"/>
      <c r="J272" s="7"/>
    </row>
    <row r="273" spans="4:10" ht="15.75" customHeight="1" x14ac:dyDescent="0.25">
      <c r="D273" s="7"/>
      <c r="J273" s="7"/>
    </row>
    <row r="274" spans="4:10" ht="15.75" customHeight="1" x14ac:dyDescent="0.25">
      <c r="D274" s="7"/>
      <c r="J274" s="7"/>
    </row>
    <row r="275" spans="4:10" ht="15.75" customHeight="1" x14ac:dyDescent="0.25">
      <c r="D275" s="7"/>
      <c r="J275" s="7"/>
    </row>
    <row r="276" spans="4:10" ht="15.75" customHeight="1" x14ac:dyDescent="0.25">
      <c r="D276" s="7"/>
      <c r="J276" s="7"/>
    </row>
    <row r="277" spans="4:10" ht="15.75" customHeight="1" x14ac:dyDescent="0.25">
      <c r="D277" s="7"/>
      <c r="J277" s="7"/>
    </row>
    <row r="278" spans="4:10" ht="15.75" customHeight="1" x14ac:dyDescent="0.25">
      <c r="D278" s="7"/>
      <c r="J278" s="7"/>
    </row>
    <row r="279" spans="4:10" ht="15.75" customHeight="1" x14ac:dyDescent="0.25">
      <c r="D279" s="7"/>
      <c r="J279" s="7"/>
    </row>
    <row r="280" spans="4:10" ht="15.75" customHeight="1" x14ac:dyDescent="0.25">
      <c r="D280" s="7"/>
      <c r="J280" s="7"/>
    </row>
    <row r="281" spans="4:10" ht="15.75" customHeight="1" x14ac:dyDescent="0.25">
      <c r="D281" s="7"/>
      <c r="J281" s="7"/>
    </row>
    <row r="282" spans="4:10" ht="15.75" customHeight="1" x14ac:dyDescent="0.25">
      <c r="D282" s="7"/>
      <c r="J282" s="7"/>
    </row>
    <row r="283" spans="4:10" ht="15.75" customHeight="1" x14ac:dyDescent="0.25">
      <c r="D283" s="7"/>
      <c r="J283" s="7"/>
    </row>
    <row r="284" spans="4:10" ht="15.75" customHeight="1" x14ac:dyDescent="0.25">
      <c r="D284" s="7"/>
      <c r="J284" s="7"/>
    </row>
    <row r="285" spans="4:10" ht="15.75" customHeight="1" x14ac:dyDescent="0.25">
      <c r="D285" s="7"/>
      <c r="J285" s="7"/>
    </row>
    <row r="286" spans="4:10" ht="15.75" customHeight="1" x14ac:dyDescent="0.25">
      <c r="D286" s="7"/>
      <c r="J286" s="7"/>
    </row>
    <row r="287" spans="4:10" ht="15.75" customHeight="1" x14ac:dyDescent="0.25">
      <c r="D287" s="7"/>
      <c r="J287" s="7"/>
    </row>
    <row r="288" spans="4:10" ht="15.75" customHeight="1" x14ac:dyDescent="0.25">
      <c r="D288" s="7"/>
      <c r="J288" s="7"/>
    </row>
    <row r="289" spans="4:10" ht="15.75" customHeight="1" x14ac:dyDescent="0.25">
      <c r="D289" s="7"/>
      <c r="J289" s="7"/>
    </row>
    <row r="290" spans="4:10" ht="15.75" customHeight="1" x14ac:dyDescent="0.25">
      <c r="D290" s="7"/>
      <c r="J290" s="7"/>
    </row>
    <row r="291" spans="4:10" ht="15.75" customHeight="1" x14ac:dyDescent="0.25">
      <c r="D291" s="7"/>
      <c r="J291" s="7"/>
    </row>
    <row r="292" spans="4:10" ht="15.75" customHeight="1" x14ac:dyDescent="0.25">
      <c r="D292" s="7"/>
      <c r="J292" s="7"/>
    </row>
    <row r="293" spans="4:10" ht="15.75" customHeight="1" x14ac:dyDescent="0.25">
      <c r="D293" s="7"/>
      <c r="J293" s="7"/>
    </row>
    <row r="294" spans="4:10" ht="15.75" customHeight="1" x14ac:dyDescent="0.25">
      <c r="D294" s="7"/>
      <c r="J294" s="7"/>
    </row>
    <row r="295" spans="4:10" ht="15.75" customHeight="1" x14ac:dyDescent="0.25">
      <c r="D295" s="7"/>
      <c r="J295" s="7"/>
    </row>
    <row r="296" spans="4:10" ht="15.75" customHeight="1" x14ac:dyDescent="0.25">
      <c r="D296" s="7"/>
      <c r="J296" s="7"/>
    </row>
    <row r="297" spans="4:10" ht="15.75" customHeight="1" x14ac:dyDescent="0.25">
      <c r="D297" s="7"/>
      <c r="J297" s="7"/>
    </row>
    <row r="298" spans="4:10" ht="15.75" customHeight="1" x14ac:dyDescent="0.25">
      <c r="D298" s="7"/>
      <c r="J298" s="7"/>
    </row>
    <row r="299" spans="4:10" ht="15.75" customHeight="1" x14ac:dyDescent="0.25">
      <c r="D299" s="7"/>
      <c r="J299" s="7"/>
    </row>
    <row r="300" spans="4:10" ht="15.75" customHeight="1" x14ac:dyDescent="0.25">
      <c r="D300" s="7"/>
      <c r="J300" s="7"/>
    </row>
    <row r="301" spans="4:10" ht="15.75" customHeight="1" x14ac:dyDescent="0.25">
      <c r="D301" s="7"/>
      <c r="J301" s="7"/>
    </row>
    <row r="302" spans="4:10" ht="15.75" customHeight="1" x14ac:dyDescent="0.25">
      <c r="D302" s="7"/>
      <c r="J302" s="7"/>
    </row>
    <row r="303" spans="4:10" ht="15.75" customHeight="1" x14ac:dyDescent="0.25">
      <c r="D303" s="7"/>
      <c r="J303" s="7"/>
    </row>
    <row r="304" spans="4:10" ht="15.75" customHeight="1" x14ac:dyDescent="0.25">
      <c r="D304" s="7"/>
      <c r="J304" s="7"/>
    </row>
    <row r="305" spans="4:10" ht="15.75" customHeight="1" x14ac:dyDescent="0.25">
      <c r="D305" s="7"/>
      <c r="J305" s="7"/>
    </row>
    <row r="306" spans="4:10" ht="15.75" customHeight="1" x14ac:dyDescent="0.25">
      <c r="D306" s="7"/>
      <c r="J306" s="7"/>
    </row>
    <row r="307" spans="4:10" ht="15.75" customHeight="1" x14ac:dyDescent="0.25">
      <c r="D307" s="7"/>
      <c r="J307" s="7"/>
    </row>
    <row r="308" spans="4:10" ht="15.75" customHeight="1" x14ac:dyDescent="0.25">
      <c r="D308" s="7"/>
      <c r="J308" s="7"/>
    </row>
    <row r="309" spans="4:10" ht="15.75" customHeight="1" x14ac:dyDescent="0.25">
      <c r="D309" s="7"/>
      <c r="J309" s="7"/>
    </row>
    <row r="310" spans="4:10" ht="15.75" customHeight="1" x14ac:dyDescent="0.25">
      <c r="D310" s="7"/>
      <c r="J310" s="7"/>
    </row>
    <row r="311" spans="4:10" ht="15.75" customHeight="1" x14ac:dyDescent="0.25">
      <c r="D311" s="7"/>
      <c r="J311" s="7"/>
    </row>
    <row r="312" spans="4:10" ht="15.75" customHeight="1" x14ac:dyDescent="0.25">
      <c r="D312" s="7"/>
      <c r="J312" s="7"/>
    </row>
    <row r="313" spans="4:10" ht="15.75" customHeight="1" x14ac:dyDescent="0.25">
      <c r="D313" s="7"/>
      <c r="J313" s="7"/>
    </row>
    <row r="314" spans="4:10" ht="15.75" customHeight="1" x14ac:dyDescent="0.25">
      <c r="D314" s="7"/>
      <c r="J314" s="7"/>
    </row>
    <row r="315" spans="4:10" ht="15.75" customHeight="1" x14ac:dyDescent="0.25">
      <c r="D315" s="7"/>
      <c r="J315" s="7"/>
    </row>
    <row r="316" spans="4:10" ht="15.75" customHeight="1" x14ac:dyDescent="0.25">
      <c r="D316" s="7"/>
      <c r="J316" s="7"/>
    </row>
    <row r="317" spans="4:10" ht="15.75" customHeight="1" x14ac:dyDescent="0.25">
      <c r="D317" s="7"/>
      <c r="J317" s="7"/>
    </row>
    <row r="318" spans="4:10" ht="15.75" customHeight="1" x14ac:dyDescent="0.25">
      <c r="D318" s="7"/>
      <c r="J318" s="7"/>
    </row>
    <row r="319" spans="4:10" ht="15.75" customHeight="1" x14ac:dyDescent="0.25">
      <c r="D319" s="7"/>
      <c r="J319" s="7"/>
    </row>
    <row r="320" spans="4:10" ht="15.75" customHeight="1" x14ac:dyDescent="0.25">
      <c r="D320" s="7"/>
      <c r="J320" s="7"/>
    </row>
    <row r="321" spans="4:10" ht="15.75" customHeight="1" x14ac:dyDescent="0.25">
      <c r="D321" s="7"/>
      <c r="J321" s="7"/>
    </row>
    <row r="322" spans="4:10" ht="15.75" customHeight="1" x14ac:dyDescent="0.25">
      <c r="D322" s="7"/>
      <c r="J322" s="7"/>
    </row>
    <row r="323" spans="4:10" ht="15.75" customHeight="1" x14ac:dyDescent="0.25">
      <c r="D323" s="7"/>
      <c r="J323" s="7"/>
    </row>
    <row r="324" spans="4:10" ht="15.75" customHeight="1" x14ac:dyDescent="0.25">
      <c r="D324" s="7"/>
      <c r="J324" s="7"/>
    </row>
    <row r="325" spans="4:10" ht="15.75" customHeight="1" x14ac:dyDescent="0.25">
      <c r="D325" s="7"/>
      <c r="J325" s="7"/>
    </row>
    <row r="326" spans="4:10" ht="15.75" customHeight="1" x14ac:dyDescent="0.25">
      <c r="D326" s="7"/>
      <c r="J326" s="7"/>
    </row>
    <row r="327" spans="4:10" ht="15.75" customHeight="1" x14ac:dyDescent="0.25">
      <c r="D327" s="7"/>
      <c r="J327" s="7"/>
    </row>
    <row r="328" spans="4:10" ht="15.75" customHeight="1" x14ac:dyDescent="0.25">
      <c r="D328" s="7"/>
      <c r="J328" s="7"/>
    </row>
    <row r="329" spans="4:10" ht="15.75" customHeight="1" x14ac:dyDescent="0.25">
      <c r="D329" s="7"/>
      <c r="J329" s="7"/>
    </row>
    <row r="330" spans="4:10" ht="15.75" customHeight="1" x14ac:dyDescent="0.25">
      <c r="D330" s="7"/>
      <c r="J330" s="7"/>
    </row>
    <row r="331" spans="4:10" ht="15.75" customHeight="1" x14ac:dyDescent="0.25">
      <c r="D331" s="7"/>
      <c r="J331" s="7"/>
    </row>
    <row r="332" spans="4:10" ht="15.75" customHeight="1" x14ac:dyDescent="0.25">
      <c r="D332" s="7"/>
      <c r="J332" s="7"/>
    </row>
    <row r="333" spans="4:10" ht="15.75" customHeight="1" x14ac:dyDescent="0.25">
      <c r="D333" s="7"/>
      <c r="J333" s="7"/>
    </row>
    <row r="334" spans="4:10" ht="15.75" customHeight="1" x14ac:dyDescent="0.25">
      <c r="D334" s="7"/>
      <c r="J334" s="7"/>
    </row>
    <row r="335" spans="4:10" ht="15.75" customHeight="1" x14ac:dyDescent="0.25">
      <c r="D335" s="7"/>
      <c r="J335" s="7"/>
    </row>
    <row r="336" spans="4:10" ht="15.75" customHeight="1" x14ac:dyDescent="0.25">
      <c r="D336" s="7"/>
      <c r="J336" s="7"/>
    </row>
    <row r="337" spans="4:10" ht="15.75" customHeight="1" x14ac:dyDescent="0.25">
      <c r="D337" s="7"/>
      <c r="J337" s="7"/>
    </row>
    <row r="338" spans="4:10" ht="15.75" customHeight="1" x14ac:dyDescent="0.25">
      <c r="D338" s="7"/>
      <c r="J338" s="7"/>
    </row>
    <row r="339" spans="4:10" ht="15.75" customHeight="1" x14ac:dyDescent="0.25">
      <c r="D339" s="7"/>
      <c r="J339" s="7"/>
    </row>
    <row r="340" spans="4:10" ht="15.75" customHeight="1" x14ac:dyDescent="0.25">
      <c r="D340" s="7"/>
      <c r="J340" s="7"/>
    </row>
    <row r="341" spans="4:10" ht="15.75" customHeight="1" x14ac:dyDescent="0.25">
      <c r="D341" s="7"/>
      <c r="J341" s="7"/>
    </row>
    <row r="342" spans="4:10" ht="15.75" customHeight="1" x14ac:dyDescent="0.25">
      <c r="D342" s="7"/>
      <c r="J342" s="7"/>
    </row>
    <row r="343" spans="4:10" ht="15.75" customHeight="1" x14ac:dyDescent="0.25">
      <c r="D343" s="7"/>
      <c r="J343" s="7"/>
    </row>
    <row r="344" spans="4:10" ht="15.75" customHeight="1" x14ac:dyDescent="0.25">
      <c r="D344" s="7"/>
      <c r="J344" s="7"/>
    </row>
    <row r="345" spans="4:10" ht="15.75" customHeight="1" x14ac:dyDescent="0.25">
      <c r="D345" s="7"/>
      <c r="J345" s="7"/>
    </row>
    <row r="346" spans="4:10" ht="15.75" customHeight="1" x14ac:dyDescent="0.25">
      <c r="D346" s="7"/>
      <c r="J346" s="7"/>
    </row>
    <row r="347" spans="4:10" ht="15.75" customHeight="1" x14ac:dyDescent="0.25">
      <c r="D347" s="7"/>
      <c r="J347" s="7"/>
    </row>
    <row r="348" spans="4:10" ht="15.75" customHeight="1" x14ac:dyDescent="0.25">
      <c r="D348" s="7"/>
      <c r="J348" s="7"/>
    </row>
    <row r="349" spans="4:10" ht="15.75" customHeight="1" x14ac:dyDescent="0.25">
      <c r="D349" s="7"/>
      <c r="J349" s="7"/>
    </row>
    <row r="350" spans="4:10" ht="15.75" customHeight="1" x14ac:dyDescent="0.25">
      <c r="D350" s="7"/>
      <c r="J350" s="7"/>
    </row>
    <row r="351" spans="4:10" ht="15.75" customHeight="1" x14ac:dyDescent="0.25">
      <c r="D351" s="7"/>
      <c r="J351" s="7"/>
    </row>
    <row r="352" spans="4:10" ht="15.75" customHeight="1" x14ac:dyDescent="0.25">
      <c r="D352" s="7"/>
      <c r="J352" s="7"/>
    </row>
    <row r="353" spans="4:10" ht="15.75" customHeight="1" x14ac:dyDescent="0.25">
      <c r="D353" s="7"/>
      <c r="J353" s="7"/>
    </row>
    <row r="354" spans="4:10" ht="15.75" customHeight="1" x14ac:dyDescent="0.25">
      <c r="D354" s="7"/>
      <c r="J354" s="7"/>
    </row>
    <row r="355" spans="4:10" ht="15.75" customHeight="1" x14ac:dyDescent="0.25">
      <c r="D355" s="7"/>
      <c r="J355" s="7"/>
    </row>
    <row r="356" spans="4:10" ht="15.75" customHeight="1" x14ac:dyDescent="0.25">
      <c r="D356" s="7"/>
      <c r="J356" s="7"/>
    </row>
    <row r="357" spans="4:10" ht="15.75" customHeight="1" x14ac:dyDescent="0.25">
      <c r="D357" s="7"/>
      <c r="J357" s="7"/>
    </row>
    <row r="358" spans="4:10" ht="15.75" customHeight="1" x14ac:dyDescent="0.25">
      <c r="D358" s="7"/>
      <c r="J358" s="7"/>
    </row>
    <row r="359" spans="4:10" ht="15.75" customHeight="1" x14ac:dyDescent="0.25">
      <c r="D359" s="7"/>
      <c r="J359" s="7"/>
    </row>
    <row r="360" spans="4:10" ht="15.75" customHeight="1" x14ac:dyDescent="0.25">
      <c r="D360" s="7"/>
      <c r="J360" s="7"/>
    </row>
    <row r="361" spans="4:10" ht="15.75" customHeight="1" x14ac:dyDescent="0.25">
      <c r="D361" s="7"/>
      <c r="J361" s="7"/>
    </row>
    <row r="362" spans="4:10" ht="15.75" customHeight="1" x14ac:dyDescent="0.25">
      <c r="D362" s="7"/>
      <c r="J362" s="7"/>
    </row>
    <row r="363" spans="4:10" ht="15.75" customHeight="1" x14ac:dyDescent="0.25">
      <c r="D363" s="7"/>
      <c r="J363" s="7"/>
    </row>
    <row r="364" spans="4:10" ht="15.75" customHeight="1" x14ac:dyDescent="0.25">
      <c r="D364" s="7"/>
      <c r="J364" s="7"/>
    </row>
    <row r="365" spans="4:10" ht="15.75" customHeight="1" x14ac:dyDescent="0.25">
      <c r="D365" s="7"/>
      <c r="J365" s="7"/>
    </row>
    <row r="366" spans="4:10" ht="15.75" customHeight="1" x14ac:dyDescent="0.25">
      <c r="D366" s="7"/>
      <c r="J366" s="7"/>
    </row>
    <row r="367" spans="4:10" ht="15.75" customHeight="1" x14ac:dyDescent="0.25">
      <c r="D367" s="7"/>
      <c r="J367" s="7"/>
    </row>
    <row r="368" spans="4:10" ht="15.75" customHeight="1" x14ac:dyDescent="0.25">
      <c r="D368" s="7"/>
      <c r="J368" s="7"/>
    </row>
    <row r="369" spans="4:10" ht="15.75" customHeight="1" x14ac:dyDescent="0.25">
      <c r="D369" s="7"/>
      <c r="J369" s="7"/>
    </row>
    <row r="370" spans="4:10" ht="15.75" customHeight="1" x14ac:dyDescent="0.25">
      <c r="D370" s="7"/>
      <c r="J370" s="7"/>
    </row>
    <row r="371" spans="4:10" ht="15.75" customHeight="1" x14ac:dyDescent="0.25">
      <c r="D371" s="7"/>
      <c r="J371" s="7"/>
    </row>
    <row r="372" spans="4:10" ht="15.75" customHeight="1" x14ac:dyDescent="0.25">
      <c r="D372" s="7"/>
      <c r="J372" s="7"/>
    </row>
    <row r="373" spans="4:10" ht="15.75" customHeight="1" x14ac:dyDescent="0.25">
      <c r="D373" s="7"/>
      <c r="J373" s="7"/>
    </row>
    <row r="374" spans="4:10" ht="15.75" customHeight="1" x14ac:dyDescent="0.25">
      <c r="D374" s="7"/>
      <c r="J374" s="7"/>
    </row>
    <row r="375" spans="4:10" ht="15.75" customHeight="1" x14ac:dyDescent="0.25">
      <c r="D375" s="7"/>
      <c r="J375" s="7"/>
    </row>
    <row r="376" spans="4:10" ht="15.75" customHeight="1" x14ac:dyDescent="0.25">
      <c r="D376" s="7"/>
      <c r="J376" s="7"/>
    </row>
    <row r="377" spans="4:10" ht="15.75" customHeight="1" x14ac:dyDescent="0.25">
      <c r="D377" s="7"/>
      <c r="J377" s="7"/>
    </row>
    <row r="378" spans="4:10" ht="15.75" customHeight="1" x14ac:dyDescent="0.25">
      <c r="D378" s="7"/>
      <c r="J378" s="7"/>
    </row>
    <row r="379" spans="4:10" ht="15.75" customHeight="1" x14ac:dyDescent="0.25">
      <c r="D379" s="7"/>
      <c r="J379" s="7"/>
    </row>
    <row r="380" spans="4:10" ht="15.75" customHeight="1" x14ac:dyDescent="0.25">
      <c r="D380" s="7"/>
      <c r="J380" s="7"/>
    </row>
    <row r="381" spans="4:10" ht="15.75" customHeight="1" x14ac:dyDescent="0.25">
      <c r="D381" s="7"/>
      <c r="J381" s="7"/>
    </row>
    <row r="382" spans="4:10" ht="15.75" customHeight="1" x14ac:dyDescent="0.25">
      <c r="D382" s="7"/>
      <c r="J382" s="7"/>
    </row>
    <row r="383" spans="4:10" ht="15.75" customHeight="1" x14ac:dyDescent="0.25">
      <c r="D383" s="7"/>
      <c r="J383" s="7"/>
    </row>
    <row r="384" spans="4:10" ht="15.75" customHeight="1" x14ac:dyDescent="0.25">
      <c r="D384" s="7"/>
      <c r="J384" s="7"/>
    </row>
    <row r="385" spans="4:10" ht="15.75" customHeight="1" x14ac:dyDescent="0.25">
      <c r="D385" s="7"/>
      <c r="J385" s="7"/>
    </row>
    <row r="386" spans="4:10" ht="15.75" customHeight="1" x14ac:dyDescent="0.25">
      <c r="D386" s="7"/>
      <c r="J386" s="7"/>
    </row>
    <row r="387" spans="4:10" ht="15.75" customHeight="1" x14ac:dyDescent="0.25">
      <c r="D387" s="7"/>
      <c r="J387" s="7"/>
    </row>
    <row r="388" spans="4:10" ht="15.75" customHeight="1" x14ac:dyDescent="0.25">
      <c r="D388" s="7"/>
      <c r="J388" s="7"/>
    </row>
    <row r="389" spans="4:10" ht="15.75" customHeight="1" x14ac:dyDescent="0.25">
      <c r="D389" s="7"/>
      <c r="J389" s="7"/>
    </row>
    <row r="390" spans="4:10" ht="15.75" customHeight="1" x14ac:dyDescent="0.25">
      <c r="D390" s="7"/>
      <c r="J390" s="7"/>
    </row>
    <row r="391" spans="4:10" ht="15.75" customHeight="1" x14ac:dyDescent="0.25">
      <c r="D391" s="7"/>
      <c r="J391" s="7"/>
    </row>
    <row r="392" spans="4:10" ht="15.75" customHeight="1" x14ac:dyDescent="0.25">
      <c r="D392" s="7"/>
      <c r="J392" s="7"/>
    </row>
    <row r="393" spans="4:10" ht="15.75" customHeight="1" x14ac:dyDescent="0.25">
      <c r="D393" s="7"/>
      <c r="J393" s="7"/>
    </row>
    <row r="394" spans="4:10" ht="15.75" customHeight="1" x14ac:dyDescent="0.25">
      <c r="D394" s="7"/>
      <c r="J394" s="7"/>
    </row>
    <row r="395" spans="4:10" ht="15.75" customHeight="1" x14ac:dyDescent="0.25">
      <c r="D395" s="7"/>
      <c r="J395" s="7"/>
    </row>
    <row r="396" spans="4:10" ht="15.75" customHeight="1" x14ac:dyDescent="0.25">
      <c r="D396" s="7"/>
      <c r="J396" s="7"/>
    </row>
    <row r="397" spans="4:10" ht="15.75" customHeight="1" x14ac:dyDescent="0.25">
      <c r="D397" s="7"/>
      <c r="J397" s="7"/>
    </row>
    <row r="398" spans="4:10" ht="15.75" customHeight="1" x14ac:dyDescent="0.25">
      <c r="D398" s="7"/>
      <c r="J398" s="7"/>
    </row>
    <row r="399" spans="4:10" ht="15.75" customHeight="1" x14ac:dyDescent="0.25">
      <c r="D399" s="7"/>
      <c r="J399" s="7"/>
    </row>
    <row r="400" spans="4:10" ht="15.75" customHeight="1" x14ac:dyDescent="0.25">
      <c r="D400" s="7"/>
      <c r="J400" s="7"/>
    </row>
    <row r="401" spans="4:10" ht="15.75" customHeight="1" x14ac:dyDescent="0.25">
      <c r="D401" s="7"/>
      <c r="J401" s="7"/>
    </row>
    <row r="402" spans="4:10" ht="15.75" customHeight="1" x14ac:dyDescent="0.25">
      <c r="D402" s="7"/>
      <c r="J402" s="7"/>
    </row>
    <row r="403" spans="4:10" ht="15.75" customHeight="1" x14ac:dyDescent="0.25">
      <c r="D403" s="7"/>
      <c r="J403" s="7"/>
    </row>
    <row r="404" spans="4:10" ht="15.75" customHeight="1" x14ac:dyDescent="0.25">
      <c r="D404" s="7"/>
      <c r="J404" s="7"/>
    </row>
    <row r="405" spans="4:10" ht="15.75" customHeight="1" x14ac:dyDescent="0.25">
      <c r="D405" s="7"/>
      <c r="J405" s="7"/>
    </row>
    <row r="406" spans="4:10" ht="15.75" customHeight="1" x14ac:dyDescent="0.25">
      <c r="D406" s="7"/>
      <c r="J406" s="7"/>
    </row>
    <row r="407" spans="4:10" ht="15.75" customHeight="1" x14ac:dyDescent="0.25">
      <c r="D407" s="7"/>
      <c r="J407" s="7"/>
    </row>
    <row r="408" spans="4:10" ht="15.75" customHeight="1" x14ac:dyDescent="0.25">
      <c r="D408" s="7"/>
      <c r="J408" s="7"/>
    </row>
    <row r="409" spans="4:10" ht="15.75" customHeight="1" x14ac:dyDescent="0.25">
      <c r="D409" s="7"/>
      <c r="J409" s="7"/>
    </row>
    <row r="410" spans="4:10" ht="15.75" customHeight="1" x14ac:dyDescent="0.25">
      <c r="D410" s="7"/>
      <c r="J410" s="7"/>
    </row>
    <row r="411" spans="4:10" ht="15.75" customHeight="1" x14ac:dyDescent="0.25">
      <c r="D411" s="7"/>
      <c r="J411" s="7"/>
    </row>
    <row r="412" spans="4:10" ht="15.75" customHeight="1" x14ac:dyDescent="0.25">
      <c r="D412" s="7"/>
      <c r="J412" s="7"/>
    </row>
    <row r="413" spans="4:10" ht="15.75" customHeight="1" x14ac:dyDescent="0.25">
      <c r="D413" s="7"/>
      <c r="J413" s="7"/>
    </row>
    <row r="414" spans="4:10" ht="15.75" customHeight="1" x14ac:dyDescent="0.25">
      <c r="D414" s="7"/>
      <c r="J414" s="7"/>
    </row>
    <row r="415" spans="4:10" ht="15.75" customHeight="1" x14ac:dyDescent="0.25">
      <c r="D415" s="7"/>
      <c r="J415" s="7"/>
    </row>
    <row r="416" spans="4:10" ht="15.75" customHeight="1" x14ac:dyDescent="0.25">
      <c r="D416" s="7"/>
      <c r="J416" s="7"/>
    </row>
    <row r="417" spans="4:10" ht="15.75" customHeight="1" x14ac:dyDescent="0.25">
      <c r="D417" s="7"/>
      <c r="J417" s="7"/>
    </row>
    <row r="418" spans="4:10" ht="15.75" customHeight="1" x14ac:dyDescent="0.25">
      <c r="D418" s="7"/>
      <c r="J418" s="7"/>
    </row>
    <row r="419" spans="4:10" ht="15.75" customHeight="1" x14ac:dyDescent="0.25">
      <c r="D419" s="7"/>
      <c r="J419" s="7"/>
    </row>
    <row r="420" spans="4:10" ht="15.75" customHeight="1" x14ac:dyDescent="0.25">
      <c r="D420" s="7"/>
      <c r="J420" s="7"/>
    </row>
    <row r="421" spans="4:10" ht="15.75" customHeight="1" x14ac:dyDescent="0.25">
      <c r="D421" s="7"/>
      <c r="J421" s="7"/>
    </row>
    <row r="422" spans="4:10" ht="15.75" customHeight="1" x14ac:dyDescent="0.25">
      <c r="D422" s="7"/>
      <c r="J422" s="7"/>
    </row>
    <row r="423" spans="4:10" ht="15.75" customHeight="1" x14ac:dyDescent="0.25">
      <c r="D423" s="7"/>
      <c r="J423" s="7"/>
    </row>
    <row r="424" spans="4:10" ht="15.75" customHeight="1" x14ac:dyDescent="0.25">
      <c r="D424" s="7"/>
      <c r="J424" s="7"/>
    </row>
    <row r="425" spans="4:10" ht="15.75" customHeight="1" x14ac:dyDescent="0.25">
      <c r="D425" s="7"/>
      <c r="J425" s="7"/>
    </row>
    <row r="426" spans="4:10" ht="15.75" customHeight="1" x14ac:dyDescent="0.25">
      <c r="D426" s="7"/>
      <c r="J426" s="7"/>
    </row>
    <row r="427" spans="4:10" ht="15.75" customHeight="1" x14ac:dyDescent="0.25">
      <c r="D427" s="7"/>
      <c r="J427" s="7"/>
    </row>
    <row r="428" spans="4:10" ht="15.75" customHeight="1" x14ac:dyDescent="0.25">
      <c r="D428" s="7"/>
      <c r="J428" s="7"/>
    </row>
    <row r="429" spans="4:10" ht="15.75" customHeight="1" x14ac:dyDescent="0.25">
      <c r="D429" s="7"/>
      <c r="J429" s="7"/>
    </row>
    <row r="430" spans="4:10" ht="15.75" customHeight="1" x14ac:dyDescent="0.25">
      <c r="D430" s="7"/>
      <c r="J430" s="7"/>
    </row>
    <row r="431" spans="4:10" ht="15.75" customHeight="1" x14ac:dyDescent="0.25">
      <c r="D431" s="7"/>
      <c r="J431" s="7"/>
    </row>
    <row r="432" spans="4:10" ht="15.75" customHeight="1" x14ac:dyDescent="0.25">
      <c r="D432" s="7"/>
      <c r="J432" s="7"/>
    </row>
    <row r="433" spans="4:10" ht="15.75" customHeight="1" x14ac:dyDescent="0.25">
      <c r="D433" s="7"/>
      <c r="J433" s="7"/>
    </row>
    <row r="434" spans="4:10" ht="15.75" customHeight="1" x14ac:dyDescent="0.25">
      <c r="D434" s="7"/>
      <c r="J434" s="7"/>
    </row>
    <row r="435" spans="4:10" ht="15.75" customHeight="1" x14ac:dyDescent="0.25">
      <c r="D435" s="7"/>
      <c r="J435" s="7"/>
    </row>
    <row r="436" spans="4:10" ht="15.75" customHeight="1" x14ac:dyDescent="0.25">
      <c r="D436" s="7"/>
      <c r="J436" s="7"/>
    </row>
    <row r="437" spans="4:10" ht="15.75" customHeight="1" x14ac:dyDescent="0.25">
      <c r="D437" s="7"/>
      <c r="J437" s="7"/>
    </row>
    <row r="438" spans="4:10" ht="15.75" customHeight="1" x14ac:dyDescent="0.25">
      <c r="D438" s="7"/>
      <c r="J438" s="7"/>
    </row>
    <row r="439" spans="4:10" ht="15.75" customHeight="1" x14ac:dyDescent="0.25">
      <c r="D439" s="7"/>
      <c r="J439" s="7"/>
    </row>
    <row r="440" spans="4:10" ht="15.75" customHeight="1" x14ac:dyDescent="0.25">
      <c r="D440" s="7"/>
      <c r="J440" s="7"/>
    </row>
    <row r="441" spans="4:10" ht="15.75" customHeight="1" x14ac:dyDescent="0.25">
      <c r="D441" s="7"/>
      <c r="J441" s="7"/>
    </row>
    <row r="442" spans="4:10" ht="15.75" customHeight="1" x14ac:dyDescent="0.25">
      <c r="D442" s="7"/>
      <c r="J442" s="7"/>
    </row>
    <row r="443" spans="4:10" ht="15.75" customHeight="1" x14ac:dyDescent="0.25">
      <c r="D443" s="7"/>
      <c r="J443" s="7"/>
    </row>
    <row r="444" spans="4:10" ht="15.75" customHeight="1" x14ac:dyDescent="0.25">
      <c r="D444" s="7"/>
      <c r="J444" s="7"/>
    </row>
    <row r="445" spans="4:10" ht="15.75" customHeight="1" x14ac:dyDescent="0.25">
      <c r="D445" s="7"/>
      <c r="J445" s="7"/>
    </row>
    <row r="446" spans="4:10" ht="15.75" customHeight="1" x14ac:dyDescent="0.25">
      <c r="D446" s="7"/>
      <c r="J446" s="7"/>
    </row>
    <row r="447" spans="4:10" ht="15.75" customHeight="1" x14ac:dyDescent="0.25">
      <c r="D447" s="7"/>
      <c r="J447" s="7"/>
    </row>
    <row r="448" spans="4:10" ht="15.75" customHeight="1" x14ac:dyDescent="0.25">
      <c r="D448" s="7"/>
      <c r="J448" s="7"/>
    </row>
    <row r="449" spans="4:10" ht="15.75" customHeight="1" x14ac:dyDescent="0.25">
      <c r="D449" s="7"/>
      <c r="J449" s="7"/>
    </row>
    <row r="450" spans="4:10" ht="15.75" customHeight="1" x14ac:dyDescent="0.25">
      <c r="D450" s="7"/>
      <c r="J450" s="7"/>
    </row>
    <row r="451" spans="4:10" ht="15.75" customHeight="1" x14ac:dyDescent="0.25">
      <c r="D451" s="7"/>
      <c r="J451" s="7"/>
    </row>
    <row r="452" spans="4:10" ht="15.75" customHeight="1" x14ac:dyDescent="0.25">
      <c r="D452" s="7"/>
      <c r="J452" s="7"/>
    </row>
    <row r="453" spans="4:10" ht="15.75" customHeight="1" x14ac:dyDescent="0.25">
      <c r="D453" s="7"/>
      <c r="J453" s="7"/>
    </row>
    <row r="454" spans="4:10" ht="15.75" customHeight="1" x14ac:dyDescent="0.25">
      <c r="D454" s="7"/>
      <c r="J454" s="7"/>
    </row>
    <row r="455" spans="4:10" ht="15.75" customHeight="1" x14ac:dyDescent="0.25">
      <c r="D455" s="7"/>
      <c r="J455" s="7"/>
    </row>
    <row r="456" spans="4:10" ht="15.75" customHeight="1" x14ac:dyDescent="0.25">
      <c r="D456" s="7"/>
      <c r="J456" s="7"/>
    </row>
    <row r="457" spans="4:10" ht="15.75" customHeight="1" x14ac:dyDescent="0.25">
      <c r="D457" s="7"/>
      <c r="J457" s="7"/>
    </row>
    <row r="458" spans="4:10" ht="15.75" customHeight="1" x14ac:dyDescent="0.25">
      <c r="D458" s="7"/>
      <c r="J458" s="7"/>
    </row>
    <row r="459" spans="4:10" ht="15.75" customHeight="1" x14ac:dyDescent="0.25">
      <c r="D459" s="7"/>
      <c r="J459" s="7"/>
    </row>
    <row r="460" spans="4:10" ht="15.75" customHeight="1" x14ac:dyDescent="0.25">
      <c r="D460" s="7"/>
      <c r="J460" s="7"/>
    </row>
    <row r="461" spans="4:10" ht="15.75" customHeight="1" x14ac:dyDescent="0.25">
      <c r="D461" s="7"/>
      <c r="J461" s="7"/>
    </row>
    <row r="462" spans="4:10" ht="15.75" customHeight="1" x14ac:dyDescent="0.25">
      <c r="D462" s="7"/>
      <c r="J462" s="7"/>
    </row>
    <row r="463" spans="4:10" ht="15.75" customHeight="1" x14ac:dyDescent="0.25">
      <c r="D463" s="7"/>
      <c r="J463" s="7"/>
    </row>
    <row r="464" spans="4:10" ht="15.75" customHeight="1" x14ac:dyDescent="0.25">
      <c r="D464" s="7"/>
      <c r="J464" s="7"/>
    </row>
    <row r="465" spans="4:10" ht="15.75" customHeight="1" x14ac:dyDescent="0.25">
      <c r="D465" s="7"/>
      <c r="J465" s="7"/>
    </row>
    <row r="466" spans="4:10" ht="15.75" customHeight="1" x14ac:dyDescent="0.25">
      <c r="D466" s="7"/>
      <c r="J466" s="7"/>
    </row>
    <row r="467" spans="4:10" ht="15.75" customHeight="1" x14ac:dyDescent="0.25">
      <c r="D467" s="7"/>
      <c r="J467" s="7"/>
    </row>
    <row r="468" spans="4:10" ht="15.75" customHeight="1" x14ac:dyDescent="0.25">
      <c r="D468" s="7"/>
      <c r="J468" s="7"/>
    </row>
    <row r="469" spans="4:10" ht="15.75" customHeight="1" x14ac:dyDescent="0.25">
      <c r="D469" s="7"/>
      <c r="J469" s="7"/>
    </row>
    <row r="470" spans="4:10" ht="15.75" customHeight="1" x14ac:dyDescent="0.25">
      <c r="D470" s="7"/>
      <c r="J470" s="7"/>
    </row>
    <row r="471" spans="4:10" ht="15.75" customHeight="1" x14ac:dyDescent="0.25">
      <c r="D471" s="7"/>
      <c r="J471" s="7"/>
    </row>
    <row r="472" spans="4:10" ht="15.75" customHeight="1" x14ac:dyDescent="0.25">
      <c r="D472" s="7"/>
      <c r="J472" s="7"/>
    </row>
    <row r="473" spans="4:10" ht="15.75" customHeight="1" x14ac:dyDescent="0.25">
      <c r="D473" s="7"/>
      <c r="J473" s="7"/>
    </row>
    <row r="474" spans="4:10" ht="15.75" customHeight="1" x14ac:dyDescent="0.25">
      <c r="D474" s="7"/>
      <c r="J474" s="7"/>
    </row>
    <row r="475" spans="4:10" ht="15.75" customHeight="1" x14ac:dyDescent="0.25">
      <c r="D475" s="7"/>
      <c r="J475" s="7"/>
    </row>
    <row r="476" spans="4:10" ht="15.75" customHeight="1" x14ac:dyDescent="0.25">
      <c r="D476" s="7"/>
      <c r="J476" s="7"/>
    </row>
    <row r="477" spans="4:10" ht="15.75" customHeight="1" x14ac:dyDescent="0.25">
      <c r="D477" s="7"/>
      <c r="J477" s="7"/>
    </row>
    <row r="478" spans="4:10" ht="15.75" customHeight="1" x14ac:dyDescent="0.25">
      <c r="D478" s="7"/>
      <c r="J478" s="7"/>
    </row>
    <row r="479" spans="4:10" ht="15.75" customHeight="1" x14ac:dyDescent="0.25">
      <c r="D479" s="7"/>
      <c r="J479" s="7"/>
    </row>
    <row r="480" spans="4:10" ht="15.75" customHeight="1" x14ac:dyDescent="0.25">
      <c r="D480" s="7"/>
      <c r="J480" s="7"/>
    </row>
    <row r="481" spans="4:10" ht="15.75" customHeight="1" x14ac:dyDescent="0.25">
      <c r="D481" s="7"/>
      <c r="J481" s="7"/>
    </row>
    <row r="482" spans="4:10" ht="15.75" customHeight="1" x14ac:dyDescent="0.25">
      <c r="D482" s="7"/>
      <c r="J482" s="7"/>
    </row>
    <row r="483" spans="4:10" ht="15.75" customHeight="1" x14ac:dyDescent="0.25">
      <c r="D483" s="7"/>
      <c r="J483" s="7"/>
    </row>
    <row r="484" spans="4:10" ht="15.75" customHeight="1" x14ac:dyDescent="0.25">
      <c r="D484" s="7"/>
      <c r="J484" s="7"/>
    </row>
    <row r="485" spans="4:10" ht="15.75" customHeight="1" x14ac:dyDescent="0.25">
      <c r="D485" s="7"/>
      <c r="J485" s="7"/>
    </row>
    <row r="486" spans="4:10" ht="15.75" customHeight="1" x14ac:dyDescent="0.25">
      <c r="D486" s="7"/>
      <c r="J486" s="7"/>
    </row>
    <row r="487" spans="4:10" ht="15.75" customHeight="1" x14ac:dyDescent="0.25">
      <c r="D487" s="7"/>
      <c r="J487" s="7"/>
    </row>
    <row r="488" spans="4:10" ht="15.75" customHeight="1" x14ac:dyDescent="0.25">
      <c r="D488" s="7"/>
      <c r="J488" s="7"/>
    </row>
    <row r="489" spans="4:10" ht="15.75" customHeight="1" x14ac:dyDescent="0.25">
      <c r="D489" s="7"/>
      <c r="J489" s="7"/>
    </row>
    <row r="490" spans="4:10" ht="15.75" customHeight="1" x14ac:dyDescent="0.25">
      <c r="D490" s="7"/>
      <c r="J490" s="7"/>
    </row>
    <row r="491" spans="4:10" ht="15.75" customHeight="1" x14ac:dyDescent="0.25">
      <c r="D491" s="7"/>
      <c r="J491" s="7"/>
    </row>
    <row r="492" spans="4:10" ht="15.75" customHeight="1" x14ac:dyDescent="0.25">
      <c r="D492" s="7"/>
      <c r="J492" s="7"/>
    </row>
    <row r="493" spans="4:10" ht="15.75" customHeight="1" x14ac:dyDescent="0.25">
      <c r="D493" s="7"/>
      <c r="J493" s="7"/>
    </row>
    <row r="494" spans="4:10" ht="15.75" customHeight="1" x14ac:dyDescent="0.25">
      <c r="D494" s="7"/>
      <c r="J494" s="7"/>
    </row>
    <row r="495" spans="4:10" ht="15.75" customHeight="1" x14ac:dyDescent="0.25">
      <c r="D495" s="7"/>
      <c r="J495" s="7"/>
    </row>
    <row r="496" spans="4:10" ht="15.75" customHeight="1" x14ac:dyDescent="0.25">
      <c r="D496" s="7"/>
      <c r="J496" s="7"/>
    </row>
    <row r="497" spans="4:10" ht="15.75" customHeight="1" x14ac:dyDescent="0.25">
      <c r="D497" s="7"/>
      <c r="J497" s="7"/>
    </row>
    <row r="498" spans="4:10" ht="15.75" customHeight="1" x14ac:dyDescent="0.25">
      <c r="D498" s="7"/>
      <c r="J498" s="7"/>
    </row>
    <row r="499" spans="4:10" ht="15.75" customHeight="1" x14ac:dyDescent="0.25">
      <c r="D499" s="7"/>
      <c r="J499" s="7"/>
    </row>
    <row r="500" spans="4:10" ht="15.75" customHeight="1" x14ac:dyDescent="0.25">
      <c r="D500" s="7"/>
      <c r="J500" s="7"/>
    </row>
    <row r="501" spans="4:10" ht="15.75" customHeight="1" x14ac:dyDescent="0.25">
      <c r="D501" s="7"/>
      <c r="J501" s="7"/>
    </row>
    <row r="502" spans="4:10" ht="15.75" customHeight="1" x14ac:dyDescent="0.25">
      <c r="D502" s="7"/>
      <c r="J502" s="7"/>
    </row>
    <row r="503" spans="4:10" ht="15.75" customHeight="1" x14ac:dyDescent="0.25">
      <c r="D503" s="7"/>
      <c r="J503" s="7"/>
    </row>
    <row r="504" spans="4:10" ht="15.75" customHeight="1" x14ac:dyDescent="0.25">
      <c r="D504" s="7"/>
      <c r="J504" s="7"/>
    </row>
    <row r="505" spans="4:10" ht="15.75" customHeight="1" x14ac:dyDescent="0.25">
      <c r="D505" s="7"/>
      <c r="J505" s="7"/>
    </row>
    <row r="506" spans="4:10" ht="15.75" customHeight="1" x14ac:dyDescent="0.25">
      <c r="D506" s="7"/>
      <c r="J506" s="7"/>
    </row>
    <row r="507" spans="4:10" ht="15.75" customHeight="1" x14ac:dyDescent="0.25">
      <c r="D507" s="7"/>
      <c r="J507" s="7"/>
    </row>
    <row r="508" spans="4:10" ht="15.75" customHeight="1" x14ac:dyDescent="0.25">
      <c r="D508" s="7"/>
      <c r="J508" s="7"/>
    </row>
    <row r="509" spans="4:10" ht="15.75" customHeight="1" x14ac:dyDescent="0.25">
      <c r="D509" s="7"/>
      <c r="J509" s="7"/>
    </row>
    <row r="510" spans="4:10" ht="15.75" customHeight="1" x14ac:dyDescent="0.25">
      <c r="D510" s="7"/>
      <c r="J510" s="7"/>
    </row>
    <row r="511" spans="4:10" ht="15.75" customHeight="1" x14ac:dyDescent="0.25">
      <c r="D511" s="7"/>
      <c r="J511" s="7"/>
    </row>
    <row r="512" spans="4:10" ht="15.75" customHeight="1" x14ac:dyDescent="0.25">
      <c r="D512" s="7"/>
      <c r="J512" s="7"/>
    </row>
    <row r="513" spans="4:10" ht="15.75" customHeight="1" x14ac:dyDescent="0.25">
      <c r="D513" s="7"/>
      <c r="J513" s="7"/>
    </row>
    <row r="514" spans="4:10" ht="15.75" customHeight="1" x14ac:dyDescent="0.25">
      <c r="D514" s="7"/>
      <c r="J514" s="7"/>
    </row>
    <row r="515" spans="4:10" ht="15.75" customHeight="1" x14ac:dyDescent="0.25">
      <c r="D515" s="7"/>
      <c r="J515" s="7"/>
    </row>
    <row r="516" spans="4:10" ht="15.75" customHeight="1" x14ac:dyDescent="0.25">
      <c r="D516" s="7"/>
      <c r="J516" s="7"/>
    </row>
    <row r="517" spans="4:10" ht="15.75" customHeight="1" x14ac:dyDescent="0.25">
      <c r="D517" s="7"/>
      <c r="J517" s="7"/>
    </row>
    <row r="518" spans="4:10" ht="15.75" customHeight="1" x14ac:dyDescent="0.25">
      <c r="D518" s="7"/>
      <c r="J518" s="7"/>
    </row>
    <row r="519" spans="4:10" ht="15.75" customHeight="1" x14ac:dyDescent="0.25">
      <c r="D519" s="7"/>
      <c r="J519" s="7"/>
    </row>
    <row r="520" spans="4:10" ht="15.75" customHeight="1" x14ac:dyDescent="0.25">
      <c r="D520" s="7"/>
      <c r="J520" s="7"/>
    </row>
    <row r="521" spans="4:10" ht="15.75" customHeight="1" x14ac:dyDescent="0.25">
      <c r="D521" s="7"/>
      <c r="J521" s="7"/>
    </row>
    <row r="522" spans="4:10" ht="15.75" customHeight="1" x14ac:dyDescent="0.25">
      <c r="D522" s="7"/>
      <c r="J522" s="7"/>
    </row>
    <row r="523" spans="4:10" ht="15.75" customHeight="1" x14ac:dyDescent="0.25">
      <c r="D523" s="7"/>
      <c r="J523" s="7"/>
    </row>
    <row r="524" spans="4:10" ht="15.75" customHeight="1" x14ac:dyDescent="0.25">
      <c r="D524" s="7"/>
      <c r="J524" s="7"/>
    </row>
    <row r="525" spans="4:10" ht="15.75" customHeight="1" x14ac:dyDescent="0.25">
      <c r="D525" s="7"/>
      <c r="J525" s="7"/>
    </row>
    <row r="526" spans="4:10" ht="15.75" customHeight="1" x14ac:dyDescent="0.25">
      <c r="D526" s="7"/>
      <c r="J526" s="7"/>
    </row>
    <row r="527" spans="4:10" ht="15.75" customHeight="1" x14ac:dyDescent="0.25">
      <c r="D527" s="7"/>
      <c r="J527" s="7"/>
    </row>
    <row r="528" spans="4:10" ht="15.75" customHeight="1" x14ac:dyDescent="0.25">
      <c r="D528" s="7"/>
      <c r="J528" s="7"/>
    </row>
    <row r="529" spans="4:10" ht="15.75" customHeight="1" x14ac:dyDescent="0.25">
      <c r="D529" s="7"/>
      <c r="J529" s="7"/>
    </row>
    <row r="530" spans="4:10" ht="15.75" customHeight="1" x14ac:dyDescent="0.25">
      <c r="D530" s="7"/>
      <c r="J530" s="7"/>
    </row>
    <row r="531" spans="4:10" ht="15.75" customHeight="1" x14ac:dyDescent="0.25">
      <c r="D531" s="7"/>
      <c r="J531" s="7"/>
    </row>
    <row r="532" spans="4:10" ht="15.75" customHeight="1" x14ac:dyDescent="0.25">
      <c r="D532" s="7"/>
      <c r="J532" s="7"/>
    </row>
    <row r="533" spans="4:10" ht="15.75" customHeight="1" x14ac:dyDescent="0.25">
      <c r="D533" s="7"/>
      <c r="J533" s="7"/>
    </row>
    <row r="534" spans="4:10" ht="15.75" customHeight="1" x14ac:dyDescent="0.25">
      <c r="D534" s="7"/>
      <c r="J534" s="7"/>
    </row>
    <row r="535" spans="4:10" ht="15.75" customHeight="1" x14ac:dyDescent="0.25">
      <c r="D535" s="7"/>
      <c r="J535" s="7"/>
    </row>
    <row r="536" spans="4:10" ht="15.75" customHeight="1" x14ac:dyDescent="0.25">
      <c r="D536" s="7"/>
      <c r="J536" s="7"/>
    </row>
    <row r="537" spans="4:10" ht="15.75" customHeight="1" x14ac:dyDescent="0.25">
      <c r="D537" s="7"/>
      <c r="J537" s="7"/>
    </row>
    <row r="538" spans="4:10" ht="15.75" customHeight="1" x14ac:dyDescent="0.25">
      <c r="D538" s="7"/>
      <c r="J538" s="7"/>
    </row>
    <row r="539" spans="4:10" ht="15.75" customHeight="1" x14ac:dyDescent="0.25">
      <c r="D539" s="7"/>
      <c r="J539" s="7"/>
    </row>
    <row r="540" spans="4:10" ht="15.75" customHeight="1" x14ac:dyDescent="0.25">
      <c r="D540" s="7"/>
      <c r="J540" s="7"/>
    </row>
    <row r="541" spans="4:10" ht="15.75" customHeight="1" x14ac:dyDescent="0.25">
      <c r="D541" s="7"/>
      <c r="J541" s="7"/>
    </row>
    <row r="542" spans="4:10" ht="15.75" customHeight="1" x14ac:dyDescent="0.25">
      <c r="D542" s="7"/>
      <c r="J542" s="7"/>
    </row>
    <row r="543" spans="4:10" ht="15.75" customHeight="1" x14ac:dyDescent="0.25">
      <c r="D543" s="7"/>
      <c r="J543" s="7"/>
    </row>
    <row r="544" spans="4:10" ht="15.75" customHeight="1" x14ac:dyDescent="0.25">
      <c r="D544" s="7"/>
      <c r="J544" s="7"/>
    </row>
    <row r="545" spans="4:10" ht="15.75" customHeight="1" x14ac:dyDescent="0.25">
      <c r="D545" s="7"/>
      <c r="J545" s="7"/>
    </row>
    <row r="546" spans="4:10" ht="15.75" customHeight="1" x14ac:dyDescent="0.25">
      <c r="D546" s="7"/>
      <c r="J546" s="7"/>
    </row>
    <row r="547" spans="4:10" ht="15.75" customHeight="1" x14ac:dyDescent="0.25">
      <c r="D547" s="7"/>
      <c r="J547" s="7"/>
    </row>
    <row r="548" spans="4:10" ht="15.75" customHeight="1" x14ac:dyDescent="0.25">
      <c r="D548" s="7"/>
      <c r="J548" s="7"/>
    </row>
    <row r="549" spans="4:10" ht="15.75" customHeight="1" x14ac:dyDescent="0.25">
      <c r="D549" s="7"/>
      <c r="J549" s="7"/>
    </row>
    <row r="550" spans="4:10" ht="15.75" customHeight="1" x14ac:dyDescent="0.25">
      <c r="D550" s="7"/>
      <c r="J550" s="7"/>
    </row>
    <row r="551" spans="4:10" ht="15.75" customHeight="1" x14ac:dyDescent="0.25">
      <c r="D551" s="7"/>
      <c r="J551" s="7"/>
    </row>
    <row r="552" spans="4:10" ht="15.75" customHeight="1" x14ac:dyDescent="0.25">
      <c r="D552" s="7"/>
      <c r="J552" s="7"/>
    </row>
    <row r="553" spans="4:10" ht="15.75" customHeight="1" x14ac:dyDescent="0.25">
      <c r="D553" s="7"/>
      <c r="J553" s="7"/>
    </row>
    <row r="554" spans="4:10" ht="15.75" customHeight="1" x14ac:dyDescent="0.25">
      <c r="D554" s="7"/>
      <c r="J554" s="7"/>
    </row>
    <row r="555" spans="4:10" ht="15.75" customHeight="1" x14ac:dyDescent="0.25">
      <c r="D555" s="7"/>
      <c r="J555" s="7"/>
    </row>
    <row r="556" spans="4:10" ht="15.75" customHeight="1" x14ac:dyDescent="0.25">
      <c r="D556" s="7"/>
      <c r="J556" s="7"/>
    </row>
    <row r="557" spans="4:10" ht="15.75" customHeight="1" x14ac:dyDescent="0.25">
      <c r="D557" s="7"/>
      <c r="J557" s="7"/>
    </row>
    <row r="558" spans="4:10" ht="15.75" customHeight="1" x14ac:dyDescent="0.25">
      <c r="D558" s="7"/>
      <c r="J558" s="7"/>
    </row>
    <row r="559" spans="4:10" ht="15.75" customHeight="1" x14ac:dyDescent="0.25">
      <c r="D559" s="7"/>
      <c r="J559" s="7"/>
    </row>
    <row r="560" spans="4:10" ht="15.75" customHeight="1" x14ac:dyDescent="0.25">
      <c r="D560" s="7"/>
      <c r="J560" s="7"/>
    </row>
    <row r="561" spans="4:10" ht="15.75" customHeight="1" x14ac:dyDescent="0.25">
      <c r="D561" s="7"/>
      <c r="J561" s="7"/>
    </row>
    <row r="562" spans="4:10" ht="15.75" customHeight="1" x14ac:dyDescent="0.25">
      <c r="D562" s="7"/>
      <c r="J562" s="7"/>
    </row>
    <row r="563" spans="4:10" ht="15.75" customHeight="1" x14ac:dyDescent="0.25">
      <c r="D563" s="7"/>
      <c r="J563" s="7"/>
    </row>
    <row r="564" spans="4:10" ht="15.75" customHeight="1" x14ac:dyDescent="0.25">
      <c r="D564" s="7"/>
      <c r="J564" s="7"/>
    </row>
    <row r="565" spans="4:10" ht="15.75" customHeight="1" x14ac:dyDescent="0.25">
      <c r="D565" s="7"/>
      <c r="J565" s="7"/>
    </row>
    <row r="566" spans="4:10" ht="15.75" customHeight="1" x14ac:dyDescent="0.25">
      <c r="D566" s="7"/>
      <c r="J566" s="7"/>
    </row>
    <row r="567" spans="4:10" ht="15.75" customHeight="1" x14ac:dyDescent="0.25">
      <c r="D567" s="7"/>
      <c r="J567" s="7"/>
    </row>
    <row r="568" spans="4:10" ht="15.75" customHeight="1" x14ac:dyDescent="0.25">
      <c r="D568" s="7"/>
      <c r="J568" s="7"/>
    </row>
    <row r="569" spans="4:10" ht="15.75" customHeight="1" x14ac:dyDescent="0.25">
      <c r="D569" s="7"/>
      <c r="J569" s="7"/>
    </row>
    <row r="570" spans="4:10" ht="15.75" customHeight="1" x14ac:dyDescent="0.25">
      <c r="D570" s="7"/>
      <c r="J570" s="7"/>
    </row>
    <row r="571" spans="4:10" ht="15.75" customHeight="1" x14ac:dyDescent="0.25">
      <c r="D571" s="7"/>
      <c r="J571" s="7"/>
    </row>
    <row r="572" spans="4:10" ht="15.75" customHeight="1" x14ac:dyDescent="0.25">
      <c r="D572" s="7"/>
      <c r="J572" s="7"/>
    </row>
    <row r="573" spans="4:10" ht="15.75" customHeight="1" x14ac:dyDescent="0.25">
      <c r="D573" s="7"/>
      <c r="J573" s="7"/>
    </row>
    <row r="574" spans="4:10" ht="15.75" customHeight="1" x14ac:dyDescent="0.25">
      <c r="D574" s="7"/>
      <c r="J574" s="7"/>
    </row>
    <row r="575" spans="4:10" ht="15.75" customHeight="1" x14ac:dyDescent="0.25">
      <c r="D575" s="7"/>
      <c r="J575" s="7"/>
    </row>
    <row r="576" spans="4:10" ht="15.75" customHeight="1" x14ac:dyDescent="0.25">
      <c r="D576" s="7"/>
      <c r="J576" s="7"/>
    </row>
    <row r="577" spans="4:10" ht="15.75" customHeight="1" x14ac:dyDescent="0.25">
      <c r="D577" s="7"/>
      <c r="J577" s="7"/>
    </row>
    <row r="578" spans="4:10" ht="15.75" customHeight="1" x14ac:dyDescent="0.25">
      <c r="D578" s="7"/>
      <c r="J578" s="7"/>
    </row>
    <row r="579" spans="4:10" ht="15.75" customHeight="1" x14ac:dyDescent="0.25">
      <c r="D579" s="7"/>
      <c r="J579" s="7"/>
    </row>
    <row r="580" spans="4:10" ht="15.75" customHeight="1" x14ac:dyDescent="0.25">
      <c r="D580" s="7"/>
      <c r="J580" s="7"/>
    </row>
    <row r="581" spans="4:10" ht="15.75" customHeight="1" x14ac:dyDescent="0.25">
      <c r="D581" s="7"/>
      <c r="J581" s="7"/>
    </row>
    <row r="582" spans="4:10" ht="15.75" customHeight="1" x14ac:dyDescent="0.25">
      <c r="D582" s="7"/>
      <c r="J582" s="7"/>
    </row>
    <row r="583" spans="4:10" ht="15.75" customHeight="1" x14ac:dyDescent="0.25">
      <c r="D583" s="7"/>
      <c r="J583" s="7"/>
    </row>
    <row r="584" spans="4:10" ht="15.75" customHeight="1" x14ac:dyDescent="0.25">
      <c r="D584" s="7"/>
      <c r="J584" s="7"/>
    </row>
    <row r="585" spans="4:10" ht="15.75" customHeight="1" x14ac:dyDescent="0.25">
      <c r="D585" s="7"/>
      <c r="J585" s="7"/>
    </row>
    <row r="586" spans="4:10" ht="15.75" customHeight="1" x14ac:dyDescent="0.25">
      <c r="D586" s="7"/>
      <c r="J586" s="7"/>
    </row>
    <row r="587" spans="4:10" ht="15.75" customHeight="1" x14ac:dyDescent="0.25">
      <c r="D587" s="7"/>
      <c r="J587" s="7"/>
    </row>
    <row r="588" spans="4:10" ht="15.75" customHeight="1" x14ac:dyDescent="0.25">
      <c r="D588" s="7"/>
      <c r="J588" s="7"/>
    </row>
    <row r="589" spans="4:10" ht="15.75" customHeight="1" x14ac:dyDescent="0.25">
      <c r="D589" s="7"/>
      <c r="J589" s="7"/>
    </row>
    <row r="590" spans="4:10" ht="15.75" customHeight="1" x14ac:dyDescent="0.25">
      <c r="D590" s="7"/>
      <c r="J590" s="7"/>
    </row>
    <row r="591" spans="4:10" ht="15.75" customHeight="1" x14ac:dyDescent="0.25">
      <c r="D591" s="7"/>
      <c r="J591" s="7"/>
    </row>
    <row r="592" spans="4:10" ht="15.75" customHeight="1" x14ac:dyDescent="0.25">
      <c r="D592" s="7"/>
      <c r="J592" s="7"/>
    </row>
    <row r="593" spans="4:10" ht="15.75" customHeight="1" x14ac:dyDescent="0.25">
      <c r="D593" s="7"/>
      <c r="J593" s="7"/>
    </row>
    <row r="594" spans="4:10" ht="15.75" customHeight="1" x14ac:dyDescent="0.25">
      <c r="D594" s="7"/>
      <c r="J594" s="7"/>
    </row>
    <row r="595" spans="4:10" ht="15.75" customHeight="1" x14ac:dyDescent="0.25">
      <c r="D595" s="7"/>
      <c r="J595" s="7"/>
    </row>
    <row r="596" spans="4:10" ht="15.75" customHeight="1" x14ac:dyDescent="0.25">
      <c r="D596" s="7"/>
      <c r="J596" s="7"/>
    </row>
    <row r="597" spans="4:10" ht="15.75" customHeight="1" x14ac:dyDescent="0.25">
      <c r="D597" s="7"/>
      <c r="J597" s="7"/>
    </row>
    <row r="598" spans="4:10" ht="15.75" customHeight="1" x14ac:dyDescent="0.25">
      <c r="D598" s="7"/>
      <c r="J598" s="7"/>
    </row>
    <row r="599" spans="4:10" ht="15.75" customHeight="1" x14ac:dyDescent="0.25">
      <c r="D599" s="7"/>
      <c r="J599" s="7"/>
    </row>
    <row r="600" spans="4:10" ht="15.75" customHeight="1" x14ac:dyDescent="0.25">
      <c r="D600" s="7"/>
      <c r="J600" s="7"/>
    </row>
    <row r="601" spans="4:10" ht="15.75" customHeight="1" x14ac:dyDescent="0.25">
      <c r="D601" s="7"/>
      <c r="J601" s="7"/>
    </row>
    <row r="602" spans="4:10" ht="15.75" customHeight="1" x14ac:dyDescent="0.25">
      <c r="D602" s="7"/>
      <c r="J602" s="7"/>
    </row>
    <row r="603" spans="4:10" ht="15.75" customHeight="1" x14ac:dyDescent="0.25">
      <c r="D603" s="7"/>
      <c r="J603" s="7"/>
    </row>
    <row r="604" spans="4:10" ht="15.75" customHeight="1" x14ac:dyDescent="0.25">
      <c r="D604" s="7"/>
      <c r="J604" s="7"/>
    </row>
    <row r="605" spans="4:10" ht="15.75" customHeight="1" x14ac:dyDescent="0.25">
      <c r="D605" s="7"/>
      <c r="J605" s="7"/>
    </row>
    <row r="606" spans="4:10" ht="15.75" customHeight="1" x14ac:dyDescent="0.25">
      <c r="D606" s="7"/>
      <c r="J606" s="7"/>
    </row>
    <row r="607" spans="4:10" ht="15.75" customHeight="1" x14ac:dyDescent="0.25">
      <c r="D607" s="7"/>
      <c r="J607" s="7"/>
    </row>
    <row r="608" spans="4:10" ht="15.75" customHeight="1" x14ac:dyDescent="0.25">
      <c r="D608" s="7"/>
      <c r="J608" s="7"/>
    </row>
    <row r="609" spans="4:10" ht="15.75" customHeight="1" x14ac:dyDescent="0.25">
      <c r="D609" s="7"/>
      <c r="J609" s="7"/>
    </row>
    <row r="610" spans="4:10" ht="15.75" customHeight="1" x14ac:dyDescent="0.25">
      <c r="D610" s="7"/>
      <c r="J610" s="7"/>
    </row>
    <row r="611" spans="4:10" ht="15.75" customHeight="1" x14ac:dyDescent="0.25">
      <c r="D611" s="7"/>
      <c r="J611" s="7"/>
    </row>
    <row r="612" spans="4:10" ht="15.75" customHeight="1" x14ac:dyDescent="0.25">
      <c r="D612" s="7"/>
      <c r="J612" s="7"/>
    </row>
    <row r="613" spans="4:10" ht="15.75" customHeight="1" x14ac:dyDescent="0.25">
      <c r="D613" s="7"/>
      <c r="J613" s="7"/>
    </row>
    <row r="614" spans="4:10" ht="15.75" customHeight="1" x14ac:dyDescent="0.25">
      <c r="D614" s="7"/>
      <c r="J614" s="7"/>
    </row>
    <row r="615" spans="4:10" ht="15.75" customHeight="1" x14ac:dyDescent="0.25">
      <c r="D615" s="7"/>
      <c r="J615" s="7"/>
    </row>
    <row r="616" spans="4:10" ht="15.75" customHeight="1" x14ac:dyDescent="0.25">
      <c r="D616" s="7"/>
      <c r="J616" s="7"/>
    </row>
    <row r="617" spans="4:10" ht="15.75" customHeight="1" x14ac:dyDescent="0.25">
      <c r="D617" s="7"/>
      <c r="J617" s="7"/>
    </row>
    <row r="618" spans="4:10" ht="15.75" customHeight="1" x14ac:dyDescent="0.25">
      <c r="D618" s="7"/>
      <c r="J618" s="7"/>
    </row>
    <row r="619" spans="4:10" ht="15.75" customHeight="1" x14ac:dyDescent="0.25">
      <c r="D619" s="7"/>
      <c r="J619" s="7"/>
    </row>
    <row r="620" spans="4:10" ht="15.75" customHeight="1" x14ac:dyDescent="0.25">
      <c r="D620" s="7"/>
      <c r="J620" s="7"/>
    </row>
    <row r="621" spans="4:10" ht="15.75" customHeight="1" x14ac:dyDescent="0.25">
      <c r="D621" s="7"/>
      <c r="J621" s="7"/>
    </row>
    <row r="622" spans="4:10" ht="15.75" customHeight="1" x14ac:dyDescent="0.25">
      <c r="D622" s="7"/>
      <c r="J622" s="7"/>
    </row>
    <row r="623" spans="4:10" ht="15.75" customHeight="1" x14ac:dyDescent="0.25">
      <c r="D623" s="7"/>
      <c r="J623" s="7"/>
    </row>
    <row r="624" spans="4:10" ht="15.75" customHeight="1" x14ac:dyDescent="0.25">
      <c r="D624" s="7"/>
      <c r="J624" s="7"/>
    </row>
    <row r="625" spans="4:10" ht="15.75" customHeight="1" x14ac:dyDescent="0.25">
      <c r="D625" s="7"/>
      <c r="J625" s="7"/>
    </row>
    <row r="626" spans="4:10" ht="15.75" customHeight="1" x14ac:dyDescent="0.25">
      <c r="D626" s="7"/>
      <c r="J626" s="7"/>
    </row>
    <row r="627" spans="4:10" ht="15.75" customHeight="1" x14ac:dyDescent="0.25">
      <c r="D627" s="7"/>
      <c r="J627" s="7"/>
    </row>
    <row r="628" spans="4:10" ht="15.75" customHeight="1" x14ac:dyDescent="0.25">
      <c r="D628" s="7"/>
      <c r="J628" s="7"/>
    </row>
    <row r="629" spans="4:10" ht="15.75" customHeight="1" x14ac:dyDescent="0.25">
      <c r="D629" s="7"/>
      <c r="J629" s="7"/>
    </row>
    <row r="630" spans="4:10" ht="15.75" customHeight="1" x14ac:dyDescent="0.25">
      <c r="D630" s="7"/>
      <c r="J630" s="7"/>
    </row>
    <row r="631" spans="4:10" ht="15.75" customHeight="1" x14ac:dyDescent="0.25">
      <c r="D631" s="7"/>
      <c r="J631" s="7"/>
    </row>
    <row r="632" spans="4:10" ht="15.75" customHeight="1" x14ac:dyDescent="0.25">
      <c r="D632" s="7"/>
      <c r="J632" s="7"/>
    </row>
    <row r="633" spans="4:10" ht="15.75" customHeight="1" x14ac:dyDescent="0.25">
      <c r="D633" s="7"/>
      <c r="J633" s="7"/>
    </row>
    <row r="634" spans="4:10" ht="15.75" customHeight="1" x14ac:dyDescent="0.25">
      <c r="D634" s="7"/>
      <c r="J634" s="7"/>
    </row>
    <row r="635" spans="4:10" ht="15.75" customHeight="1" x14ac:dyDescent="0.25">
      <c r="D635" s="7"/>
      <c r="J635" s="7"/>
    </row>
    <row r="636" spans="4:10" ht="15.75" customHeight="1" x14ac:dyDescent="0.25">
      <c r="D636" s="7"/>
      <c r="J636" s="7"/>
    </row>
    <row r="637" spans="4:10" ht="15.75" customHeight="1" x14ac:dyDescent="0.25">
      <c r="D637" s="7"/>
      <c r="J637" s="7"/>
    </row>
    <row r="638" spans="4:10" ht="15.75" customHeight="1" x14ac:dyDescent="0.25">
      <c r="D638" s="7"/>
      <c r="J638" s="7"/>
    </row>
    <row r="639" spans="4:10" ht="15.75" customHeight="1" x14ac:dyDescent="0.25">
      <c r="D639" s="7"/>
      <c r="J639" s="7"/>
    </row>
    <row r="640" spans="4:10" ht="15.75" customHeight="1" x14ac:dyDescent="0.25">
      <c r="D640" s="7"/>
      <c r="J640" s="7"/>
    </row>
    <row r="641" spans="4:10" ht="15.75" customHeight="1" x14ac:dyDescent="0.25">
      <c r="D641" s="7"/>
      <c r="J641" s="7"/>
    </row>
    <row r="642" spans="4:10" ht="15.75" customHeight="1" x14ac:dyDescent="0.25">
      <c r="D642" s="7"/>
      <c r="J642" s="7"/>
    </row>
    <row r="643" spans="4:10" ht="15.75" customHeight="1" x14ac:dyDescent="0.25">
      <c r="D643" s="7"/>
      <c r="J643" s="7"/>
    </row>
    <row r="644" spans="4:10" ht="15.75" customHeight="1" x14ac:dyDescent="0.25">
      <c r="D644" s="7"/>
      <c r="J644" s="7"/>
    </row>
    <row r="645" spans="4:10" ht="15.75" customHeight="1" x14ac:dyDescent="0.25">
      <c r="D645" s="7"/>
      <c r="J645" s="7"/>
    </row>
    <row r="646" spans="4:10" ht="15.75" customHeight="1" x14ac:dyDescent="0.25">
      <c r="D646" s="7"/>
      <c r="J646" s="7"/>
    </row>
    <row r="647" spans="4:10" ht="15.75" customHeight="1" x14ac:dyDescent="0.25">
      <c r="D647" s="7"/>
      <c r="J647" s="7"/>
    </row>
    <row r="648" spans="4:10" ht="15.75" customHeight="1" x14ac:dyDescent="0.25">
      <c r="D648" s="7"/>
      <c r="J648" s="7"/>
    </row>
    <row r="649" spans="4:10" ht="15.75" customHeight="1" x14ac:dyDescent="0.25">
      <c r="D649" s="7"/>
      <c r="J649" s="7"/>
    </row>
    <row r="650" spans="4:10" ht="15.75" customHeight="1" x14ac:dyDescent="0.25">
      <c r="D650" s="7"/>
      <c r="J650" s="7"/>
    </row>
    <row r="651" spans="4:10" ht="15.75" customHeight="1" x14ac:dyDescent="0.25">
      <c r="D651" s="7"/>
      <c r="J651" s="7"/>
    </row>
    <row r="652" spans="4:10" ht="15.75" customHeight="1" x14ac:dyDescent="0.25">
      <c r="D652" s="7"/>
      <c r="J652" s="7"/>
    </row>
    <row r="653" spans="4:10" ht="15.75" customHeight="1" x14ac:dyDescent="0.25">
      <c r="D653" s="7"/>
      <c r="J653" s="7"/>
    </row>
    <row r="654" spans="4:10" ht="15.75" customHeight="1" x14ac:dyDescent="0.25">
      <c r="D654" s="7"/>
      <c r="J654" s="7"/>
    </row>
    <row r="655" spans="4:10" ht="15.75" customHeight="1" x14ac:dyDescent="0.25">
      <c r="D655" s="7"/>
      <c r="J655" s="7"/>
    </row>
    <row r="656" spans="4:10" ht="15.75" customHeight="1" x14ac:dyDescent="0.25">
      <c r="D656" s="7"/>
      <c r="J656" s="7"/>
    </row>
    <row r="657" spans="4:10" ht="15.75" customHeight="1" x14ac:dyDescent="0.25">
      <c r="D657" s="7"/>
      <c r="J657" s="7"/>
    </row>
    <row r="658" spans="4:10" ht="15.75" customHeight="1" x14ac:dyDescent="0.25">
      <c r="D658" s="7"/>
      <c r="J658" s="7"/>
    </row>
    <row r="659" spans="4:10" ht="15.75" customHeight="1" x14ac:dyDescent="0.25">
      <c r="D659" s="7"/>
      <c r="J659" s="7"/>
    </row>
    <row r="660" spans="4:10" ht="15.75" customHeight="1" x14ac:dyDescent="0.25">
      <c r="D660" s="7"/>
      <c r="J660" s="7"/>
    </row>
    <row r="661" spans="4:10" ht="15.75" customHeight="1" x14ac:dyDescent="0.25">
      <c r="D661" s="7"/>
      <c r="J661" s="7"/>
    </row>
    <row r="662" spans="4:10" ht="15.75" customHeight="1" x14ac:dyDescent="0.25">
      <c r="D662" s="7"/>
      <c r="J662" s="7"/>
    </row>
    <row r="663" spans="4:10" ht="15.75" customHeight="1" x14ac:dyDescent="0.25">
      <c r="D663" s="7"/>
      <c r="J663" s="7"/>
    </row>
    <row r="664" spans="4:10" ht="15.75" customHeight="1" x14ac:dyDescent="0.25">
      <c r="D664" s="7"/>
      <c r="J664" s="7"/>
    </row>
    <row r="665" spans="4:10" ht="15.75" customHeight="1" x14ac:dyDescent="0.25">
      <c r="D665" s="7"/>
      <c r="J665" s="7"/>
    </row>
    <row r="666" spans="4:10" ht="15.75" customHeight="1" x14ac:dyDescent="0.25">
      <c r="D666" s="7"/>
      <c r="J666" s="7"/>
    </row>
    <row r="667" spans="4:10" ht="15.75" customHeight="1" x14ac:dyDescent="0.25">
      <c r="D667" s="7"/>
      <c r="J667" s="7"/>
    </row>
    <row r="668" spans="4:10" ht="15.75" customHeight="1" x14ac:dyDescent="0.25">
      <c r="D668" s="7"/>
      <c r="J668" s="7"/>
    </row>
    <row r="669" spans="4:10" ht="15.75" customHeight="1" x14ac:dyDescent="0.25">
      <c r="D669" s="7"/>
      <c r="J669" s="7"/>
    </row>
    <row r="670" spans="4:10" ht="15.75" customHeight="1" x14ac:dyDescent="0.25">
      <c r="D670" s="7"/>
      <c r="J670" s="7"/>
    </row>
    <row r="671" spans="4:10" ht="15.75" customHeight="1" x14ac:dyDescent="0.25">
      <c r="D671" s="7"/>
      <c r="J671" s="7"/>
    </row>
    <row r="672" spans="4:10" ht="15.75" customHeight="1" x14ac:dyDescent="0.25">
      <c r="D672" s="7"/>
      <c r="J672" s="7"/>
    </row>
    <row r="673" spans="4:10" ht="15.75" customHeight="1" x14ac:dyDescent="0.25">
      <c r="D673" s="7"/>
      <c r="J673" s="7"/>
    </row>
    <row r="674" spans="4:10" ht="15.75" customHeight="1" x14ac:dyDescent="0.25">
      <c r="D674" s="7"/>
      <c r="J674" s="7"/>
    </row>
    <row r="675" spans="4:10" ht="15.75" customHeight="1" x14ac:dyDescent="0.25">
      <c r="D675" s="7"/>
      <c r="J675" s="7"/>
    </row>
    <row r="676" spans="4:10" ht="15.75" customHeight="1" x14ac:dyDescent="0.25">
      <c r="D676" s="7"/>
      <c r="J676" s="7"/>
    </row>
    <row r="677" spans="4:10" ht="15.75" customHeight="1" x14ac:dyDescent="0.25">
      <c r="D677" s="7"/>
      <c r="J677" s="7"/>
    </row>
    <row r="678" spans="4:10" ht="15.75" customHeight="1" x14ac:dyDescent="0.25">
      <c r="D678" s="7"/>
      <c r="J678" s="7"/>
    </row>
    <row r="679" spans="4:10" ht="15.75" customHeight="1" x14ac:dyDescent="0.25">
      <c r="D679" s="7"/>
      <c r="J679" s="7"/>
    </row>
    <row r="680" spans="4:10" ht="15.75" customHeight="1" x14ac:dyDescent="0.25">
      <c r="D680" s="7"/>
      <c r="J680" s="7"/>
    </row>
    <row r="681" spans="4:10" ht="15.75" customHeight="1" x14ac:dyDescent="0.25">
      <c r="D681" s="7"/>
      <c r="J681" s="7"/>
    </row>
    <row r="682" spans="4:10" ht="15.75" customHeight="1" x14ac:dyDescent="0.25">
      <c r="D682" s="7"/>
      <c r="J682" s="7"/>
    </row>
    <row r="683" spans="4:10" ht="15.75" customHeight="1" x14ac:dyDescent="0.25">
      <c r="D683" s="7"/>
      <c r="J683" s="7"/>
    </row>
    <row r="684" spans="4:10" ht="15.75" customHeight="1" x14ac:dyDescent="0.25">
      <c r="D684" s="7"/>
      <c r="J684" s="7"/>
    </row>
    <row r="685" spans="4:10" ht="15.75" customHeight="1" x14ac:dyDescent="0.25">
      <c r="D685" s="7"/>
      <c r="J685" s="7"/>
    </row>
    <row r="686" spans="4:10" ht="15.75" customHeight="1" x14ac:dyDescent="0.25">
      <c r="D686" s="7"/>
      <c r="J686" s="7"/>
    </row>
    <row r="687" spans="4:10" ht="15.75" customHeight="1" x14ac:dyDescent="0.25">
      <c r="D687" s="7"/>
      <c r="J687" s="7"/>
    </row>
    <row r="688" spans="4:10" ht="15.75" customHeight="1" x14ac:dyDescent="0.25">
      <c r="D688" s="7"/>
      <c r="J688" s="7"/>
    </row>
    <row r="689" spans="4:10" ht="15.75" customHeight="1" x14ac:dyDescent="0.25">
      <c r="D689" s="7"/>
      <c r="J689" s="7"/>
    </row>
    <row r="690" spans="4:10" ht="15.75" customHeight="1" x14ac:dyDescent="0.25">
      <c r="D690" s="7"/>
      <c r="J690" s="7"/>
    </row>
    <row r="691" spans="4:10" ht="15.75" customHeight="1" x14ac:dyDescent="0.25">
      <c r="D691" s="7"/>
      <c r="J691" s="7"/>
    </row>
    <row r="692" spans="4:10" ht="15.75" customHeight="1" x14ac:dyDescent="0.25">
      <c r="D692" s="7"/>
      <c r="J692" s="7"/>
    </row>
    <row r="693" spans="4:10" ht="15.75" customHeight="1" x14ac:dyDescent="0.25">
      <c r="D693" s="7"/>
      <c r="J693" s="7"/>
    </row>
    <row r="694" spans="4:10" ht="15.75" customHeight="1" x14ac:dyDescent="0.25">
      <c r="D694" s="7"/>
      <c r="J694" s="7"/>
    </row>
    <row r="695" spans="4:10" ht="15.75" customHeight="1" x14ac:dyDescent="0.25">
      <c r="D695" s="7"/>
      <c r="J695" s="7"/>
    </row>
    <row r="696" spans="4:10" ht="15.75" customHeight="1" x14ac:dyDescent="0.25">
      <c r="D696" s="7"/>
      <c r="J696" s="7"/>
    </row>
    <row r="697" spans="4:10" ht="15.75" customHeight="1" x14ac:dyDescent="0.25">
      <c r="D697" s="7"/>
      <c r="J697" s="7"/>
    </row>
    <row r="698" spans="4:10" ht="15.75" customHeight="1" x14ac:dyDescent="0.25">
      <c r="D698" s="7"/>
      <c r="J698" s="7"/>
    </row>
    <row r="699" spans="4:10" ht="15.75" customHeight="1" x14ac:dyDescent="0.25">
      <c r="D699" s="7"/>
      <c r="J699" s="7"/>
    </row>
    <row r="700" spans="4:10" ht="15.75" customHeight="1" x14ac:dyDescent="0.25">
      <c r="D700" s="7"/>
      <c r="J700" s="7"/>
    </row>
    <row r="701" spans="4:10" ht="15.75" customHeight="1" x14ac:dyDescent="0.25">
      <c r="D701" s="7"/>
      <c r="J701" s="7"/>
    </row>
    <row r="702" spans="4:10" ht="15.75" customHeight="1" x14ac:dyDescent="0.25">
      <c r="D702" s="7"/>
      <c r="J702" s="7"/>
    </row>
    <row r="703" spans="4:10" ht="15.75" customHeight="1" x14ac:dyDescent="0.25">
      <c r="D703" s="7"/>
      <c r="J703" s="7"/>
    </row>
    <row r="704" spans="4:10" ht="15.75" customHeight="1" x14ac:dyDescent="0.25">
      <c r="D704" s="7"/>
      <c r="J704" s="7"/>
    </row>
    <row r="705" spans="4:10" ht="15.75" customHeight="1" x14ac:dyDescent="0.25">
      <c r="D705" s="7"/>
      <c r="J705" s="7"/>
    </row>
    <row r="706" spans="4:10" ht="15.75" customHeight="1" x14ac:dyDescent="0.25">
      <c r="D706" s="7"/>
      <c r="J706" s="7"/>
    </row>
    <row r="707" spans="4:10" ht="15.75" customHeight="1" x14ac:dyDescent="0.25">
      <c r="D707" s="7"/>
      <c r="J707" s="7"/>
    </row>
    <row r="708" spans="4:10" ht="15.75" customHeight="1" x14ac:dyDescent="0.25">
      <c r="D708" s="7"/>
      <c r="J708" s="7"/>
    </row>
    <row r="709" spans="4:10" ht="15.75" customHeight="1" x14ac:dyDescent="0.25">
      <c r="D709" s="7"/>
      <c r="J709" s="7"/>
    </row>
    <row r="710" spans="4:10" ht="15.75" customHeight="1" x14ac:dyDescent="0.25">
      <c r="D710" s="7"/>
      <c r="J710" s="7"/>
    </row>
    <row r="711" spans="4:10" ht="15.75" customHeight="1" x14ac:dyDescent="0.25">
      <c r="D711" s="7"/>
      <c r="J711" s="7"/>
    </row>
    <row r="712" spans="4:10" ht="15.75" customHeight="1" x14ac:dyDescent="0.25">
      <c r="D712" s="7"/>
      <c r="J712" s="7"/>
    </row>
    <row r="713" spans="4:10" ht="15.75" customHeight="1" x14ac:dyDescent="0.25">
      <c r="D713" s="7"/>
      <c r="J713" s="7"/>
    </row>
    <row r="714" spans="4:10" ht="15.75" customHeight="1" x14ac:dyDescent="0.25">
      <c r="D714" s="7"/>
      <c r="J714" s="7"/>
    </row>
    <row r="715" spans="4:10" ht="15.75" customHeight="1" x14ac:dyDescent="0.25">
      <c r="D715" s="7"/>
      <c r="J715" s="7"/>
    </row>
    <row r="716" spans="4:10" ht="15.75" customHeight="1" x14ac:dyDescent="0.25">
      <c r="D716" s="7"/>
      <c r="J716" s="7"/>
    </row>
    <row r="717" spans="4:10" ht="15.75" customHeight="1" x14ac:dyDescent="0.25">
      <c r="D717" s="7"/>
      <c r="J717" s="7"/>
    </row>
    <row r="718" spans="4:10" ht="15.75" customHeight="1" x14ac:dyDescent="0.25">
      <c r="D718" s="7"/>
      <c r="J718" s="7"/>
    </row>
    <row r="719" spans="4:10" ht="15.75" customHeight="1" x14ac:dyDescent="0.25">
      <c r="D719" s="7"/>
      <c r="J719" s="7"/>
    </row>
    <row r="720" spans="4:10" ht="15.75" customHeight="1" x14ac:dyDescent="0.25">
      <c r="D720" s="7"/>
      <c r="J720" s="7"/>
    </row>
    <row r="721" spans="4:10" ht="15.75" customHeight="1" x14ac:dyDescent="0.25">
      <c r="D721" s="7"/>
      <c r="J721" s="7"/>
    </row>
    <row r="722" spans="4:10" ht="15.75" customHeight="1" x14ac:dyDescent="0.25">
      <c r="D722" s="7"/>
      <c r="J722" s="7"/>
    </row>
    <row r="723" spans="4:10" ht="15.75" customHeight="1" x14ac:dyDescent="0.25">
      <c r="D723" s="7"/>
      <c r="J723" s="7"/>
    </row>
    <row r="724" spans="4:10" ht="15.75" customHeight="1" x14ac:dyDescent="0.25">
      <c r="D724" s="7"/>
      <c r="J724" s="7"/>
    </row>
    <row r="725" spans="4:10" ht="15.75" customHeight="1" x14ac:dyDescent="0.25">
      <c r="D725" s="7"/>
      <c r="J725" s="7"/>
    </row>
    <row r="726" spans="4:10" ht="15.75" customHeight="1" x14ac:dyDescent="0.25">
      <c r="D726" s="7"/>
      <c r="J726" s="7"/>
    </row>
    <row r="727" spans="4:10" ht="15.75" customHeight="1" x14ac:dyDescent="0.25">
      <c r="D727" s="7"/>
      <c r="J727" s="7"/>
    </row>
    <row r="728" spans="4:10" ht="15.75" customHeight="1" x14ac:dyDescent="0.25">
      <c r="D728" s="7"/>
      <c r="J728" s="7"/>
    </row>
    <row r="729" spans="4:10" ht="15.75" customHeight="1" x14ac:dyDescent="0.25">
      <c r="D729" s="7"/>
      <c r="J729" s="7"/>
    </row>
    <row r="730" spans="4:10" ht="15.75" customHeight="1" x14ac:dyDescent="0.25">
      <c r="D730" s="7"/>
      <c r="J730" s="7"/>
    </row>
    <row r="731" spans="4:10" ht="15.75" customHeight="1" x14ac:dyDescent="0.25">
      <c r="D731" s="7"/>
      <c r="J731" s="7"/>
    </row>
    <row r="732" spans="4:10" ht="15.75" customHeight="1" x14ac:dyDescent="0.25">
      <c r="D732" s="7"/>
      <c r="J732" s="7"/>
    </row>
    <row r="733" spans="4:10" ht="15.75" customHeight="1" x14ac:dyDescent="0.25">
      <c r="D733" s="7"/>
      <c r="J733" s="7"/>
    </row>
    <row r="734" spans="4:10" ht="15.75" customHeight="1" x14ac:dyDescent="0.25">
      <c r="D734" s="7"/>
      <c r="J734" s="7"/>
    </row>
    <row r="735" spans="4:10" ht="15.75" customHeight="1" x14ac:dyDescent="0.25">
      <c r="D735" s="7"/>
      <c r="J735" s="7"/>
    </row>
    <row r="736" spans="4:10" ht="15.75" customHeight="1" x14ac:dyDescent="0.25">
      <c r="D736" s="7"/>
      <c r="J736" s="7"/>
    </row>
    <row r="737" spans="4:10" ht="15.75" customHeight="1" x14ac:dyDescent="0.25">
      <c r="D737" s="7"/>
      <c r="J737" s="7"/>
    </row>
    <row r="738" spans="4:10" ht="15.75" customHeight="1" x14ac:dyDescent="0.25">
      <c r="D738" s="7"/>
      <c r="J738" s="7"/>
    </row>
    <row r="739" spans="4:10" ht="15.75" customHeight="1" x14ac:dyDescent="0.25">
      <c r="D739" s="7"/>
      <c r="J739" s="7"/>
    </row>
    <row r="740" spans="4:10" ht="15.75" customHeight="1" x14ac:dyDescent="0.25">
      <c r="D740" s="7"/>
      <c r="J740" s="7"/>
    </row>
    <row r="741" spans="4:10" ht="15.75" customHeight="1" x14ac:dyDescent="0.25">
      <c r="D741" s="7"/>
      <c r="J741" s="7"/>
    </row>
    <row r="742" spans="4:10" ht="15.75" customHeight="1" x14ac:dyDescent="0.25">
      <c r="D742" s="7"/>
      <c r="J742" s="7"/>
    </row>
    <row r="743" spans="4:10" ht="15.75" customHeight="1" x14ac:dyDescent="0.25">
      <c r="D743" s="7"/>
      <c r="J743" s="7"/>
    </row>
    <row r="744" spans="4:10" ht="15.75" customHeight="1" x14ac:dyDescent="0.25">
      <c r="D744" s="7"/>
      <c r="J744" s="7"/>
    </row>
    <row r="745" spans="4:10" ht="15.75" customHeight="1" x14ac:dyDescent="0.25">
      <c r="D745" s="7"/>
      <c r="J745" s="7"/>
    </row>
    <row r="746" spans="4:10" ht="15.75" customHeight="1" x14ac:dyDescent="0.25">
      <c r="D746" s="7"/>
      <c r="J746" s="7"/>
    </row>
    <row r="747" spans="4:10" ht="15.75" customHeight="1" x14ac:dyDescent="0.25">
      <c r="D747" s="7"/>
      <c r="J747" s="7"/>
    </row>
    <row r="748" spans="4:10" ht="15.75" customHeight="1" x14ac:dyDescent="0.25">
      <c r="D748" s="7"/>
      <c r="J748" s="7"/>
    </row>
    <row r="749" spans="4:10" ht="15.75" customHeight="1" x14ac:dyDescent="0.25">
      <c r="D749" s="7"/>
      <c r="J749" s="7"/>
    </row>
    <row r="750" spans="4:10" ht="15.75" customHeight="1" x14ac:dyDescent="0.25">
      <c r="D750" s="7"/>
      <c r="J750" s="7"/>
    </row>
    <row r="751" spans="4:10" ht="15.75" customHeight="1" x14ac:dyDescent="0.25">
      <c r="D751" s="7"/>
      <c r="J751" s="7"/>
    </row>
    <row r="752" spans="4:10" ht="15.75" customHeight="1" x14ac:dyDescent="0.25">
      <c r="D752" s="7"/>
      <c r="J752" s="7"/>
    </row>
    <row r="753" spans="4:10" ht="15.75" customHeight="1" x14ac:dyDescent="0.25">
      <c r="D753" s="7"/>
      <c r="J753" s="7"/>
    </row>
    <row r="754" spans="4:10" ht="15.75" customHeight="1" x14ac:dyDescent="0.25">
      <c r="D754" s="7"/>
      <c r="J754" s="7"/>
    </row>
    <row r="755" spans="4:10" ht="15.75" customHeight="1" x14ac:dyDescent="0.25">
      <c r="D755" s="7"/>
      <c r="J755" s="7"/>
    </row>
    <row r="756" spans="4:10" ht="15.75" customHeight="1" x14ac:dyDescent="0.25">
      <c r="D756" s="7"/>
      <c r="J756" s="7"/>
    </row>
    <row r="757" spans="4:10" ht="15.75" customHeight="1" x14ac:dyDescent="0.25">
      <c r="D757" s="7"/>
      <c r="J757" s="7"/>
    </row>
    <row r="758" spans="4:10" ht="15.75" customHeight="1" x14ac:dyDescent="0.25">
      <c r="D758" s="7"/>
      <c r="J758" s="7"/>
    </row>
    <row r="759" spans="4:10" ht="15.75" customHeight="1" x14ac:dyDescent="0.25">
      <c r="D759" s="7"/>
      <c r="J759" s="7"/>
    </row>
    <row r="760" spans="4:10" ht="15.75" customHeight="1" x14ac:dyDescent="0.25">
      <c r="D760" s="7"/>
      <c r="J760" s="7"/>
    </row>
    <row r="761" spans="4:10" ht="15.75" customHeight="1" x14ac:dyDescent="0.25">
      <c r="D761" s="7"/>
      <c r="J761" s="7"/>
    </row>
    <row r="762" spans="4:10" ht="15.75" customHeight="1" x14ac:dyDescent="0.25">
      <c r="D762" s="7"/>
      <c r="J762" s="7"/>
    </row>
    <row r="763" spans="4:10" ht="15.75" customHeight="1" x14ac:dyDescent="0.25">
      <c r="D763" s="7"/>
      <c r="J763" s="7"/>
    </row>
    <row r="764" spans="4:10" ht="15.75" customHeight="1" x14ac:dyDescent="0.25">
      <c r="D764" s="7"/>
      <c r="J764" s="7"/>
    </row>
    <row r="765" spans="4:10" ht="15.75" customHeight="1" x14ac:dyDescent="0.25">
      <c r="D765" s="7"/>
      <c r="J765" s="7"/>
    </row>
    <row r="766" spans="4:10" ht="15.75" customHeight="1" x14ac:dyDescent="0.25">
      <c r="D766" s="7"/>
      <c r="J766" s="7"/>
    </row>
    <row r="767" spans="4:10" ht="15.75" customHeight="1" x14ac:dyDescent="0.25">
      <c r="D767" s="7"/>
      <c r="J767" s="7"/>
    </row>
    <row r="768" spans="4:10" ht="15.75" customHeight="1" x14ac:dyDescent="0.25">
      <c r="D768" s="7"/>
      <c r="J768" s="7"/>
    </row>
    <row r="769" spans="4:10" ht="15.75" customHeight="1" x14ac:dyDescent="0.25">
      <c r="D769" s="7"/>
      <c r="J769" s="7"/>
    </row>
    <row r="770" spans="4:10" ht="15.75" customHeight="1" x14ac:dyDescent="0.25">
      <c r="D770" s="7"/>
      <c r="J770" s="7"/>
    </row>
    <row r="771" spans="4:10" ht="15.75" customHeight="1" x14ac:dyDescent="0.25">
      <c r="D771" s="7"/>
      <c r="J771" s="7"/>
    </row>
    <row r="772" spans="4:10" ht="15.75" customHeight="1" x14ac:dyDescent="0.25">
      <c r="D772" s="7"/>
      <c r="J772" s="7"/>
    </row>
    <row r="773" spans="4:10" ht="15.75" customHeight="1" x14ac:dyDescent="0.25">
      <c r="D773" s="7"/>
      <c r="J773" s="7"/>
    </row>
    <row r="774" spans="4:10" ht="15.75" customHeight="1" x14ac:dyDescent="0.25">
      <c r="D774" s="7"/>
      <c r="J774" s="7"/>
    </row>
    <row r="775" spans="4:10" ht="15.75" customHeight="1" x14ac:dyDescent="0.25">
      <c r="D775" s="7"/>
      <c r="J775" s="7"/>
    </row>
    <row r="776" spans="4:10" ht="15.75" customHeight="1" x14ac:dyDescent="0.25">
      <c r="D776" s="7"/>
      <c r="J776" s="7"/>
    </row>
    <row r="777" spans="4:10" ht="15.75" customHeight="1" x14ac:dyDescent="0.25">
      <c r="D777" s="7"/>
      <c r="J777" s="7"/>
    </row>
    <row r="778" spans="4:10" ht="15.75" customHeight="1" x14ac:dyDescent="0.25">
      <c r="D778" s="7"/>
      <c r="J778" s="7"/>
    </row>
    <row r="779" spans="4:10" ht="15.75" customHeight="1" x14ac:dyDescent="0.25">
      <c r="D779" s="7"/>
      <c r="J779" s="7"/>
    </row>
    <row r="780" spans="4:10" ht="15.75" customHeight="1" x14ac:dyDescent="0.25">
      <c r="D780" s="7"/>
      <c r="J780" s="7"/>
    </row>
    <row r="781" spans="4:10" ht="15.75" customHeight="1" x14ac:dyDescent="0.25">
      <c r="D781" s="7"/>
      <c r="J781" s="7"/>
    </row>
    <row r="782" spans="4:10" ht="15.75" customHeight="1" x14ac:dyDescent="0.25">
      <c r="D782" s="7"/>
      <c r="J782" s="7"/>
    </row>
    <row r="783" spans="4:10" ht="15.75" customHeight="1" x14ac:dyDescent="0.25">
      <c r="D783" s="7"/>
      <c r="J783" s="7"/>
    </row>
    <row r="784" spans="4:10" ht="15.75" customHeight="1" x14ac:dyDescent="0.25">
      <c r="D784" s="7"/>
      <c r="J784" s="7"/>
    </row>
    <row r="785" spans="4:10" ht="15.75" customHeight="1" x14ac:dyDescent="0.25">
      <c r="D785" s="7"/>
      <c r="J785" s="7"/>
    </row>
    <row r="786" spans="4:10" ht="15.75" customHeight="1" x14ac:dyDescent="0.25">
      <c r="D786" s="7"/>
      <c r="J786" s="7"/>
    </row>
    <row r="787" spans="4:10" ht="15.75" customHeight="1" x14ac:dyDescent="0.25">
      <c r="D787" s="7"/>
      <c r="J787" s="7"/>
    </row>
    <row r="788" spans="4:10" ht="15.75" customHeight="1" x14ac:dyDescent="0.25">
      <c r="D788" s="7"/>
      <c r="J788" s="7"/>
    </row>
    <row r="789" spans="4:10" ht="15.75" customHeight="1" x14ac:dyDescent="0.25">
      <c r="D789" s="7"/>
      <c r="J789" s="7"/>
    </row>
    <row r="790" spans="4:10" ht="15.75" customHeight="1" x14ac:dyDescent="0.25">
      <c r="D790" s="7"/>
      <c r="J790" s="7"/>
    </row>
    <row r="791" spans="4:10" ht="15.75" customHeight="1" x14ac:dyDescent="0.25">
      <c r="D791" s="7"/>
      <c r="J791" s="7"/>
    </row>
    <row r="792" spans="4:10" ht="15.75" customHeight="1" x14ac:dyDescent="0.25">
      <c r="D792" s="7"/>
      <c r="J792" s="7"/>
    </row>
    <row r="793" spans="4:10" ht="15.75" customHeight="1" x14ac:dyDescent="0.25">
      <c r="D793" s="7"/>
      <c r="J793" s="7"/>
    </row>
    <row r="794" spans="4:10" ht="15.75" customHeight="1" x14ac:dyDescent="0.25">
      <c r="D794" s="7"/>
      <c r="J794" s="7"/>
    </row>
    <row r="795" spans="4:10" ht="15.75" customHeight="1" x14ac:dyDescent="0.25">
      <c r="D795" s="7"/>
      <c r="J795" s="7"/>
    </row>
    <row r="796" spans="4:10" ht="15.75" customHeight="1" x14ac:dyDescent="0.25">
      <c r="D796" s="7"/>
      <c r="J796" s="7"/>
    </row>
    <row r="797" spans="4:10" ht="15.75" customHeight="1" x14ac:dyDescent="0.25">
      <c r="D797" s="7"/>
      <c r="J797" s="7"/>
    </row>
    <row r="798" spans="4:10" ht="15.75" customHeight="1" x14ac:dyDescent="0.25">
      <c r="D798" s="7"/>
      <c r="J798" s="7"/>
    </row>
    <row r="799" spans="4:10" ht="15.75" customHeight="1" x14ac:dyDescent="0.25">
      <c r="D799" s="7"/>
      <c r="J799" s="7"/>
    </row>
    <row r="800" spans="4:10" ht="15.75" customHeight="1" x14ac:dyDescent="0.25">
      <c r="D800" s="7"/>
      <c r="J800" s="7"/>
    </row>
    <row r="801" spans="4:10" ht="15.75" customHeight="1" x14ac:dyDescent="0.25">
      <c r="D801" s="7"/>
      <c r="J801" s="7"/>
    </row>
    <row r="802" spans="4:10" ht="15.75" customHeight="1" x14ac:dyDescent="0.25">
      <c r="D802" s="7"/>
      <c r="J802" s="7"/>
    </row>
    <row r="803" spans="4:10" ht="15.75" customHeight="1" x14ac:dyDescent="0.25">
      <c r="D803" s="7"/>
      <c r="J803" s="7"/>
    </row>
    <row r="804" spans="4:10" ht="15.75" customHeight="1" x14ac:dyDescent="0.25">
      <c r="D804" s="7"/>
      <c r="J804" s="7"/>
    </row>
    <row r="805" spans="4:10" ht="15.75" customHeight="1" x14ac:dyDescent="0.25">
      <c r="D805" s="7"/>
      <c r="J805" s="7"/>
    </row>
    <row r="806" spans="4:10" ht="15.75" customHeight="1" x14ac:dyDescent="0.25">
      <c r="D806" s="7"/>
      <c r="J806" s="7"/>
    </row>
    <row r="807" spans="4:10" ht="15.75" customHeight="1" x14ac:dyDescent="0.25">
      <c r="D807" s="7"/>
      <c r="J807" s="7"/>
    </row>
    <row r="808" spans="4:10" ht="15.75" customHeight="1" x14ac:dyDescent="0.25">
      <c r="D808" s="7"/>
      <c r="J808" s="7"/>
    </row>
    <row r="809" spans="4:10" ht="15.75" customHeight="1" x14ac:dyDescent="0.25">
      <c r="D809" s="7"/>
      <c r="J809" s="7"/>
    </row>
    <row r="810" spans="4:10" ht="15.75" customHeight="1" x14ac:dyDescent="0.25">
      <c r="D810" s="7"/>
      <c r="J810" s="7"/>
    </row>
    <row r="811" spans="4:10" ht="15.75" customHeight="1" x14ac:dyDescent="0.25">
      <c r="D811" s="7"/>
      <c r="J811" s="7"/>
    </row>
    <row r="812" spans="4:10" ht="15.75" customHeight="1" x14ac:dyDescent="0.25">
      <c r="D812" s="7"/>
      <c r="J812" s="7"/>
    </row>
    <row r="813" spans="4:10" ht="15.75" customHeight="1" x14ac:dyDescent="0.25">
      <c r="D813" s="7"/>
      <c r="J813" s="7"/>
    </row>
    <row r="814" spans="4:10" ht="15.75" customHeight="1" x14ac:dyDescent="0.25">
      <c r="D814" s="7"/>
      <c r="J814" s="7"/>
    </row>
    <row r="815" spans="4:10" ht="15.75" customHeight="1" x14ac:dyDescent="0.25">
      <c r="D815" s="7"/>
      <c r="J815" s="7"/>
    </row>
    <row r="816" spans="4:10" ht="15.75" customHeight="1" x14ac:dyDescent="0.25">
      <c r="D816" s="7"/>
      <c r="J816" s="7"/>
    </row>
    <row r="817" spans="4:10" ht="15.75" customHeight="1" x14ac:dyDescent="0.25">
      <c r="D817" s="7"/>
      <c r="J817" s="7"/>
    </row>
    <row r="818" spans="4:10" ht="15.75" customHeight="1" x14ac:dyDescent="0.25">
      <c r="D818" s="7"/>
      <c r="J818" s="7"/>
    </row>
    <row r="819" spans="4:10" ht="15.75" customHeight="1" x14ac:dyDescent="0.25">
      <c r="D819" s="7"/>
      <c r="J819" s="7"/>
    </row>
    <row r="820" spans="4:10" ht="15.75" customHeight="1" x14ac:dyDescent="0.25">
      <c r="D820" s="7"/>
      <c r="J820" s="7"/>
    </row>
    <row r="821" spans="4:10" ht="15.75" customHeight="1" x14ac:dyDescent="0.25">
      <c r="D821" s="7"/>
      <c r="J821" s="7"/>
    </row>
    <row r="822" spans="4:10" ht="15.75" customHeight="1" x14ac:dyDescent="0.25">
      <c r="D822" s="7"/>
      <c r="J822" s="7"/>
    </row>
    <row r="823" spans="4:10" ht="15.75" customHeight="1" x14ac:dyDescent="0.25">
      <c r="D823" s="7"/>
      <c r="J823" s="7"/>
    </row>
    <row r="824" spans="4:10" ht="15.75" customHeight="1" x14ac:dyDescent="0.25">
      <c r="D824" s="7"/>
      <c r="J824" s="7"/>
    </row>
    <row r="825" spans="4:10" ht="15.75" customHeight="1" x14ac:dyDescent="0.25">
      <c r="D825" s="7"/>
      <c r="J825" s="7"/>
    </row>
    <row r="826" spans="4:10" ht="15.75" customHeight="1" x14ac:dyDescent="0.25">
      <c r="D826" s="7"/>
      <c r="J826" s="7"/>
    </row>
    <row r="827" spans="4:10" ht="15.75" customHeight="1" x14ac:dyDescent="0.25">
      <c r="D827" s="7"/>
      <c r="J827" s="7"/>
    </row>
    <row r="828" spans="4:10" ht="15.75" customHeight="1" x14ac:dyDescent="0.25">
      <c r="D828" s="7"/>
      <c r="J828" s="7"/>
    </row>
    <row r="829" spans="4:10" ht="15.75" customHeight="1" x14ac:dyDescent="0.25">
      <c r="D829" s="7"/>
      <c r="J829" s="7"/>
    </row>
    <row r="830" spans="4:10" ht="15.75" customHeight="1" x14ac:dyDescent="0.25">
      <c r="D830" s="7"/>
      <c r="J830" s="7"/>
    </row>
    <row r="831" spans="4:10" ht="15.75" customHeight="1" x14ac:dyDescent="0.25">
      <c r="D831" s="7"/>
      <c r="J831" s="7"/>
    </row>
    <row r="832" spans="4:10" ht="15.75" customHeight="1" x14ac:dyDescent="0.25">
      <c r="D832" s="7"/>
      <c r="J832" s="7"/>
    </row>
    <row r="833" spans="4:10" ht="15.75" customHeight="1" x14ac:dyDescent="0.25">
      <c r="D833" s="7"/>
      <c r="J833" s="7"/>
    </row>
    <row r="834" spans="4:10" ht="15.75" customHeight="1" x14ac:dyDescent="0.25">
      <c r="D834" s="7"/>
      <c r="J834" s="7"/>
    </row>
    <row r="835" spans="4:10" ht="15.75" customHeight="1" x14ac:dyDescent="0.25">
      <c r="D835" s="7"/>
      <c r="J835" s="7"/>
    </row>
    <row r="836" spans="4:10" ht="15.75" customHeight="1" x14ac:dyDescent="0.25">
      <c r="D836" s="7"/>
      <c r="J836" s="7"/>
    </row>
    <row r="837" spans="4:10" ht="15.75" customHeight="1" x14ac:dyDescent="0.25">
      <c r="D837" s="7"/>
      <c r="J837" s="7"/>
    </row>
    <row r="838" spans="4:10" ht="15.75" customHeight="1" x14ac:dyDescent="0.25">
      <c r="D838" s="7"/>
      <c r="J838" s="7"/>
    </row>
    <row r="839" spans="4:10" ht="15.75" customHeight="1" x14ac:dyDescent="0.25">
      <c r="D839" s="7"/>
      <c r="J839" s="7"/>
    </row>
    <row r="840" spans="4:10" ht="15.75" customHeight="1" x14ac:dyDescent="0.25">
      <c r="D840" s="7"/>
      <c r="J840" s="7"/>
    </row>
    <row r="841" spans="4:10" ht="15.75" customHeight="1" x14ac:dyDescent="0.25">
      <c r="D841" s="7"/>
      <c r="J841" s="7"/>
    </row>
    <row r="842" spans="4:10" ht="15.75" customHeight="1" x14ac:dyDescent="0.25">
      <c r="D842" s="7"/>
      <c r="J842" s="7"/>
    </row>
    <row r="843" spans="4:10" ht="15.75" customHeight="1" x14ac:dyDescent="0.25">
      <c r="D843" s="7"/>
      <c r="J843" s="7"/>
    </row>
    <row r="844" spans="4:10" ht="15.75" customHeight="1" x14ac:dyDescent="0.25">
      <c r="D844" s="7"/>
      <c r="J844" s="7"/>
    </row>
    <row r="845" spans="4:10" ht="15.75" customHeight="1" x14ac:dyDescent="0.25">
      <c r="D845" s="7"/>
      <c r="J845" s="7"/>
    </row>
    <row r="846" spans="4:10" ht="15.75" customHeight="1" x14ac:dyDescent="0.25">
      <c r="D846" s="7"/>
      <c r="J846" s="7"/>
    </row>
    <row r="847" spans="4:10" ht="15.75" customHeight="1" x14ac:dyDescent="0.25">
      <c r="D847" s="7"/>
      <c r="J847" s="7"/>
    </row>
    <row r="848" spans="4:10" ht="15.75" customHeight="1" x14ac:dyDescent="0.25">
      <c r="D848" s="7"/>
      <c r="J848" s="7"/>
    </row>
    <row r="849" spans="4:10" ht="15.75" customHeight="1" x14ac:dyDescent="0.25">
      <c r="D849" s="7"/>
      <c r="J849" s="7"/>
    </row>
    <row r="850" spans="4:10" ht="15.75" customHeight="1" x14ac:dyDescent="0.25">
      <c r="D850" s="7"/>
      <c r="J850" s="7"/>
    </row>
    <row r="851" spans="4:10" ht="15.75" customHeight="1" x14ac:dyDescent="0.25">
      <c r="D851" s="7"/>
      <c r="J851" s="7"/>
    </row>
    <row r="852" spans="4:10" ht="15.75" customHeight="1" x14ac:dyDescent="0.25">
      <c r="D852" s="7"/>
      <c r="J852" s="7"/>
    </row>
    <row r="853" spans="4:10" ht="15.75" customHeight="1" x14ac:dyDescent="0.25">
      <c r="D853" s="7"/>
      <c r="J853" s="7"/>
    </row>
    <row r="854" spans="4:10" ht="15.75" customHeight="1" x14ac:dyDescent="0.25">
      <c r="D854" s="7"/>
      <c r="J854" s="7"/>
    </row>
    <row r="855" spans="4:10" ht="15.75" customHeight="1" x14ac:dyDescent="0.25">
      <c r="D855" s="7"/>
      <c r="J855" s="7"/>
    </row>
    <row r="856" spans="4:10" ht="15.75" customHeight="1" x14ac:dyDescent="0.25">
      <c r="D856" s="7"/>
      <c r="J856" s="7"/>
    </row>
    <row r="857" spans="4:10" ht="15.75" customHeight="1" x14ac:dyDescent="0.25">
      <c r="D857" s="7"/>
      <c r="J857" s="7"/>
    </row>
    <row r="858" spans="4:10" ht="15.75" customHeight="1" x14ac:dyDescent="0.25">
      <c r="D858" s="7"/>
      <c r="J858" s="7"/>
    </row>
    <row r="859" spans="4:10" ht="15.75" customHeight="1" x14ac:dyDescent="0.25">
      <c r="D859" s="7"/>
      <c r="J859" s="7"/>
    </row>
    <row r="860" spans="4:10" ht="15.75" customHeight="1" x14ac:dyDescent="0.25">
      <c r="D860" s="7"/>
      <c r="J860" s="7"/>
    </row>
    <row r="861" spans="4:10" ht="15.75" customHeight="1" x14ac:dyDescent="0.25">
      <c r="D861" s="7"/>
      <c r="J861" s="7"/>
    </row>
    <row r="862" spans="4:10" ht="15.75" customHeight="1" x14ac:dyDescent="0.25">
      <c r="D862" s="7"/>
      <c r="J862" s="7"/>
    </row>
    <row r="863" spans="4:10" ht="15.75" customHeight="1" x14ac:dyDescent="0.25">
      <c r="D863" s="7"/>
      <c r="J863" s="7"/>
    </row>
    <row r="864" spans="4:10" ht="15.75" customHeight="1" x14ac:dyDescent="0.25">
      <c r="D864" s="7"/>
      <c r="J864" s="7"/>
    </row>
    <row r="865" spans="4:10" ht="15.75" customHeight="1" x14ac:dyDescent="0.25">
      <c r="D865" s="7"/>
      <c r="J865" s="7"/>
    </row>
    <row r="866" spans="4:10" ht="15.75" customHeight="1" x14ac:dyDescent="0.25">
      <c r="D866" s="7"/>
      <c r="J866" s="7"/>
    </row>
    <row r="867" spans="4:10" ht="15.75" customHeight="1" x14ac:dyDescent="0.25">
      <c r="D867" s="7"/>
      <c r="J867" s="7"/>
    </row>
    <row r="868" spans="4:10" ht="15.75" customHeight="1" x14ac:dyDescent="0.25">
      <c r="D868" s="7"/>
      <c r="J868" s="7"/>
    </row>
    <row r="869" spans="4:10" ht="15.75" customHeight="1" x14ac:dyDescent="0.25">
      <c r="D869" s="7"/>
      <c r="J869" s="7"/>
    </row>
    <row r="870" spans="4:10" ht="15.75" customHeight="1" x14ac:dyDescent="0.25">
      <c r="D870" s="7"/>
      <c r="J870" s="7"/>
    </row>
    <row r="871" spans="4:10" ht="15.75" customHeight="1" x14ac:dyDescent="0.25">
      <c r="D871" s="7"/>
      <c r="J871" s="7"/>
    </row>
    <row r="872" spans="4:10" ht="15.75" customHeight="1" x14ac:dyDescent="0.25">
      <c r="D872" s="7"/>
      <c r="J872" s="7"/>
    </row>
    <row r="873" spans="4:10" ht="15.75" customHeight="1" x14ac:dyDescent="0.25">
      <c r="D873" s="7"/>
      <c r="J873" s="7"/>
    </row>
    <row r="874" spans="4:10" ht="15.75" customHeight="1" x14ac:dyDescent="0.25">
      <c r="D874" s="7"/>
      <c r="J874" s="7"/>
    </row>
    <row r="875" spans="4:10" ht="15.75" customHeight="1" x14ac:dyDescent="0.25">
      <c r="D875" s="7"/>
      <c r="J875" s="7"/>
    </row>
    <row r="876" spans="4:10" ht="15.75" customHeight="1" x14ac:dyDescent="0.25">
      <c r="D876" s="7"/>
      <c r="J876" s="7"/>
    </row>
    <row r="877" spans="4:10" ht="15.75" customHeight="1" x14ac:dyDescent="0.25">
      <c r="D877" s="7"/>
      <c r="J877" s="7"/>
    </row>
    <row r="878" spans="4:10" ht="15.75" customHeight="1" x14ac:dyDescent="0.25">
      <c r="D878" s="7"/>
      <c r="J878" s="7"/>
    </row>
    <row r="879" spans="4:10" ht="15.75" customHeight="1" x14ac:dyDescent="0.25">
      <c r="D879" s="7"/>
      <c r="J879" s="7"/>
    </row>
    <row r="880" spans="4:10" ht="15.75" customHeight="1" x14ac:dyDescent="0.25">
      <c r="D880" s="7"/>
      <c r="J880" s="7"/>
    </row>
    <row r="881" spans="4:10" ht="15.75" customHeight="1" x14ac:dyDescent="0.25">
      <c r="D881" s="7"/>
      <c r="J881" s="7"/>
    </row>
    <row r="882" spans="4:10" ht="15.75" customHeight="1" x14ac:dyDescent="0.25">
      <c r="D882" s="7"/>
      <c r="J882" s="7"/>
    </row>
    <row r="883" spans="4:10" ht="15.75" customHeight="1" x14ac:dyDescent="0.25">
      <c r="D883" s="7"/>
      <c r="J883" s="7"/>
    </row>
    <row r="884" spans="4:10" ht="15.75" customHeight="1" x14ac:dyDescent="0.25">
      <c r="D884" s="7"/>
      <c r="J884" s="7"/>
    </row>
    <row r="885" spans="4:10" ht="15.75" customHeight="1" x14ac:dyDescent="0.25">
      <c r="D885" s="7"/>
      <c r="J885" s="7"/>
    </row>
    <row r="886" spans="4:10" ht="15.75" customHeight="1" x14ac:dyDescent="0.25">
      <c r="D886" s="7"/>
      <c r="J886" s="7"/>
    </row>
    <row r="887" spans="4:10" ht="15.75" customHeight="1" x14ac:dyDescent="0.25">
      <c r="D887" s="7"/>
      <c r="J887" s="7"/>
    </row>
    <row r="888" spans="4:10" ht="15.75" customHeight="1" x14ac:dyDescent="0.25">
      <c r="D888" s="7"/>
      <c r="J888" s="7"/>
    </row>
    <row r="889" spans="4:10" ht="15.75" customHeight="1" x14ac:dyDescent="0.25">
      <c r="D889" s="7"/>
      <c r="J889" s="7"/>
    </row>
    <row r="890" spans="4:10" ht="15.75" customHeight="1" x14ac:dyDescent="0.25">
      <c r="D890" s="7"/>
      <c r="J890" s="7"/>
    </row>
    <row r="891" spans="4:10" ht="15.75" customHeight="1" x14ac:dyDescent="0.25">
      <c r="D891" s="7"/>
      <c r="J891" s="7"/>
    </row>
    <row r="892" spans="4:10" ht="15.75" customHeight="1" x14ac:dyDescent="0.25">
      <c r="D892" s="7"/>
      <c r="J892" s="7"/>
    </row>
    <row r="893" spans="4:10" ht="15.75" customHeight="1" x14ac:dyDescent="0.25">
      <c r="D893" s="7"/>
      <c r="J893" s="7"/>
    </row>
    <row r="894" spans="4:10" ht="15.75" customHeight="1" x14ac:dyDescent="0.25">
      <c r="D894" s="7"/>
      <c r="J894" s="7"/>
    </row>
    <row r="895" spans="4:10" ht="15.75" customHeight="1" x14ac:dyDescent="0.25">
      <c r="D895" s="7"/>
      <c r="J895" s="7"/>
    </row>
    <row r="896" spans="4:10" ht="15.75" customHeight="1" x14ac:dyDescent="0.25">
      <c r="D896" s="7"/>
      <c r="J896" s="7"/>
    </row>
    <row r="897" spans="4:10" ht="15.75" customHeight="1" x14ac:dyDescent="0.25">
      <c r="D897" s="7"/>
      <c r="J897" s="7"/>
    </row>
    <row r="898" spans="4:10" ht="15.75" customHeight="1" x14ac:dyDescent="0.25">
      <c r="D898" s="7"/>
      <c r="J898" s="7"/>
    </row>
    <row r="899" spans="4:10" ht="15.75" customHeight="1" x14ac:dyDescent="0.25">
      <c r="D899" s="7"/>
      <c r="J899" s="7"/>
    </row>
    <row r="900" spans="4:10" ht="15.75" customHeight="1" x14ac:dyDescent="0.25">
      <c r="D900" s="7"/>
      <c r="J900" s="7"/>
    </row>
    <row r="901" spans="4:10" ht="15.75" customHeight="1" x14ac:dyDescent="0.25">
      <c r="D901" s="7"/>
      <c r="J901" s="7"/>
    </row>
    <row r="902" spans="4:10" ht="15.75" customHeight="1" x14ac:dyDescent="0.25">
      <c r="D902" s="7"/>
      <c r="J902" s="7"/>
    </row>
    <row r="903" spans="4:10" ht="15.75" customHeight="1" x14ac:dyDescent="0.25">
      <c r="D903" s="7"/>
      <c r="J903" s="7"/>
    </row>
    <row r="904" spans="4:10" ht="15.75" customHeight="1" x14ac:dyDescent="0.25">
      <c r="D904" s="7"/>
      <c r="J904" s="7"/>
    </row>
    <row r="905" spans="4:10" ht="15.75" customHeight="1" x14ac:dyDescent="0.25">
      <c r="D905" s="7"/>
      <c r="J905" s="7"/>
    </row>
    <row r="906" spans="4:10" ht="15.75" customHeight="1" x14ac:dyDescent="0.25">
      <c r="D906" s="7"/>
      <c r="J906" s="7"/>
    </row>
    <row r="907" spans="4:10" ht="15.75" customHeight="1" x14ac:dyDescent="0.25">
      <c r="D907" s="7"/>
      <c r="J907" s="7"/>
    </row>
    <row r="908" spans="4:10" ht="15.75" customHeight="1" x14ac:dyDescent="0.25">
      <c r="D908" s="7"/>
      <c r="J908" s="7"/>
    </row>
    <row r="909" spans="4:10" ht="15.75" customHeight="1" x14ac:dyDescent="0.25">
      <c r="D909" s="7"/>
      <c r="J909" s="7"/>
    </row>
    <row r="910" spans="4:10" ht="15.75" customHeight="1" x14ac:dyDescent="0.25">
      <c r="D910" s="7"/>
      <c r="J910" s="7"/>
    </row>
    <row r="911" spans="4:10" ht="15.75" customHeight="1" x14ac:dyDescent="0.25">
      <c r="D911" s="7"/>
      <c r="J911" s="7"/>
    </row>
    <row r="912" spans="4:10" ht="15.75" customHeight="1" x14ac:dyDescent="0.25">
      <c r="D912" s="7"/>
      <c r="J912" s="7"/>
    </row>
    <row r="913" spans="4:10" ht="15.75" customHeight="1" x14ac:dyDescent="0.25">
      <c r="D913" s="7"/>
      <c r="J913" s="7"/>
    </row>
    <row r="914" spans="4:10" ht="15.75" customHeight="1" x14ac:dyDescent="0.25">
      <c r="D914" s="7"/>
      <c r="J914" s="7"/>
    </row>
    <row r="915" spans="4:10" ht="15.75" customHeight="1" x14ac:dyDescent="0.25">
      <c r="D915" s="7"/>
      <c r="J915" s="7"/>
    </row>
    <row r="916" spans="4:10" ht="15.75" customHeight="1" x14ac:dyDescent="0.25">
      <c r="D916" s="7"/>
      <c r="J916" s="7"/>
    </row>
    <row r="917" spans="4:10" ht="15.75" customHeight="1" x14ac:dyDescent="0.25">
      <c r="D917" s="7"/>
      <c r="J917" s="7"/>
    </row>
    <row r="918" spans="4:10" ht="15.75" customHeight="1" x14ac:dyDescent="0.25">
      <c r="D918" s="7"/>
      <c r="J918" s="7"/>
    </row>
    <row r="919" spans="4:10" ht="15.75" customHeight="1" x14ac:dyDescent="0.25">
      <c r="D919" s="7"/>
      <c r="J919" s="7"/>
    </row>
    <row r="920" spans="4:10" ht="15.75" customHeight="1" x14ac:dyDescent="0.25">
      <c r="D920" s="7"/>
      <c r="J920" s="7"/>
    </row>
    <row r="921" spans="4:10" ht="15.75" customHeight="1" x14ac:dyDescent="0.25">
      <c r="D921" s="7"/>
      <c r="J921" s="7"/>
    </row>
    <row r="922" spans="4:10" ht="15.75" customHeight="1" x14ac:dyDescent="0.25">
      <c r="D922" s="7"/>
      <c r="J922" s="7"/>
    </row>
    <row r="923" spans="4:10" ht="15.75" customHeight="1" x14ac:dyDescent="0.25">
      <c r="D923" s="7"/>
      <c r="J923" s="7"/>
    </row>
    <row r="924" spans="4:10" ht="15.75" customHeight="1" x14ac:dyDescent="0.25">
      <c r="D924" s="7"/>
      <c r="J924" s="7"/>
    </row>
    <row r="925" spans="4:10" ht="15.75" customHeight="1" x14ac:dyDescent="0.25">
      <c r="D925" s="7"/>
      <c r="J925" s="7"/>
    </row>
    <row r="926" spans="4:10" ht="15.75" customHeight="1" x14ac:dyDescent="0.25">
      <c r="D926" s="7"/>
      <c r="J926" s="7"/>
    </row>
    <row r="927" spans="4:10" ht="15.75" customHeight="1" x14ac:dyDescent="0.25">
      <c r="D927" s="7"/>
      <c r="J927" s="7"/>
    </row>
    <row r="928" spans="4:10" ht="15.75" customHeight="1" x14ac:dyDescent="0.25">
      <c r="D928" s="7"/>
      <c r="J928" s="7"/>
    </row>
    <row r="929" spans="4:10" ht="15.75" customHeight="1" x14ac:dyDescent="0.25">
      <c r="D929" s="7"/>
      <c r="J929" s="7"/>
    </row>
    <row r="930" spans="4:10" ht="15.75" customHeight="1" x14ac:dyDescent="0.25">
      <c r="D930" s="7"/>
      <c r="J930" s="7"/>
    </row>
    <row r="931" spans="4:10" ht="15.75" customHeight="1" x14ac:dyDescent="0.25">
      <c r="D931" s="7"/>
      <c r="J931" s="7"/>
    </row>
    <row r="932" spans="4:10" ht="15.75" customHeight="1" x14ac:dyDescent="0.25">
      <c r="D932" s="7"/>
      <c r="J932" s="7"/>
    </row>
    <row r="933" spans="4:10" ht="15.75" customHeight="1" x14ac:dyDescent="0.25">
      <c r="D933" s="7"/>
      <c r="J933" s="7"/>
    </row>
    <row r="934" spans="4:10" ht="15.75" customHeight="1" x14ac:dyDescent="0.25">
      <c r="D934" s="7"/>
      <c r="J934" s="7"/>
    </row>
    <row r="935" spans="4:10" ht="15.75" customHeight="1" x14ac:dyDescent="0.25">
      <c r="D935" s="7"/>
      <c r="J935" s="7"/>
    </row>
    <row r="936" spans="4:10" ht="15.75" customHeight="1" x14ac:dyDescent="0.25">
      <c r="D936" s="7"/>
      <c r="J936" s="7"/>
    </row>
    <row r="937" spans="4:10" ht="15.75" customHeight="1" x14ac:dyDescent="0.25">
      <c r="D937" s="7"/>
      <c r="J937" s="7"/>
    </row>
    <row r="938" spans="4:10" ht="15.75" customHeight="1" x14ac:dyDescent="0.25">
      <c r="D938" s="7"/>
      <c r="J938" s="7"/>
    </row>
    <row r="939" spans="4:10" ht="15.75" customHeight="1" x14ac:dyDescent="0.25">
      <c r="D939" s="7"/>
      <c r="J939" s="7"/>
    </row>
    <row r="940" spans="4:10" ht="15.75" customHeight="1" x14ac:dyDescent="0.25">
      <c r="D940" s="7"/>
      <c r="J940" s="7"/>
    </row>
    <row r="941" spans="4:10" ht="15.75" customHeight="1" x14ac:dyDescent="0.25">
      <c r="D941" s="7"/>
      <c r="J941" s="7"/>
    </row>
    <row r="942" spans="4:10" ht="15.75" customHeight="1" x14ac:dyDescent="0.25">
      <c r="D942" s="7"/>
      <c r="J942" s="7"/>
    </row>
    <row r="943" spans="4:10" ht="15.75" customHeight="1" x14ac:dyDescent="0.25">
      <c r="D943" s="7"/>
      <c r="J943" s="7"/>
    </row>
    <row r="944" spans="4:10" ht="15.75" customHeight="1" x14ac:dyDescent="0.25">
      <c r="D944" s="7"/>
      <c r="J944" s="7"/>
    </row>
    <row r="945" spans="4:10" ht="15.75" customHeight="1" x14ac:dyDescent="0.25">
      <c r="D945" s="7"/>
      <c r="J945" s="7"/>
    </row>
    <row r="946" spans="4:10" ht="15.75" customHeight="1" x14ac:dyDescent="0.25">
      <c r="D946" s="7"/>
      <c r="J946" s="7"/>
    </row>
    <row r="947" spans="4:10" ht="15.75" customHeight="1" x14ac:dyDescent="0.25">
      <c r="D947" s="7"/>
      <c r="J947" s="7"/>
    </row>
    <row r="948" spans="4:10" ht="15.75" customHeight="1" x14ac:dyDescent="0.25">
      <c r="D948" s="7"/>
      <c r="J948" s="7"/>
    </row>
    <row r="949" spans="4:10" ht="15.75" customHeight="1" x14ac:dyDescent="0.25">
      <c r="D949" s="7"/>
      <c r="J949" s="7"/>
    </row>
    <row r="950" spans="4:10" ht="15.75" customHeight="1" x14ac:dyDescent="0.25">
      <c r="D950" s="7"/>
      <c r="J950" s="7"/>
    </row>
    <row r="951" spans="4:10" ht="15.75" customHeight="1" x14ac:dyDescent="0.25">
      <c r="D951" s="7"/>
      <c r="J951" s="7"/>
    </row>
    <row r="952" spans="4:10" ht="15.75" customHeight="1" x14ac:dyDescent="0.25">
      <c r="D952" s="7"/>
      <c r="J952" s="7"/>
    </row>
    <row r="953" spans="4:10" ht="15.75" customHeight="1" x14ac:dyDescent="0.25">
      <c r="D953" s="7"/>
      <c r="J953" s="7"/>
    </row>
    <row r="954" spans="4:10" ht="15.75" customHeight="1" x14ac:dyDescent="0.25">
      <c r="D954" s="7"/>
      <c r="J954" s="7"/>
    </row>
    <row r="955" spans="4:10" ht="15.75" customHeight="1" x14ac:dyDescent="0.25">
      <c r="D955" s="7"/>
      <c r="J955" s="7"/>
    </row>
    <row r="956" spans="4:10" ht="15.75" customHeight="1" x14ac:dyDescent="0.25">
      <c r="D956" s="7"/>
      <c r="J956" s="7"/>
    </row>
    <row r="957" spans="4:10" ht="15.75" customHeight="1" x14ac:dyDescent="0.25">
      <c r="D957" s="7"/>
      <c r="J957" s="7"/>
    </row>
    <row r="958" spans="4:10" ht="15.75" customHeight="1" x14ac:dyDescent="0.25">
      <c r="D958" s="7"/>
      <c r="J958" s="7"/>
    </row>
    <row r="959" spans="4:10" ht="15.75" customHeight="1" x14ac:dyDescent="0.25">
      <c r="D959" s="7"/>
      <c r="J959" s="7"/>
    </row>
    <row r="960" spans="4:10" ht="15.75" customHeight="1" x14ac:dyDescent="0.25">
      <c r="D960" s="7"/>
      <c r="J960" s="7"/>
    </row>
    <row r="961" spans="4:10" ht="15.75" customHeight="1" x14ac:dyDescent="0.25">
      <c r="D961" s="7"/>
      <c r="J961" s="7"/>
    </row>
    <row r="962" spans="4:10" ht="15.75" customHeight="1" x14ac:dyDescent="0.25">
      <c r="D962" s="7"/>
      <c r="J962" s="7"/>
    </row>
    <row r="963" spans="4:10" ht="15.75" customHeight="1" x14ac:dyDescent="0.25">
      <c r="D963" s="7"/>
      <c r="J963" s="7"/>
    </row>
    <row r="964" spans="4:10" ht="15.75" customHeight="1" x14ac:dyDescent="0.25">
      <c r="D964" s="7"/>
      <c r="J964" s="7"/>
    </row>
    <row r="965" spans="4:10" ht="15.75" customHeight="1" x14ac:dyDescent="0.25">
      <c r="D965" s="7"/>
      <c r="J965" s="7"/>
    </row>
    <row r="966" spans="4:10" ht="15.75" customHeight="1" x14ac:dyDescent="0.25">
      <c r="D966" s="7"/>
      <c r="J966" s="7"/>
    </row>
    <row r="967" spans="4:10" ht="15.75" customHeight="1" x14ac:dyDescent="0.25">
      <c r="D967" s="7"/>
      <c r="J967" s="7"/>
    </row>
    <row r="968" spans="4:10" ht="15.75" customHeight="1" x14ac:dyDescent="0.25">
      <c r="D968" s="7"/>
      <c r="J968" s="7"/>
    </row>
    <row r="969" spans="4:10" ht="15.75" customHeight="1" x14ac:dyDescent="0.25">
      <c r="D969" s="7"/>
      <c r="J969" s="7"/>
    </row>
    <row r="970" spans="4:10" ht="15.75" customHeight="1" x14ac:dyDescent="0.25">
      <c r="D970" s="7"/>
      <c r="J970" s="7"/>
    </row>
    <row r="971" spans="4:10" ht="15.75" customHeight="1" x14ac:dyDescent="0.25">
      <c r="D971" s="7"/>
      <c r="J971" s="7"/>
    </row>
    <row r="972" spans="4:10" ht="15.75" customHeight="1" x14ac:dyDescent="0.25">
      <c r="D972" s="7"/>
      <c r="J972" s="7"/>
    </row>
    <row r="973" spans="4:10" ht="15.75" customHeight="1" x14ac:dyDescent="0.25">
      <c r="D973" s="7"/>
      <c r="J973" s="7"/>
    </row>
    <row r="974" spans="4:10" ht="15.75" customHeight="1" x14ac:dyDescent="0.25">
      <c r="D974" s="7"/>
      <c r="J974" s="7"/>
    </row>
    <row r="975" spans="4:10" ht="15.75" customHeight="1" x14ac:dyDescent="0.25">
      <c r="D975" s="7"/>
      <c r="J975" s="7"/>
    </row>
    <row r="976" spans="4:10" ht="15.75" customHeight="1" x14ac:dyDescent="0.25">
      <c r="D976" s="7"/>
      <c r="J976" s="7"/>
    </row>
    <row r="977" spans="4:10" ht="15.75" customHeight="1" x14ac:dyDescent="0.25">
      <c r="D977" s="7"/>
      <c r="J977" s="7"/>
    </row>
    <row r="978" spans="4:10" ht="15.75" customHeight="1" x14ac:dyDescent="0.25">
      <c r="D978" s="7"/>
      <c r="J978" s="7"/>
    </row>
    <row r="979" spans="4:10" ht="15.75" customHeight="1" x14ac:dyDescent="0.25">
      <c r="D979" s="7"/>
      <c r="J979" s="7"/>
    </row>
    <row r="980" spans="4:10" ht="15.75" customHeight="1" x14ac:dyDescent="0.25">
      <c r="D980" s="7"/>
      <c r="J980" s="7"/>
    </row>
    <row r="981" spans="4:10" ht="15.75" customHeight="1" x14ac:dyDescent="0.25">
      <c r="D981" s="7"/>
      <c r="J981" s="7"/>
    </row>
    <row r="982" spans="4:10" ht="15.75" customHeight="1" x14ac:dyDescent="0.25">
      <c r="D982" s="7"/>
      <c r="J982" s="7"/>
    </row>
    <row r="983" spans="4:10" ht="15.75" customHeight="1" x14ac:dyDescent="0.25">
      <c r="D983" s="7"/>
      <c r="J983" s="7"/>
    </row>
    <row r="984" spans="4:10" ht="15.75" customHeight="1" x14ac:dyDescent="0.25">
      <c r="D984" s="7"/>
      <c r="J984" s="7"/>
    </row>
    <row r="985" spans="4:10" ht="15.75" customHeight="1" x14ac:dyDescent="0.25">
      <c r="D985" s="7"/>
      <c r="J985" s="7"/>
    </row>
    <row r="986" spans="4:10" ht="15.75" customHeight="1" x14ac:dyDescent="0.25">
      <c r="D986" s="7"/>
      <c r="J986" s="7"/>
    </row>
    <row r="987" spans="4:10" ht="15.75" customHeight="1" x14ac:dyDescent="0.25">
      <c r="D987" s="7"/>
      <c r="J987" s="7"/>
    </row>
    <row r="988" spans="4:10" ht="15.75" customHeight="1" x14ac:dyDescent="0.25">
      <c r="D988" s="7"/>
      <c r="J988" s="7"/>
    </row>
    <row r="989" spans="4:10" ht="15.75" customHeight="1" x14ac:dyDescent="0.25">
      <c r="D989" s="7"/>
      <c r="J989" s="7"/>
    </row>
    <row r="990" spans="4:10" ht="15.75" customHeight="1" x14ac:dyDescent="0.25">
      <c r="D990" s="7"/>
      <c r="J990" s="7"/>
    </row>
    <row r="991" spans="4:10" ht="15.75" customHeight="1" x14ac:dyDescent="0.25">
      <c r="D991" s="7"/>
      <c r="J991" s="7"/>
    </row>
    <row r="992" spans="4:10" ht="15.75" customHeight="1" x14ac:dyDescent="0.25">
      <c r="D992" s="7"/>
      <c r="J992" s="7"/>
    </row>
    <row r="993" spans="4:10" ht="15.75" customHeight="1" x14ac:dyDescent="0.25">
      <c r="D993" s="7"/>
      <c r="J993" s="7"/>
    </row>
    <row r="994" spans="4:10" ht="15.75" customHeight="1" x14ac:dyDescent="0.25">
      <c r="D994" s="7"/>
      <c r="J994" s="7"/>
    </row>
    <row r="995" spans="4:10" ht="15.75" customHeight="1" x14ac:dyDescent="0.25">
      <c r="D995" s="7"/>
      <c r="J995" s="7"/>
    </row>
    <row r="996" spans="4:10" ht="15.75" customHeight="1" x14ac:dyDescent="0.25">
      <c r="D996" s="7"/>
      <c r="J996" s="7"/>
    </row>
    <row r="997" spans="4:10" ht="15.75" customHeight="1" x14ac:dyDescent="0.25">
      <c r="D997" s="7"/>
      <c r="J997" s="7"/>
    </row>
    <row r="998" spans="4:10" ht="15.75" customHeight="1" x14ac:dyDescent="0.25">
      <c r="D998" s="7"/>
      <c r="J998" s="7"/>
    </row>
    <row r="999" spans="4:10" ht="15.75" customHeight="1" x14ac:dyDescent="0.25">
      <c r="D999" s="7"/>
      <c r="J999" s="7"/>
    </row>
    <row r="1000" spans="4:10" ht="15.75" customHeight="1" x14ac:dyDescent="0.25">
      <c r="D1000" s="7"/>
      <c r="J1000" s="7"/>
    </row>
  </sheetData>
  <mergeCells count="2">
    <mergeCell ref="D2:E2"/>
    <mergeCell ref="C42:D4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Resumen</vt:lpstr>
      <vt:lpstr>Parque Arauco Shopping Center</vt:lpstr>
      <vt:lpstr>Parque Arauco Oriente</vt:lpstr>
      <vt:lpstr>Arauco Maipú</vt:lpstr>
      <vt:lpstr>Arauco Estación</vt:lpstr>
      <vt:lpstr>Arauco San Antonio</vt:lpstr>
      <vt:lpstr>Arauco Chillán</vt:lpstr>
      <vt:lpstr>Arauco Coronel</vt:lpstr>
      <vt:lpstr>Parque Angamos</vt:lpstr>
      <vt:lpstr>Parque Chicureo</vt:lpstr>
      <vt:lpstr>Arauco Quilicura</vt:lpstr>
      <vt:lpstr>Arauco El Bosque</vt:lpstr>
      <vt:lpstr>Outlet Buenaventura</vt:lpstr>
      <vt:lpstr> Outlet Curauma</vt:lpstr>
      <vt:lpstr>Outlet Coquimbo</vt:lpstr>
      <vt:lpstr>Outlet San Pedro    </vt:lpstr>
      <vt:lpstr>AEX Pajaritos</vt:lpstr>
      <vt:lpstr>AEX CE</vt:lpstr>
      <vt:lpstr>AEX El Carmen</vt:lpstr>
      <vt:lpstr>AEX La Reina</vt:lpstr>
      <vt:lpstr>AEX Reñaca</vt:lpstr>
      <vt:lpstr>AEX Manuel Montt</vt:lpstr>
      <vt:lpstr>AEX Calama</vt:lpstr>
      <vt:lpstr>AEX Recoleta</vt:lpstr>
      <vt:lpstr>AEX CE2</vt:lpstr>
      <vt:lpstr>AEX Las Brujas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Mora Moreno</dc:creator>
  <cp:lastModifiedBy>Matías Mora</cp:lastModifiedBy>
  <dcterms:created xsi:type="dcterms:W3CDTF">2026-04-16T14:26:01Z</dcterms:created>
  <dcterms:modified xsi:type="dcterms:W3CDTF">2026-06-05T13:46:41Z</dcterms:modified>
</cp:coreProperties>
</file>