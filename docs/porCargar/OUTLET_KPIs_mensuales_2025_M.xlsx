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globe-my.sharepoint.com/personal/mcaceres_grupoglobe_com/Documents/Globe Power/PROYECTOS/Parque Arauco/"/>
    </mc:Choice>
  </mc:AlternateContent>
  <xr:revisionPtr revIDLastSave="8" documentId="8_{939EE12D-D9A6-438B-9F12-D8C8BC146433}" xr6:coauthVersionLast="47" xr6:coauthVersionMax="47" xr10:uidLastSave="{392F7899-9A2E-47E3-BF5C-1F925E1C987D}"/>
  <bookViews>
    <workbookView xWindow="28680" yWindow="-2520" windowWidth="29040" windowHeight="15720" xr2:uid="{00000000-000D-0000-FFFF-FFFF00000000}"/>
  </bookViews>
  <sheets>
    <sheet name="Resumen Mensual" sheetId="1" r:id="rId1"/>
    <sheet name="Pliegos Tarifarios (Quilicura)" sheetId="4" r:id="rId2"/>
    <sheet name="Consumo por Local (Pivot)" sheetId="2" r:id="rId3"/>
    <sheet name="Resumen Ejecutivo" sheetId="3" r:id="rId4"/>
  </sheets>
  <definedNames>
    <definedName name="_xlnm._FilterDatabase" localSheetId="0" hidden="1">'Resumen Mensual'!$A$3:$L$639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0" i="1" l="1"/>
  <c r="N640" i="1"/>
  <c r="O640" i="1"/>
  <c r="P640" i="1"/>
  <c r="Q640" i="1" a="1"/>
  <c r="Q640" i="1" s="1"/>
  <c r="R640" i="1"/>
  <c r="M641" i="1"/>
  <c r="N641" i="1"/>
  <c r="O641" i="1"/>
  <c r="P641" i="1"/>
  <c r="Q641" i="1" a="1"/>
  <c r="Q641" i="1"/>
  <c r="R641" i="1"/>
  <c r="M642" i="1"/>
  <c r="N642" i="1"/>
  <c r="O642" i="1"/>
  <c r="P642" i="1"/>
  <c r="Q642" i="1" a="1"/>
  <c r="Q642" i="1"/>
  <c r="R642" i="1"/>
  <c r="S642" i="1"/>
  <c r="T642" i="1"/>
  <c r="V642" i="1" s="1"/>
  <c r="M643" i="1"/>
  <c r="N643" i="1"/>
  <c r="O643" i="1"/>
  <c r="P643" i="1"/>
  <c r="Q643" i="1" a="1"/>
  <c r="Q643" i="1" s="1"/>
  <c r="R643" i="1"/>
  <c r="M644" i="1"/>
  <c r="N644" i="1"/>
  <c r="O644" i="1"/>
  <c r="P644" i="1"/>
  <c r="Q644" i="1" a="1"/>
  <c r="Q644" i="1" s="1"/>
  <c r="R644" i="1"/>
  <c r="S644" i="1"/>
  <c r="M645" i="1"/>
  <c r="N645" i="1"/>
  <c r="O645" i="1"/>
  <c r="P645" i="1"/>
  <c r="Q645" i="1" a="1"/>
  <c r="Q645" i="1" s="1"/>
  <c r="R645" i="1"/>
  <c r="M646" i="1"/>
  <c r="N646" i="1"/>
  <c r="O646" i="1"/>
  <c r="P646" i="1"/>
  <c r="Q646" i="1" a="1"/>
  <c r="Q646" i="1" s="1"/>
  <c r="R646" i="1"/>
  <c r="M647" i="1"/>
  <c r="N647" i="1"/>
  <c r="O647" i="1"/>
  <c r="P647" i="1"/>
  <c r="Q647" i="1" a="1"/>
  <c r="Q647" i="1" s="1"/>
  <c r="S647" i="1" s="1"/>
  <c r="T647" i="1" s="1"/>
  <c r="R647" i="1"/>
  <c r="V647" i="1"/>
  <c r="M648" i="1"/>
  <c r="N648" i="1"/>
  <c r="O648" i="1"/>
  <c r="P648" i="1"/>
  <c r="Q648" i="1" a="1"/>
  <c r="Q648" i="1" s="1"/>
  <c r="R648" i="1"/>
  <c r="M649" i="1"/>
  <c r="S649" i="1" s="1"/>
  <c r="N649" i="1"/>
  <c r="O649" i="1"/>
  <c r="P649" i="1"/>
  <c r="Q649" i="1" a="1"/>
  <c r="Q649" i="1"/>
  <c r="R649" i="1"/>
  <c r="M650" i="1"/>
  <c r="N650" i="1"/>
  <c r="O650" i="1"/>
  <c r="P650" i="1"/>
  <c r="Q650" i="1" a="1"/>
  <c r="Q650" i="1"/>
  <c r="R650" i="1"/>
  <c r="S650" i="1" s="1"/>
  <c r="M651" i="1"/>
  <c r="S651" i="1" s="1"/>
  <c r="N651" i="1"/>
  <c r="O651" i="1"/>
  <c r="P651" i="1"/>
  <c r="Q651" i="1" a="1"/>
  <c r="Q651" i="1" s="1"/>
  <c r="R651" i="1"/>
  <c r="M652" i="1"/>
  <c r="N652" i="1"/>
  <c r="O652" i="1"/>
  <c r="P652" i="1"/>
  <c r="Q652" i="1" a="1"/>
  <c r="Q652" i="1" s="1"/>
  <c r="R652" i="1"/>
  <c r="S652" i="1"/>
  <c r="M653" i="1"/>
  <c r="N653" i="1"/>
  <c r="O653" i="1"/>
  <c r="P653" i="1"/>
  <c r="Q653" i="1" a="1"/>
  <c r="Q653" i="1" s="1"/>
  <c r="R653" i="1"/>
  <c r="M654" i="1"/>
  <c r="S654" i="1" s="1"/>
  <c r="N654" i="1"/>
  <c r="O654" i="1"/>
  <c r="P654" i="1"/>
  <c r="Q654" i="1" a="1"/>
  <c r="Q654" i="1" s="1"/>
  <c r="R654" i="1"/>
  <c r="M655" i="1"/>
  <c r="N655" i="1"/>
  <c r="O655" i="1"/>
  <c r="P655" i="1"/>
  <c r="Q655" i="1" a="1"/>
  <c r="Q655" i="1" s="1"/>
  <c r="S655" i="1" s="1"/>
  <c r="T655" i="1" s="1"/>
  <c r="V655" i="1" s="1"/>
  <c r="R655" i="1"/>
  <c r="M656" i="1"/>
  <c r="S656" i="1" s="1"/>
  <c r="N656" i="1"/>
  <c r="O656" i="1"/>
  <c r="P656" i="1"/>
  <c r="Q656" i="1" a="1"/>
  <c r="Q656" i="1" s="1"/>
  <c r="R656" i="1"/>
  <c r="M657" i="1"/>
  <c r="N657" i="1"/>
  <c r="O657" i="1"/>
  <c r="P657" i="1"/>
  <c r="Q657" i="1" a="1"/>
  <c r="Q657" i="1"/>
  <c r="R657" i="1"/>
  <c r="M658" i="1"/>
  <c r="N658" i="1"/>
  <c r="O658" i="1"/>
  <c r="P658" i="1"/>
  <c r="Q658" i="1" a="1"/>
  <c r="Q658" i="1"/>
  <c r="R658" i="1"/>
  <c r="S658" i="1" s="1"/>
  <c r="M659" i="1"/>
  <c r="N659" i="1"/>
  <c r="O659" i="1"/>
  <c r="P659" i="1"/>
  <c r="Q659" i="1" a="1"/>
  <c r="Q659" i="1" s="1"/>
  <c r="R659" i="1"/>
  <c r="M660" i="1"/>
  <c r="N660" i="1"/>
  <c r="O660" i="1"/>
  <c r="P660" i="1"/>
  <c r="Q660" i="1" a="1"/>
  <c r="Q660" i="1" s="1"/>
  <c r="R660" i="1"/>
  <c r="S660" i="1"/>
  <c r="M661" i="1"/>
  <c r="N661" i="1"/>
  <c r="O661" i="1"/>
  <c r="P661" i="1"/>
  <c r="Q661" i="1" a="1"/>
  <c r="Q661" i="1" s="1"/>
  <c r="R661" i="1"/>
  <c r="M662" i="1"/>
  <c r="N662" i="1"/>
  <c r="O662" i="1"/>
  <c r="P662" i="1"/>
  <c r="Q662" i="1" a="1"/>
  <c r="Q662" i="1" s="1"/>
  <c r="R662" i="1"/>
  <c r="M663" i="1"/>
  <c r="N663" i="1"/>
  <c r="O663" i="1"/>
  <c r="P663" i="1"/>
  <c r="Q663" i="1" a="1"/>
  <c r="Q663" i="1" s="1"/>
  <c r="S663" i="1" s="1"/>
  <c r="T663" i="1" s="1"/>
  <c r="R663" i="1"/>
  <c r="M664" i="1"/>
  <c r="S664" i="1" s="1"/>
  <c r="N664" i="1"/>
  <c r="O664" i="1"/>
  <c r="P664" i="1"/>
  <c r="Q664" i="1" a="1"/>
  <c r="Q664" i="1" s="1"/>
  <c r="R664" i="1"/>
  <c r="M665" i="1"/>
  <c r="N665" i="1"/>
  <c r="O665" i="1"/>
  <c r="P665" i="1"/>
  <c r="Q665" i="1" a="1"/>
  <c r="Q665" i="1"/>
  <c r="R665" i="1"/>
  <c r="M666" i="1"/>
  <c r="S666" i="1" s="1"/>
  <c r="N666" i="1"/>
  <c r="O666" i="1"/>
  <c r="P666" i="1"/>
  <c r="Q666" i="1" a="1"/>
  <c r="Q666" i="1"/>
  <c r="R666" i="1"/>
  <c r="M667" i="1"/>
  <c r="N667" i="1"/>
  <c r="O667" i="1"/>
  <c r="P667" i="1"/>
  <c r="Q667" i="1" a="1"/>
  <c r="Q667" i="1" s="1"/>
  <c r="R667" i="1"/>
  <c r="M668" i="1"/>
  <c r="N668" i="1"/>
  <c r="O668" i="1"/>
  <c r="P668" i="1"/>
  <c r="Q668" i="1" a="1"/>
  <c r="Q668" i="1" s="1"/>
  <c r="R668" i="1"/>
  <c r="S668" i="1"/>
  <c r="M669" i="1"/>
  <c r="S669" i="1" s="1"/>
  <c r="N669" i="1"/>
  <c r="O669" i="1"/>
  <c r="P669" i="1"/>
  <c r="Q669" i="1" a="1"/>
  <c r="Q669" i="1" s="1"/>
  <c r="R669" i="1"/>
  <c r="M670" i="1"/>
  <c r="N670" i="1"/>
  <c r="O670" i="1"/>
  <c r="P670" i="1"/>
  <c r="Q670" i="1" a="1"/>
  <c r="Q670" i="1" s="1"/>
  <c r="R670" i="1"/>
  <c r="M671" i="1"/>
  <c r="N671" i="1"/>
  <c r="O671" i="1"/>
  <c r="P671" i="1"/>
  <c r="Q671" i="1" a="1"/>
  <c r="Q671" i="1" s="1"/>
  <c r="S671" i="1" s="1"/>
  <c r="T671" i="1" s="1"/>
  <c r="R671" i="1"/>
  <c r="M672" i="1"/>
  <c r="N672" i="1"/>
  <c r="O672" i="1"/>
  <c r="P672" i="1"/>
  <c r="Q672" i="1" a="1"/>
  <c r="Q672" i="1" s="1"/>
  <c r="R672" i="1"/>
  <c r="M673" i="1"/>
  <c r="N673" i="1"/>
  <c r="O673" i="1"/>
  <c r="P673" i="1"/>
  <c r="Q673" i="1" a="1"/>
  <c r="Q673" i="1"/>
  <c r="R673" i="1"/>
  <c r="M674" i="1"/>
  <c r="S674" i="1" s="1"/>
  <c r="N674" i="1"/>
  <c r="O674" i="1"/>
  <c r="P674" i="1"/>
  <c r="Q674" i="1" a="1"/>
  <c r="Q674" i="1"/>
  <c r="R674" i="1"/>
  <c r="M675" i="1"/>
  <c r="N675" i="1"/>
  <c r="O675" i="1"/>
  <c r="P675" i="1"/>
  <c r="Q675" i="1" a="1"/>
  <c r="Q675" i="1" s="1"/>
  <c r="R675" i="1"/>
  <c r="M676" i="1"/>
  <c r="N676" i="1"/>
  <c r="O676" i="1"/>
  <c r="P676" i="1"/>
  <c r="Q676" i="1" a="1"/>
  <c r="Q676" i="1" s="1"/>
  <c r="R676" i="1"/>
  <c r="S676" i="1"/>
  <c r="M677" i="1"/>
  <c r="N677" i="1"/>
  <c r="O677" i="1"/>
  <c r="P677" i="1"/>
  <c r="Q677" i="1" a="1"/>
  <c r="Q677" i="1" s="1"/>
  <c r="R677" i="1"/>
  <c r="M678" i="1"/>
  <c r="N678" i="1"/>
  <c r="O678" i="1"/>
  <c r="P678" i="1"/>
  <c r="Q678" i="1" a="1"/>
  <c r="Q678" i="1" s="1"/>
  <c r="R678" i="1"/>
  <c r="M679" i="1"/>
  <c r="N679" i="1"/>
  <c r="O679" i="1"/>
  <c r="P679" i="1"/>
  <c r="Q679" i="1" a="1"/>
  <c r="Q679" i="1" s="1"/>
  <c r="S679" i="1" s="1"/>
  <c r="T679" i="1" s="1"/>
  <c r="R679" i="1"/>
  <c r="V679" i="1"/>
  <c r="M680" i="1"/>
  <c r="N680" i="1"/>
  <c r="O680" i="1"/>
  <c r="P680" i="1"/>
  <c r="Q680" i="1" a="1"/>
  <c r="Q680" i="1" s="1"/>
  <c r="R680" i="1"/>
  <c r="M681" i="1"/>
  <c r="S681" i="1" s="1"/>
  <c r="N681" i="1"/>
  <c r="O681" i="1"/>
  <c r="P681" i="1"/>
  <c r="Q681" i="1" a="1"/>
  <c r="Q681" i="1"/>
  <c r="R681" i="1"/>
  <c r="M682" i="1"/>
  <c r="N682" i="1"/>
  <c r="O682" i="1"/>
  <c r="P682" i="1"/>
  <c r="Q682" i="1" a="1"/>
  <c r="Q682" i="1" s="1"/>
  <c r="R682" i="1"/>
  <c r="M683" i="1"/>
  <c r="N683" i="1"/>
  <c r="O683" i="1"/>
  <c r="P683" i="1"/>
  <c r="Q683" i="1" a="1"/>
  <c r="Q683" i="1" s="1"/>
  <c r="R683" i="1"/>
  <c r="M684" i="1"/>
  <c r="N684" i="1"/>
  <c r="O684" i="1"/>
  <c r="P684" i="1"/>
  <c r="Q684" i="1" a="1"/>
  <c r="Q684" i="1" s="1"/>
  <c r="R684" i="1"/>
  <c r="S684" i="1"/>
  <c r="M685" i="1"/>
  <c r="N685" i="1"/>
  <c r="O685" i="1"/>
  <c r="P685" i="1"/>
  <c r="Q685" i="1" a="1"/>
  <c r="Q685" i="1" s="1"/>
  <c r="R685" i="1"/>
  <c r="M686" i="1"/>
  <c r="N686" i="1"/>
  <c r="O686" i="1"/>
  <c r="P686" i="1"/>
  <c r="Q686" i="1" a="1"/>
  <c r="Q686" i="1" s="1"/>
  <c r="R686" i="1"/>
  <c r="M687" i="1"/>
  <c r="N687" i="1"/>
  <c r="O687" i="1"/>
  <c r="P687" i="1"/>
  <c r="Q687" i="1" a="1"/>
  <c r="Q687" i="1" s="1"/>
  <c r="S687" i="1" s="1"/>
  <c r="T687" i="1" s="1"/>
  <c r="R687" i="1"/>
  <c r="V687" i="1"/>
  <c r="M688" i="1"/>
  <c r="N688" i="1"/>
  <c r="O688" i="1"/>
  <c r="P688" i="1"/>
  <c r="Q688" i="1" a="1"/>
  <c r="Q688" i="1" s="1"/>
  <c r="R688" i="1"/>
  <c r="M689" i="1"/>
  <c r="S689" i="1" s="1"/>
  <c r="N689" i="1"/>
  <c r="O689" i="1"/>
  <c r="P689" i="1"/>
  <c r="Q689" i="1" a="1"/>
  <c r="Q689" i="1"/>
  <c r="R689" i="1"/>
  <c r="M690" i="1"/>
  <c r="N690" i="1"/>
  <c r="O690" i="1"/>
  <c r="P690" i="1"/>
  <c r="Q690" i="1" a="1"/>
  <c r="Q690" i="1" s="1"/>
  <c r="R690" i="1"/>
  <c r="M691" i="1"/>
  <c r="S691" i="1" s="1"/>
  <c r="N691" i="1"/>
  <c r="O691" i="1"/>
  <c r="P691" i="1"/>
  <c r="Q691" i="1" a="1"/>
  <c r="Q691" i="1" s="1"/>
  <c r="R691" i="1"/>
  <c r="M692" i="1"/>
  <c r="N692" i="1"/>
  <c r="O692" i="1"/>
  <c r="P692" i="1"/>
  <c r="Q692" i="1" a="1"/>
  <c r="Q692" i="1" s="1"/>
  <c r="R692" i="1"/>
  <c r="S692" i="1"/>
  <c r="M693" i="1"/>
  <c r="N693" i="1"/>
  <c r="O693" i="1"/>
  <c r="P693" i="1"/>
  <c r="Q693" i="1" a="1"/>
  <c r="Q693" i="1" s="1"/>
  <c r="R693" i="1"/>
  <c r="M694" i="1"/>
  <c r="S694" i="1" s="1"/>
  <c r="N694" i="1"/>
  <c r="O694" i="1"/>
  <c r="P694" i="1"/>
  <c r="Q694" i="1" a="1"/>
  <c r="Q694" i="1" s="1"/>
  <c r="R694" i="1"/>
  <c r="M695" i="1"/>
  <c r="N695" i="1"/>
  <c r="O695" i="1"/>
  <c r="P695" i="1"/>
  <c r="Q695" i="1" a="1"/>
  <c r="Q695" i="1" s="1"/>
  <c r="S695" i="1" s="1"/>
  <c r="T695" i="1" s="1"/>
  <c r="R695" i="1"/>
  <c r="V695" i="1"/>
  <c r="M696" i="1"/>
  <c r="S696" i="1" s="1"/>
  <c r="N696" i="1"/>
  <c r="O696" i="1"/>
  <c r="P696" i="1"/>
  <c r="Q696" i="1" a="1"/>
  <c r="Q696" i="1" s="1"/>
  <c r="R696" i="1"/>
  <c r="M697" i="1"/>
  <c r="N697" i="1"/>
  <c r="O697" i="1"/>
  <c r="P697" i="1"/>
  <c r="Q697" i="1" a="1"/>
  <c r="Q697" i="1"/>
  <c r="R697" i="1"/>
  <c r="M698" i="1"/>
  <c r="N698" i="1"/>
  <c r="O698" i="1"/>
  <c r="P698" i="1"/>
  <c r="Q698" i="1" a="1"/>
  <c r="Q698" i="1" s="1"/>
  <c r="R698" i="1"/>
  <c r="M699" i="1"/>
  <c r="S699" i="1" s="1"/>
  <c r="N699" i="1"/>
  <c r="O699" i="1"/>
  <c r="P699" i="1"/>
  <c r="Q699" i="1" a="1"/>
  <c r="Q699" i="1" s="1"/>
  <c r="R699" i="1"/>
  <c r="M700" i="1"/>
  <c r="N700" i="1"/>
  <c r="O700" i="1"/>
  <c r="P700" i="1"/>
  <c r="Q700" i="1" a="1"/>
  <c r="Q700" i="1" s="1"/>
  <c r="R700" i="1"/>
  <c r="S700" i="1"/>
  <c r="M701" i="1"/>
  <c r="S701" i="1" s="1"/>
  <c r="N701" i="1"/>
  <c r="O701" i="1"/>
  <c r="P701" i="1"/>
  <c r="Q701" i="1" a="1"/>
  <c r="Q701" i="1" s="1"/>
  <c r="R701" i="1"/>
  <c r="M702" i="1"/>
  <c r="N702" i="1"/>
  <c r="O702" i="1"/>
  <c r="P702" i="1"/>
  <c r="Q702" i="1" a="1"/>
  <c r="Q702" i="1" s="1"/>
  <c r="R702" i="1"/>
  <c r="M703" i="1"/>
  <c r="N703" i="1"/>
  <c r="O703" i="1"/>
  <c r="P703" i="1"/>
  <c r="Q703" i="1" a="1"/>
  <c r="Q703" i="1" s="1"/>
  <c r="S703" i="1" s="1"/>
  <c r="T703" i="1" s="1"/>
  <c r="R703" i="1"/>
  <c r="V703" i="1"/>
  <c r="M704" i="1"/>
  <c r="S704" i="1" s="1"/>
  <c r="N704" i="1"/>
  <c r="O704" i="1"/>
  <c r="P704" i="1"/>
  <c r="Q704" i="1" a="1"/>
  <c r="Q704" i="1" s="1"/>
  <c r="R704" i="1"/>
  <c r="M705" i="1"/>
  <c r="N705" i="1"/>
  <c r="O705" i="1"/>
  <c r="P705" i="1"/>
  <c r="Q705" i="1" a="1"/>
  <c r="Q705" i="1"/>
  <c r="R705" i="1"/>
  <c r="M706" i="1"/>
  <c r="S706" i="1" s="1"/>
  <c r="N706" i="1"/>
  <c r="O706" i="1"/>
  <c r="P706" i="1"/>
  <c r="Q706" i="1" a="1"/>
  <c r="Q706" i="1" s="1"/>
  <c r="R706" i="1"/>
  <c r="M707" i="1"/>
  <c r="N707" i="1"/>
  <c r="O707" i="1"/>
  <c r="P707" i="1"/>
  <c r="Q707" i="1" a="1"/>
  <c r="Q707" i="1" s="1"/>
  <c r="R707" i="1"/>
  <c r="M708" i="1"/>
  <c r="N708" i="1"/>
  <c r="O708" i="1"/>
  <c r="P708" i="1"/>
  <c r="Q708" i="1" a="1"/>
  <c r="Q708" i="1" s="1"/>
  <c r="R708" i="1"/>
  <c r="S708" i="1"/>
  <c r="M709" i="1"/>
  <c r="N709" i="1"/>
  <c r="O709" i="1"/>
  <c r="P709" i="1"/>
  <c r="Q709" i="1" a="1"/>
  <c r="Q709" i="1" s="1"/>
  <c r="R709" i="1"/>
  <c r="M710" i="1"/>
  <c r="N710" i="1"/>
  <c r="O710" i="1"/>
  <c r="P710" i="1"/>
  <c r="Q710" i="1" a="1"/>
  <c r="Q710" i="1" s="1"/>
  <c r="R710" i="1"/>
  <c r="M711" i="1"/>
  <c r="S711" i="1" s="1"/>
  <c r="T711" i="1" s="1"/>
  <c r="N711" i="1"/>
  <c r="O711" i="1"/>
  <c r="P711" i="1"/>
  <c r="Q711" i="1" a="1"/>
  <c r="Q711" i="1" s="1"/>
  <c r="R711" i="1"/>
  <c r="M712" i="1"/>
  <c r="N712" i="1"/>
  <c r="O712" i="1"/>
  <c r="P712" i="1"/>
  <c r="Q712" i="1" a="1"/>
  <c r="Q712" i="1" s="1"/>
  <c r="R712" i="1"/>
  <c r="M713" i="1"/>
  <c r="N713" i="1"/>
  <c r="O713" i="1"/>
  <c r="P713" i="1"/>
  <c r="Q713" i="1" a="1"/>
  <c r="Q713" i="1"/>
  <c r="R713" i="1"/>
  <c r="M714" i="1"/>
  <c r="N714" i="1"/>
  <c r="O714" i="1"/>
  <c r="P714" i="1"/>
  <c r="Q714" i="1" a="1"/>
  <c r="Q714" i="1" s="1"/>
  <c r="R714" i="1"/>
  <c r="M715" i="1"/>
  <c r="N715" i="1"/>
  <c r="O715" i="1"/>
  <c r="P715" i="1"/>
  <c r="Q715" i="1" a="1"/>
  <c r="Q715" i="1" s="1"/>
  <c r="R715" i="1"/>
  <c r="M716" i="1"/>
  <c r="N716" i="1"/>
  <c r="O716" i="1"/>
  <c r="P716" i="1"/>
  <c r="Q716" i="1" a="1"/>
  <c r="Q716" i="1" s="1"/>
  <c r="R716" i="1"/>
  <c r="S716" i="1"/>
  <c r="M717" i="1"/>
  <c r="N717" i="1"/>
  <c r="O717" i="1"/>
  <c r="P717" i="1"/>
  <c r="Q717" i="1" a="1"/>
  <c r="Q717" i="1" s="1"/>
  <c r="R717" i="1"/>
  <c r="M718" i="1"/>
  <c r="N718" i="1"/>
  <c r="O718" i="1"/>
  <c r="P718" i="1"/>
  <c r="Q718" i="1" a="1"/>
  <c r="Q718" i="1" s="1"/>
  <c r="R718" i="1"/>
  <c r="M719" i="1"/>
  <c r="S719" i="1" s="1"/>
  <c r="T719" i="1" s="1"/>
  <c r="N719" i="1"/>
  <c r="O719" i="1"/>
  <c r="P719" i="1"/>
  <c r="Q719" i="1" a="1"/>
  <c r="Q719" i="1" s="1"/>
  <c r="R719" i="1"/>
  <c r="M720" i="1"/>
  <c r="N720" i="1"/>
  <c r="O720" i="1"/>
  <c r="P720" i="1"/>
  <c r="Q720" i="1" a="1"/>
  <c r="Q720" i="1" s="1"/>
  <c r="R720" i="1"/>
  <c r="M721" i="1"/>
  <c r="N721" i="1"/>
  <c r="O721" i="1"/>
  <c r="P721" i="1"/>
  <c r="Q721" i="1" a="1"/>
  <c r="Q721" i="1"/>
  <c r="R721" i="1"/>
  <c r="M722" i="1"/>
  <c r="N722" i="1"/>
  <c r="O722" i="1"/>
  <c r="P722" i="1"/>
  <c r="Q722" i="1" a="1"/>
  <c r="Q722" i="1" s="1"/>
  <c r="R722" i="1"/>
  <c r="M723" i="1"/>
  <c r="N723" i="1"/>
  <c r="O723" i="1"/>
  <c r="P723" i="1"/>
  <c r="Q723" i="1" a="1"/>
  <c r="Q723" i="1" s="1"/>
  <c r="R723" i="1"/>
  <c r="M724" i="1"/>
  <c r="N724" i="1"/>
  <c r="O724" i="1"/>
  <c r="P724" i="1"/>
  <c r="Q724" i="1" a="1"/>
  <c r="Q724" i="1" s="1"/>
  <c r="R724" i="1"/>
  <c r="S724" i="1"/>
  <c r="M725" i="1"/>
  <c r="N725" i="1"/>
  <c r="O725" i="1"/>
  <c r="P725" i="1"/>
  <c r="Q725" i="1" a="1"/>
  <c r="Q725" i="1" s="1"/>
  <c r="R725" i="1"/>
  <c r="M726" i="1"/>
  <c r="N726" i="1"/>
  <c r="O726" i="1"/>
  <c r="P726" i="1"/>
  <c r="Q726" i="1" a="1"/>
  <c r="Q726" i="1" s="1"/>
  <c r="R726" i="1"/>
  <c r="M727" i="1"/>
  <c r="N727" i="1"/>
  <c r="O727" i="1"/>
  <c r="P727" i="1"/>
  <c r="Q727" i="1" a="1"/>
  <c r="Q727" i="1" s="1"/>
  <c r="R727" i="1"/>
  <c r="M728" i="1"/>
  <c r="N728" i="1"/>
  <c r="O728" i="1"/>
  <c r="P728" i="1"/>
  <c r="Q728" i="1" a="1"/>
  <c r="Q728" i="1" s="1"/>
  <c r="R728" i="1"/>
  <c r="M729" i="1"/>
  <c r="S729" i="1" s="1"/>
  <c r="N729" i="1"/>
  <c r="O729" i="1"/>
  <c r="P729" i="1"/>
  <c r="Q729" i="1" a="1"/>
  <c r="Q729" i="1"/>
  <c r="R729" i="1"/>
  <c r="M730" i="1"/>
  <c r="N730" i="1"/>
  <c r="O730" i="1"/>
  <c r="P730" i="1"/>
  <c r="Q730" i="1" a="1"/>
  <c r="Q730" i="1" s="1"/>
  <c r="R730" i="1"/>
  <c r="M731" i="1"/>
  <c r="N731" i="1"/>
  <c r="O731" i="1"/>
  <c r="P731" i="1"/>
  <c r="Q731" i="1" a="1"/>
  <c r="Q731" i="1" s="1"/>
  <c r="R731" i="1"/>
  <c r="M732" i="1"/>
  <c r="N732" i="1"/>
  <c r="O732" i="1"/>
  <c r="P732" i="1"/>
  <c r="Q732" i="1" a="1"/>
  <c r="Q732" i="1" s="1"/>
  <c r="S732" i="1" s="1"/>
  <c r="R732" i="1"/>
  <c r="M733" i="1"/>
  <c r="N733" i="1"/>
  <c r="O733" i="1"/>
  <c r="P733" i="1"/>
  <c r="Q733" i="1" a="1"/>
  <c r="Q733" i="1" s="1"/>
  <c r="R733" i="1"/>
  <c r="M734" i="1"/>
  <c r="S734" i="1" s="1"/>
  <c r="N734" i="1"/>
  <c r="O734" i="1"/>
  <c r="P734" i="1"/>
  <c r="Q734" i="1" a="1"/>
  <c r="Q734" i="1" s="1"/>
  <c r="R734" i="1"/>
  <c r="M735" i="1"/>
  <c r="N735" i="1"/>
  <c r="O735" i="1"/>
  <c r="P735" i="1"/>
  <c r="Q735" i="1" a="1"/>
  <c r="Q735" i="1" s="1"/>
  <c r="R735" i="1"/>
  <c r="M736" i="1"/>
  <c r="S736" i="1" s="1"/>
  <c r="N736" i="1"/>
  <c r="O736" i="1"/>
  <c r="P736" i="1"/>
  <c r="Q736" i="1" a="1"/>
  <c r="Q736" i="1" s="1"/>
  <c r="R736" i="1"/>
  <c r="M737" i="1"/>
  <c r="N737" i="1"/>
  <c r="O737" i="1"/>
  <c r="P737" i="1"/>
  <c r="Q737" i="1" a="1"/>
  <c r="Q737" i="1"/>
  <c r="R737" i="1"/>
  <c r="M738" i="1"/>
  <c r="N738" i="1"/>
  <c r="O738" i="1"/>
  <c r="P738" i="1"/>
  <c r="Q738" i="1" a="1"/>
  <c r="Q738" i="1" s="1"/>
  <c r="R738" i="1"/>
  <c r="M739" i="1"/>
  <c r="N739" i="1"/>
  <c r="O739" i="1"/>
  <c r="P739" i="1"/>
  <c r="Q739" i="1" a="1"/>
  <c r="Q739" i="1" s="1"/>
  <c r="R739" i="1"/>
  <c r="M740" i="1"/>
  <c r="N740" i="1"/>
  <c r="O740" i="1"/>
  <c r="P740" i="1"/>
  <c r="Q740" i="1" a="1"/>
  <c r="Q740" i="1" s="1"/>
  <c r="S740" i="1" s="1"/>
  <c r="R740" i="1"/>
  <c r="M741" i="1"/>
  <c r="S741" i="1" s="1"/>
  <c r="N741" i="1"/>
  <c r="O741" i="1"/>
  <c r="P741" i="1"/>
  <c r="Q741" i="1" a="1"/>
  <c r="Q741" i="1" s="1"/>
  <c r="R741" i="1"/>
  <c r="M742" i="1"/>
  <c r="N742" i="1"/>
  <c r="O742" i="1"/>
  <c r="P742" i="1"/>
  <c r="Q742" i="1" a="1"/>
  <c r="Q742" i="1" s="1"/>
  <c r="R742" i="1"/>
  <c r="M743" i="1"/>
  <c r="N743" i="1"/>
  <c r="O743" i="1"/>
  <c r="P743" i="1"/>
  <c r="Q743" i="1" a="1"/>
  <c r="Q743" i="1" s="1"/>
  <c r="R743" i="1"/>
  <c r="M744" i="1"/>
  <c r="N744" i="1"/>
  <c r="O744" i="1"/>
  <c r="P744" i="1"/>
  <c r="Q744" i="1" a="1"/>
  <c r="Q744" i="1" s="1"/>
  <c r="R744" i="1"/>
  <c r="M745" i="1"/>
  <c r="S745" i="1" s="1"/>
  <c r="N745" i="1"/>
  <c r="O745" i="1"/>
  <c r="P745" i="1"/>
  <c r="Q745" i="1" a="1"/>
  <c r="Q745" i="1"/>
  <c r="R745" i="1"/>
  <c r="M746" i="1"/>
  <c r="S746" i="1" s="1"/>
  <c r="N746" i="1"/>
  <c r="O746" i="1"/>
  <c r="P746" i="1"/>
  <c r="Q746" i="1" a="1"/>
  <c r="Q746" i="1" s="1"/>
  <c r="R746" i="1"/>
  <c r="M747" i="1"/>
  <c r="N747" i="1"/>
  <c r="O747" i="1"/>
  <c r="P747" i="1"/>
  <c r="Q747" i="1" a="1"/>
  <c r="Q747" i="1" s="1"/>
  <c r="R747" i="1"/>
  <c r="M748" i="1"/>
  <c r="N748" i="1"/>
  <c r="O748" i="1"/>
  <c r="P748" i="1"/>
  <c r="Q748" i="1" a="1"/>
  <c r="Q748" i="1" s="1"/>
  <c r="S748" i="1" s="1"/>
  <c r="R748" i="1"/>
  <c r="M749" i="1"/>
  <c r="N749" i="1"/>
  <c r="O749" i="1"/>
  <c r="P749" i="1"/>
  <c r="Q749" i="1" a="1"/>
  <c r="Q749" i="1" s="1"/>
  <c r="R749" i="1"/>
  <c r="M750" i="1"/>
  <c r="N750" i="1"/>
  <c r="O750" i="1"/>
  <c r="P750" i="1"/>
  <c r="Q750" i="1" a="1"/>
  <c r="Q750" i="1" s="1"/>
  <c r="R750" i="1"/>
  <c r="M751" i="1"/>
  <c r="S751" i="1" s="1"/>
  <c r="T751" i="1" s="1"/>
  <c r="N751" i="1"/>
  <c r="O751" i="1"/>
  <c r="P751" i="1"/>
  <c r="Q751" i="1" a="1"/>
  <c r="Q751" i="1" s="1"/>
  <c r="R751" i="1"/>
  <c r="M752" i="1"/>
  <c r="N752" i="1"/>
  <c r="O752" i="1"/>
  <c r="P752" i="1"/>
  <c r="Q752" i="1" a="1"/>
  <c r="Q752" i="1" s="1"/>
  <c r="R752" i="1"/>
  <c r="M753" i="1"/>
  <c r="N753" i="1"/>
  <c r="O753" i="1"/>
  <c r="P753" i="1"/>
  <c r="Q753" i="1" a="1"/>
  <c r="Q753" i="1"/>
  <c r="R753" i="1"/>
  <c r="M754" i="1"/>
  <c r="N754" i="1"/>
  <c r="O754" i="1"/>
  <c r="P754" i="1"/>
  <c r="Q754" i="1" a="1"/>
  <c r="Q754" i="1" s="1"/>
  <c r="R754" i="1"/>
  <c r="M755" i="1"/>
  <c r="N755" i="1"/>
  <c r="O755" i="1"/>
  <c r="P755" i="1"/>
  <c r="Q755" i="1" a="1"/>
  <c r="Q755" i="1" s="1"/>
  <c r="R755" i="1"/>
  <c r="M756" i="1"/>
  <c r="N756" i="1"/>
  <c r="O756" i="1"/>
  <c r="P756" i="1"/>
  <c r="Q756" i="1" a="1"/>
  <c r="Q756" i="1" s="1"/>
  <c r="R756" i="1"/>
  <c r="S756" i="1"/>
  <c r="M757" i="1"/>
  <c r="S757" i="1" s="1"/>
  <c r="N757" i="1"/>
  <c r="O757" i="1"/>
  <c r="P757" i="1"/>
  <c r="Q757" i="1" a="1"/>
  <c r="Q757" i="1" s="1"/>
  <c r="R757" i="1"/>
  <c r="M758" i="1"/>
  <c r="N758" i="1"/>
  <c r="O758" i="1"/>
  <c r="P758" i="1"/>
  <c r="Q758" i="1" a="1"/>
  <c r="Q758" i="1" s="1"/>
  <c r="R758" i="1"/>
  <c r="M759" i="1"/>
  <c r="N759" i="1"/>
  <c r="O759" i="1"/>
  <c r="P759" i="1"/>
  <c r="Q759" i="1" a="1"/>
  <c r="Q759" i="1" s="1"/>
  <c r="R759" i="1"/>
  <c r="M760" i="1"/>
  <c r="N760" i="1"/>
  <c r="O760" i="1"/>
  <c r="P760" i="1"/>
  <c r="Q760" i="1" a="1"/>
  <c r="Q760" i="1" s="1"/>
  <c r="R760" i="1"/>
  <c r="M761" i="1"/>
  <c r="S761" i="1" s="1"/>
  <c r="N761" i="1"/>
  <c r="O761" i="1"/>
  <c r="P761" i="1"/>
  <c r="Q761" i="1" a="1"/>
  <c r="Q761" i="1"/>
  <c r="R761" i="1"/>
  <c r="M762" i="1"/>
  <c r="S762" i="1" s="1"/>
  <c r="N762" i="1"/>
  <c r="O762" i="1"/>
  <c r="P762" i="1"/>
  <c r="Q762" i="1" a="1"/>
  <c r="Q762" i="1" s="1"/>
  <c r="R762" i="1"/>
  <c r="T762" i="1"/>
  <c r="M763" i="1"/>
  <c r="N763" i="1"/>
  <c r="O763" i="1"/>
  <c r="P763" i="1"/>
  <c r="Q763" i="1" a="1"/>
  <c r="Q763" i="1" s="1"/>
  <c r="R763" i="1"/>
  <c r="M764" i="1"/>
  <c r="N764" i="1"/>
  <c r="O764" i="1"/>
  <c r="P764" i="1"/>
  <c r="Q764" i="1" a="1"/>
  <c r="Q764" i="1" s="1"/>
  <c r="S764" i="1" s="1"/>
  <c r="R764" i="1"/>
  <c r="M765" i="1"/>
  <c r="N765" i="1"/>
  <c r="O765" i="1"/>
  <c r="P765" i="1"/>
  <c r="Q765" i="1" a="1"/>
  <c r="Q765" i="1" s="1"/>
  <c r="R765" i="1"/>
  <c r="M766" i="1"/>
  <c r="S766" i="1" s="1"/>
  <c r="N766" i="1"/>
  <c r="O766" i="1"/>
  <c r="P766" i="1"/>
  <c r="Q766" i="1" a="1"/>
  <c r="Q766" i="1" s="1"/>
  <c r="R766" i="1"/>
  <c r="M767" i="1"/>
  <c r="N767" i="1"/>
  <c r="O767" i="1"/>
  <c r="P767" i="1"/>
  <c r="Q767" i="1" a="1"/>
  <c r="Q767" i="1" s="1"/>
  <c r="R767" i="1"/>
  <c r="M768" i="1"/>
  <c r="S768" i="1" s="1"/>
  <c r="N768" i="1"/>
  <c r="O768" i="1"/>
  <c r="P768" i="1"/>
  <c r="Q768" i="1" a="1"/>
  <c r="Q768" i="1" s="1"/>
  <c r="R768" i="1"/>
  <c r="M769" i="1"/>
  <c r="N769" i="1"/>
  <c r="O769" i="1"/>
  <c r="P769" i="1"/>
  <c r="Q769" i="1" a="1"/>
  <c r="Q769" i="1"/>
  <c r="R769" i="1"/>
  <c r="M770" i="1"/>
  <c r="N770" i="1"/>
  <c r="O770" i="1"/>
  <c r="P770" i="1"/>
  <c r="Q770" i="1" a="1"/>
  <c r="Q770" i="1" s="1"/>
  <c r="R770" i="1"/>
  <c r="M771" i="1"/>
  <c r="N771" i="1"/>
  <c r="O771" i="1"/>
  <c r="P771" i="1"/>
  <c r="Q771" i="1" a="1"/>
  <c r="Q771" i="1" s="1"/>
  <c r="R771" i="1"/>
  <c r="M772" i="1"/>
  <c r="N772" i="1"/>
  <c r="O772" i="1"/>
  <c r="P772" i="1"/>
  <c r="Q772" i="1" a="1"/>
  <c r="Q772" i="1" s="1"/>
  <c r="S772" i="1" s="1"/>
  <c r="R772" i="1"/>
  <c r="M773" i="1"/>
  <c r="S773" i="1" s="1"/>
  <c r="N773" i="1"/>
  <c r="O773" i="1"/>
  <c r="P773" i="1"/>
  <c r="Q773" i="1" a="1"/>
  <c r="Q773" i="1" s="1"/>
  <c r="R773" i="1"/>
  <c r="M774" i="1"/>
  <c r="N774" i="1"/>
  <c r="O774" i="1"/>
  <c r="P774" i="1"/>
  <c r="Q774" i="1" a="1"/>
  <c r="Q774" i="1" s="1"/>
  <c r="R774" i="1"/>
  <c r="M775" i="1"/>
  <c r="N775" i="1"/>
  <c r="O775" i="1"/>
  <c r="P775" i="1"/>
  <c r="Q775" i="1" a="1"/>
  <c r="Q775" i="1" s="1"/>
  <c r="R775" i="1"/>
  <c r="M776" i="1"/>
  <c r="N776" i="1"/>
  <c r="O776" i="1"/>
  <c r="P776" i="1"/>
  <c r="Q776" i="1" a="1"/>
  <c r="Q776" i="1" s="1"/>
  <c r="R776" i="1"/>
  <c r="M777" i="1"/>
  <c r="S777" i="1" s="1"/>
  <c r="N777" i="1"/>
  <c r="O777" i="1"/>
  <c r="P777" i="1"/>
  <c r="Q777" i="1" a="1"/>
  <c r="Q777" i="1"/>
  <c r="R777" i="1"/>
  <c r="M778" i="1"/>
  <c r="S778" i="1" s="1"/>
  <c r="N778" i="1"/>
  <c r="O778" i="1"/>
  <c r="P778" i="1"/>
  <c r="Q778" i="1" a="1"/>
  <c r="Q778" i="1" s="1"/>
  <c r="R778" i="1"/>
  <c r="M779" i="1"/>
  <c r="N779" i="1"/>
  <c r="O779" i="1"/>
  <c r="P779" i="1"/>
  <c r="Q779" i="1" a="1"/>
  <c r="Q779" i="1" s="1"/>
  <c r="R779" i="1"/>
  <c r="M780" i="1"/>
  <c r="N780" i="1"/>
  <c r="O780" i="1"/>
  <c r="P780" i="1"/>
  <c r="Q780" i="1" a="1"/>
  <c r="Q780" i="1" s="1"/>
  <c r="S780" i="1" s="1"/>
  <c r="R780" i="1"/>
  <c r="M781" i="1"/>
  <c r="N781" i="1"/>
  <c r="O781" i="1"/>
  <c r="P781" i="1"/>
  <c r="Q781" i="1" a="1"/>
  <c r="Q781" i="1" s="1"/>
  <c r="R781" i="1"/>
  <c r="M782" i="1"/>
  <c r="N782" i="1"/>
  <c r="O782" i="1"/>
  <c r="P782" i="1"/>
  <c r="Q782" i="1" a="1"/>
  <c r="Q782" i="1" s="1"/>
  <c r="R782" i="1"/>
  <c r="M783" i="1"/>
  <c r="S783" i="1" s="1"/>
  <c r="T783" i="1" s="1"/>
  <c r="N783" i="1"/>
  <c r="O783" i="1"/>
  <c r="P783" i="1"/>
  <c r="Q783" i="1" a="1"/>
  <c r="Q783" i="1" s="1"/>
  <c r="R783" i="1"/>
  <c r="M784" i="1"/>
  <c r="N784" i="1"/>
  <c r="O784" i="1"/>
  <c r="P784" i="1"/>
  <c r="Q784" i="1" a="1"/>
  <c r="Q784" i="1" s="1"/>
  <c r="R784" i="1"/>
  <c r="M785" i="1"/>
  <c r="N785" i="1"/>
  <c r="O785" i="1"/>
  <c r="P785" i="1"/>
  <c r="Q785" i="1" a="1"/>
  <c r="Q785" i="1"/>
  <c r="R785" i="1"/>
  <c r="M786" i="1"/>
  <c r="N786" i="1"/>
  <c r="O786" i="1"/>
  <c r="P786" i="1"/>
  <c r="Q786" i="1" a="1"/>
  <c r="Q786" i="1" s="1"/>
  <c r="R786" i="1"/>
  <c r="M787" i="1"/>
  <c r="N787" i="1"/>
  <c r="O787" i="1"/>
  <c r="P787" i="1"/>
  <c r="Q787" i="1" a="1"/>
  <c r="Q787" i="1" s="1"/>
  <c r="R787" i="1"/>
  <c r="M788" i="1"/>
  <c r="N788" i="1"/>
  <c r="O788" i="1"/>
  <c r="P788" i="1"/>
  <c r="Q788" i="1" a="1"/>
  <c r="Q788" i="1" s="1"/>
  <c r="S788" i="1" s="1"/>
  <c r="R788" i="1"/>
  <c r="M789" i="1"/>
  <c r="S789" i="1" s="1"/>
  <c r="N789" i="1"/>
  <c r="O789" i="1"/>
  <c r="P789" i="1"/>
  <c r="Q789" i="1" a="1"/>
  <c r="Q789" i="1" s="1"/>
  <c r="R789" i="1"/>
  <c r="M790" i="1"/>
  <c r="N790" i="1"/>
  <c r="O790" i="1"/>
  <c r="P790" i="1"/>
  <c r="Q790" i="1" a="1"/>
  <c r="Q790" i="1" s="1"/>
  <c r="R790" i="1"/>
  <c r="M791" i="1"/>
  <c r="N791" i="1"/>
  <c r="O791" i="1"/>
  <c r="P791" i="1"/>
  <c r="Q791" i="1" a="1"/>
  <c r="Q791" i="1" s="1"/>
  <c r="R791" i="1"/>
  <c r="M792" i="1"/>
  <c r="N792" i="1"/>
  <c r="O792" i="1"/>
  <c r="P792" i="1"/>
  <c r="Q792" i="1" a="1"/>
  <c r="Q792" i="1" s="1"/>
  <c r="R792" i="1"/>
  <c r="M793" i="1"/>
  <c r="S793" i="1" s="1"/>
  <c r="N793" i="1"/>
  <c r="O793" i="1"/>
  <c r="P793" i="1"/>
  <c r="Q793" i="1" a="1"/>
  <c r="Q793" i="1"/>
  <c r="R793" i="1"/>
  <c r="M794" i="1"/>
  <c r="S794" i="1" s="1"/>
  <c r="N794" i="1"/>
  <c r="O794" i="1"/>
  <c r="P794" i="1"/>
  <c r="Q794" i="1" a="1"/>
  <c r="Q794" i="1" s="1"/>
  <c r="R794" i="1"/>
  <c r="T794" i="1"/>
  <c r="M795" i="1"/>
  <c r="N795" i="1"/>
  <c r="O795" i="1"/>
  <c r="P795" i="1"/>
  <c r="Q795" i="1" a="1"/>
  <c r="Q795" i="1" s="1"/>
  <c r="R795" i="1"/>
  <c r="M796" i="1"/>
  <c r="N796" i="1"/>
  <c r="O796" i="1"/>
  <c r="P796" i="1"/>
  <c r="Q796" i="1" a="1"/>
  <c r="Q796" i="1" s="1"/>
  <c r="S796" i="1" s="1"/>
  <c r="R796" i="1"/>
  <c r="M797" i="1"/>
  <c r="N797" i="1"/>
  <c r="O797" i="1"/>
  <c r="P797" i="1"/>
  <c r="Q797" i="1" a="1"/>
  <c r="Q797" i="1" s="1"/>
  <c r="R797" i="1"/>
  <c r="M798" i="1"/>
  <c r="S798" i="1" s="1"/>
  <c r="N798" i="1"/>
  <c r="O798" i="1"/>
  <c r="P798" i="1"/>
  <c r="Q798" i="1" a="1"/>
  <c r="Q798" i="1" s="1"/>
  <c r="R798" i="1"/>
  <c r="M799" i="1"/>
  <c r="N799" i="1"/>
  <c r="O799" i="1"/>
  <c r="P799" i="1"/>
  <c r="Q799" i="1" a="1"/>
  <c r="Q799" i="1" s="1"/>
  <c r="R799" i="1"/>
  <c r="M800" i="1"/>
  <c r="S800" i="1" s="1"/>
  <c r="N800" i="1"/>
  <c r="O800" i="1"/>
  <c r="P800" i="1"/>
  <c r="Q800" i="1" a="1"/>
  <c r="Q800" i="1" s="1"/>
  <c r="R800" i="1"/>
  <c r="M801" i="1"/>
  <c r="N801" i="1"/>
  <c r="O801" i="1"/>
  <c r="P801" i="1"/>
  <c r="Q801" i="1" a="1"/>
  <c r="Q801" i="1"/>
  <c r="R801" i="1"/>
  <c r="M802" i="1"/>
  <c r="N802" i="1"/>
  <c r="O802" i="1"/>
  <c r="P802" i="1"/>
  <c r="Q802" i="1" a="1"/>
  <c r="Q802" i="1" s="1"/>
  <c r="R802" i="1"/>
  <c r="M803" i="1"/>
  <c r="N803" i="1"/>
  <c r="O803" i="1"/>
  <c r="P803" i="1"/>
  <c r="Q803" i="1" a="1"/>
  <c r="Q803" i="1" s="1"/>
  <c r="R803" i="1"/>
  <c r="M804" i="1"/>
  <c r="N804" i="1"/>
  <c r="O804" i="1"/>
  <c r="P804" i="1"/>
  <c r="Q804" i="1" a="1"/>
  <c r="Q804" i="1" s="1"/>
  <c r="S804" i="1" s="1"/>
  <c r="R804" i="1"/>
  <c r="M805" i="1"/>
  <c r="S805" i="1" s="1"/>
  <c r="N805" i="1"/>
  <c r="O805" i="1"/>
  <c r="P805" i="1"/>
  <c r="Q805" i="1" a="1"/>
  <c r="Q805" i="1" s="1"/>
  <c r="R805" i="1"/>
  <c r="M806" i="1"/>
  <c r="N806" i="1"/>
  <c r="O806" i="1"/>
  <c r="P806" i="1"/>
  <c r="Q806" i="1" a="1"/>
  <c r="Q806" i="1" s="1"/>
  <c r="R806" i="1"/>
  <c r="M807" i="1"/>
  <c r="N807" i="1"/>
  <c r="O807" i="1"/>
  <c r="P807" i="1"/>
  <c r="Q807" i="1" a="1"/>
  <c r="Q807" i="1" s="1"/>
  <c r="R807" i="1"/>
  <c r="M808" i="1"/>
  <c r="N808" i="1"/>
  <c r="O808" i="1"/>
  <c r="P808" i="1"/>
  <c r="Q808" i="1" a="1"/>
  <c r="Q808" i="1" s="1"/>
  <c r="R808" i="1"/>
  <c r="M809" i="1"/>
  <c r="S809" i="1" s="1"/>
  <c r="N809" i="1"/>
  <c r="O809" i="1"/>
  <c r="P809" i="1"/>
  <c r="Q809" i="1" a="1"/>
  <c r="Q809" i="1"/>
  <c r="R809" i="1"/>
  <c r="M810" i="1"/>
  <c r="S810" i="1" s="1"/>
  <c r="N810" i="1"/>
  <c r="O810" i="1"/>
  <c r="P810" i="1"/>
  <c r="Q810" i="1" a="1"/>
  <c r="Q810" i="1" s="1"/>
  <c r="R810" i="1"/>
  <c r="M811" i="1"/>
  <c r="N811" i="1"/>
  <c r="O811" i="1"/>
  <c r="P811" i="1"/>
  <c r="Q811" i="1" a="1"/>
  <c r="Q811" i="1" s="1"/>
  <c r="R811" i="1"/>
  <c r="M812" i="1"/>
  <c r="N812" i="1"/>
  <c r="O812" i="1"/>
  <c r="P812" i="1"/>
  <c r="Q812" i="1" a="1"/>
  <c r="Q812" i="1" s="1"/>
  <c r="S812" i="1" s="1"/>
  <c r="R812" i="1"/>
  <c r="M813" i="1"/>
  <c r="N813" i="1"/>
  <c r="O813" i="1"/>
  <c r="P813" i="1"/>
  <c r="Q813" i="1" a="1"/>
  <c r="Q813" i="1" s="1"/>
  <c r="R813" i="1"/>
  <c r="M814" i="1"/>
  <c r="N814" i="1"/>
  <c r="O814" i="1"/>
  <c r="P814" i="1"/>
  <c r="Q814" i="1" a="1"/>
  <c r="Q814" i="1" s="1"/>
  <c r="R814" i="1"/>
  <c r="M815" i="1"/>
  <c r="S815" i="1" s="1"/>
  <c r="T815" i="1" s="1"/>
  <c r="N815" i="1"/>
  <c r="O815" i="1"/>
  <c r="P815" i="1"/>
  <c r="Q815" i="1" a="1"/>
  <c r="Q815" i="1" s="1"/>
  <c r="R815" i="1"/>
  <c r="M816" i="1"/>
  <c r="N816" i="1"/>
  <c r="O816" i="1"/>
  <c r="P816" i="1"/>
  <c r="Q816" i="1" a="1"/>
  <c r="Q816" i="1" s="1"/>
  <c r="R816" i="1"/>
  <c r="M817" i="1"/>
  <c r="N817" i="1"/>
  <c r="O817" i="1"/>
  <c r="P817" i="1"/>
  <c r="Q817" i="1" a="1"/>
  <c r="Q817" i="1"/>
  <c r="R817" i="1"/>
  <c r="M818" i="1"/>
  <c r="N818" i="1"/>
  <c r="O818" i="1"/>
  <c r="P818" i="1"/>
  <c r="Q818" i="1" a="1"/>
  <c r="Q818" i="1" s="1"/>
  <c r="R818" i="1"/>
  <c r="M819" i="1"/>
  <c r="N819" i="1"/>
  <c r="O819" i="1"/>
  <c r="P819" i="1"/>
  <c r="Q819" i="1" a="1"/>
  <c r="Q819" i="1" s="1"/>
  <c r="R819" i="1"/>
  <c r="M820" i="1"/>
  <c r="N820" i="1"/>
  <c r="O820" i="1"/>
  <c r="P820" i="1"/>
  <c r="Q820" i="1" a="1"/>
  <c r="Q820" i="1" s="1"/>
  <c r="S820" i="1" s="1"/>
  <c r="R820" i="1"/>
  <c r="M821" i="1"/>
  <c r="S821" i="1" s="1"/>
  <c r="N821" i="1"/>
  <c r="O821" i="1"/>
  <c r="P821" i="1"/>
  <c r="Q821" i="1" a="1"/>
  <c r="Q821" i="1" s="1"/>
  <c r="R821" i="1"/>
  <c r="M822" i="1"/>
  <c r="N822" i="1"/>
  <c r="O822" i="1"/>
  <c r="P822" i="1"/>
  <c r="Q822" i="1" a="1"/>
  <c r="Q822" i="1" s="1"/>
  <c r="R822" i="1"/>
  <c r="M823" i="1"/>
  <c r="N823" i="1"/>
  <c r="O823" i="1"/>
  <c r="P823" i="1"/>
  <c r="Q823" i="1" a="1"/>
  <c r="Q823" i="1" s="1"/>
  <c r="R823" i="1"/>
  <c r="M824" i="1"/>
  <c r="N824" i="1"/>
  <c r="O824" i="1"/>
  <c r="P824" i="1"/>
  <c r="Q824" i="1" a="1"/>
  <c r="Q824" i="1" s="1"/>
  <c r="R824" i="1"/>
  <c r="M825" i="1"/>
  <c r="S825" i="1" s="1"/>
  <c r="N825" i="1"/>
  <c r="O825" i="1"/>
  <c r="P825" i="1"/>
  <c r="Q825" i="1" a="1"/>
  <c r="Q825" i="1"/>
  <c r="R825" i="1"/>
  <c r="M826" i="1"/>
  <c r="S826" i="1" s="1"/>
  <c r="T826" i="1" s="1"/>
  <c r="N826" i="1"/>
  <c r="O826" i="1"/>
  <c r="P826" i="1"/>
  <c r="Q826" i="1" a="1"/>
  <c r="Q826" i="1" s="1"/>
  <c r="R826" i="1"/>
  <c r="M827" i="1"/>
  <c r="N827" i="1"/>
  <c r="O827" i="1"/>
  <c r="P827" i="1"/>
  <c r="Q827" i="1" a="1"/>
  <c r="Q827" i="1" s="1"/>
  <c r="R827" i="1"/>
  <c r="M828" i="1"/>
  <c r="N828" i="1"/>
  <c r="O828" i="1"/>
  <c r="P828" i="1"/>
  <c r="Q828" i="1" a="1"/>
  <c r="Q828" i="1" s="1"/>
  <c r="S828" i="1" s="1"/>
  <c r="R828" i="1"/>
  <c r="M829" i="1"/>
  <c r="N829" i="1"/>
  <c r="O829" i="1"/>
  <c r="P829" i="1"/>
  <c r="Q829" i="1" a="1"/>
  <c r="Q829" i="1" s="1"/>
  <c r="R829" i="1"/>
  <c r="M830" i="1"/>
  <c r="S830" i="1" s="1"/>
  <c r="N830" i="1"/>
  <c r="O830" i="1"/>
  <c r="P830" i="1"/>
  <c r="Q830" i="1" a="1"/>
  <c r="Q830" i="1" s="1"/>
  <c r="R830" i="1"/>
  <c r="M831" i="1"/>
  <c r="N831" i="1"/>
  <c r="O831" i="1"/>
  <c r="P831" i="1"/>
  <c r="Q831" i="1" a="1"/>
  <c r="Q831" i="1" s="1"/>
  <c r="R831" i="1"/>
  <c r="M832" i="1"/>
  <c r="S832" i="1" s="1"/>
  <c r="N832" i="1"/>
  <c r="O832" i="1"/>
  <c r="P832" i="1"/>
  <c r="Q832" i="1" a="1"/>
  <c r="Q832" i="1" s="1"/>
  <c r="R832" i="1"/>
  <c r="M833" i="1"/>
  <c r="S833" i="1" s="1"/>
  <c r="N833" i="1"/>
  <c r="O833" i="1"/>
  <c r="P833" i="1"/>
  <c r="Q833" i="1" a="1"/>
  <c r="Q833" i="1"/>
  <c r="R833" i="1"/>
  <c r="M834" i="1"/>
  <c r="N834" i="1"/>
  <c r="O834" i="1"/>
  <c r="P834" i="1"/>
  <c r="Q834" i="1" a="1"/>
  <c r="Q834" i="1" s="1"/>
  <c r="R834" i="1"/>
  <c r="M835" i="1"/>
  <c r="N835" i="1"/>
  <c r="O835" i="1"/>
  <c r="P835" i="1"/>
  <c r="Q835" i="1" a="1"/>
  <c r="Q835" i="1" s="1"/>
  <c r="R835" i="1"/>
  <c r="M836" i="1"/>
  <c r="N836" i="1"/>
  <c r="O836" i="1"/>
  <c r="P836" i="1"/>
  <c r="Q836" i="1" a="1"/>
  <c r="Q836" i="1" s="1"/>
  <c r="S836" i="1" s="1"/>
  <c r="R836" i="1"/>
  <c r="M837" i="1"/>
  <c r="S837" i="1" s="1"/>
  <c r="N837" i="1"/>
  <c r="O837" i="1"/>
  <c r="P837" i="1"/>
  <c r="Q837" i="1" a="1"/>
  <c r="Q837" i="1" s="1"/>
  <c r="R837" i="1"/>
  <c r="M838" i="1"/>
  <c r="N838" i="1"/>
  <c r="O838" i="1"/>
  <c r="P838" i="1"/>
  <c r="Q838" i="1" a="1"/>
  <c r="Q838" i="1" s="1"/>
  <c r="R838" i="1"/>
  <c r="M839" i="1"/>
  <c r="N839" i="1"/>
  <c r="O839" i="1"/>
  <c r="P839" i="1"/>
  <c r="Q839" i="1" a="1"/>
  <c r="Q839" i="1" s="1"/>
  <c r="R839" i="1"/>
  <c r="M840" i="1"/>
  <c r="N840" i="1"/>
  <c r="O840" i="1"/>
  <c r="P840" i="1"/>
  <c r="Q840" i="1" a="1"/>
  <c r="Q840" i="1" s="1"/>
  <c r="R840" i="1"/>
  <c r="M841" i="1"/>
  <c r="N841" i="1"/>
  <c r="O841" i="1"/>
  <c r="P841" i="1"/>
  <c r="Q841" i="1" a="1"/>
  <c r="Q841" i="1"/>
  <c r="R841" i="1"/>
  <c r="M842" i="1"/>
  <c r="S842" i="1" s="1"/>
  <c r="N842" i="1"/>
  <c r="O842" i="1"/>
  <c r="P842" i="1"/>
  <c r="Q842" i="1" a="1"/>
  <c r="Q842" i="1" s="1"/>
  <c r="R842" i="1"/>
  <c r="M843" i="1"/>
  <c r="N843" i="1"/>
  <c r="O843" i="1"/>
  <c r="P843" i="1"/>
  <c r="Q843" i="1" a="1"/>
  <c r="Q843" i="1" s="1"/>
  <c r="R843" i="1"/>
  <c r="M10" i="1"/>
  <c r="N10" i="1"/>
  <c r="O10" i="1"/>
  <c r="P10" i="1"/>
  <c r="Q10" i="1" a="1"/>
  <c r="Q10" i="1" s="1"/>
  <c r="R10" i="1"/>
  <c r="M11" i="1"/>
  <c r="N11" i="1"/>
  <c r="O11" i="1"/>
  <c r="P11" i="1"/>
  <c r="Q11" i="1" a="1"/>
  <c r="Q11" i="1"/>
  <c r="R11" i="1"/>
  <c r="M12" i="1"/>
  <c r="N12" i="1"/>
  <c r="O12" i="1"/>
  <c r="P12" i="1"/>
  <c r="Q12" i="1" a="1"/>
  <c r="Q12" i="1" s="1"/>
  <c r="S12" i="1" s="1"/>
  <c r="R12" i="1"/>
  <c r="M13" i="1"/>
  <c r="N13" i="1"/>
  <c r="O13" i="1"/>
  <c r="P13" i="1"/>
  <c r="Q13" i="1" a="1"/>
  <c r="Q13" i="1" s="1"/>
  <c r="R13" i="1"/>
  <c r="M14" i="1"/>
  <c r="N14" i="1"/>
  <c r="O14" i="1"/>
  <c r="P14" i="1"/>
  <c r="Q14" i="1" a="1"/>
  <c r="Q14" i="1"/>
  <c r="R14" i="1"/>
  <c r="S14" i="1"/>
  <c r="M15" i="1"/>
  <c r="N15" i="1"/>
  <c r="O15" i="1"/>
  <c r="P15" i="1"/>
  <c r="Q15" i="1" a="1"/>
  <c r="Q15" i="1" s="1"/>
  <c r="R15" i="1"/>
  <c r="M16" i="1"/>
  <c r="N16" i="1"/>
  <c r="O16" i="1"/>
  <c r="P16" i="1"/>
  <c r="Q16" i="1" a="1"/>
  <c r="Q16" i="1" s="1"/>
  <c r="R16" i="1"/>
  <c r="M17" i="1"/>
  <c r="N17" i="1"/>
  <c r="O17" i="1"/>
  <c r="P17" i="1"/>
  <c r="Q17" i="1" a="1"/>
  <c r="Q17" i="1"/>
  <c r="R17" i="1"/>
  <c r="S17" i="1"/>
  <c r="T17" i="1"/>
  <c r="V17" i="1"/>
  <c r="M18" i="1"/>
  <c r="N18" i="1"/>
  <c r="O18" i="1"/>
  <c r="P18" i="1"/>
  <c r="Q18" i="1" a="1"/>
  <c r="Q18" i="1" s="1"/>
  <c r="R18" i="1"/>
  <c r="M19" i="1"/>
  <c r="S19" i="1" s="1"/>
  <c r="N19" i="1"/>
  <c r="O19" i="1"/>
  <c r="P19" i="1"/>
  <c r="Q19" i="1" a="1"/>
  <c r="Q19" i="1"/>
  <c r="R19" i="1"/>
  <c r="M20" i="1"/>
  <c r="N20" i="1"/>
  <c r="O20" i="1"/>
  <c r="P20" i="1"/>
  <c r="Q20" i="1" a="1"/>
  <c r="Q20" i="1" s="1"/>
  <c r="S20" i="1" s="1"/>
  <c r="R20" i="1"/>
  <c r="M21" i="1"/>
  <c r="N21" i="1"/>
  <c r="O21" i="1"/>
  <c r="P21" i="1"/>
  <c r="Q21" i="1" a="1"/>
  <c r="Q21" i="1" s="1"/>
  <c r="R21" i="1"/>
  <c r="M22" i="1"/>
  <c r="N22" i="1"/>
  <c r="O22" i="1"/>
  <c r="P22" i="1"/>
  <c r="Q22" i="1" a="1"/>
  <c r="Q22" i="1"/>
  <c r="R22" i="1"/>
  <c r="S22" i="1"/>
  <c r="M23" i="1"/>
  <c r="N23" i="1"/>
  <c r="O23" i="1"/>
  <c r="P23" i="1"/>
  <c r="Q23" i="1" a="1"/>
  <c r="Q23" i="1" s="1"/>
  <c r="R23" i="1"/>
  <c r="M24" i="1"/>
  <c r="S24" i="1" s="1"/>
  <c r="N24" i="1"/>
  <c r="O24" i="1"/>
  <c r="P24" i="1"/>
  <c r="Q24" i="1" a="1"/>
  <c r="Q24" i="1" s="1"/>
  <c r="R24" i="1"/>
  <c r="M25" i="1"/>
  <c r="N25" i="1"/>
  <c r="O25" i="1"/>
  <c r="P25" i="1"/>
  <c r="Q25" i="1" a="1"/>
  <c r="Q25" i="1"/>
  <c r="R25" i="1"/>
  <c r="S25" i="1"/>
  <c r="T25" i="1"/>
  <c r="V25" i="1"/>
  <c r="M26" i="1"/>
  <c r="S26" i="1" s="1"/>
  <c r="N26" i="1"/>
  <c r="O26" i="1"/>
  <c r="P26" i="1"/>
  <c r="Q26" i="1" a="1"/>
  <c r="Q26" i="1" s="1"/>
  <c r="R26" i="1"/>
  <c r="M27" i="1"/>
  <c r="N27" i="1"/>
  <c r="O27" i="1"/>
  <c r="P27" i="1"/>
  <c r="Q27" i="1" a="1"/>
  <c r="Q27" i="1"/>
  <c r="R27" i="1"/>
  <c r="M28" i="1"/>
  <c r="N28" i="1"/>
  <c r="O28" i="1"/>
  <c r="P28" i="1"/>
  <c r="Q28" i="1" a="1"/>
  <c r="Q28" i="1" s="1"/>
  <c r="R28" i="1"/>
  <c r="M29" i="1"/>
  <c r="N29" i="1"/>
  <c r="O29" i="1"/>
  <c r="P29" i="1"/>
  <c r="Q29" i="1" a="1"/>
  <c r="Q29" i="1" s="1"/>
  <c r="R29" i="1"/>
  <c r="M30" i="1"/>
  <c r="N30" i="1"/>
  <c r="O30" i="1"/>
  <c r="P30" i="1"/>
  <c r="Q30" i="1" a="1"/>
  <c r="Q30" i="1" s="1"/>
  <c r="S30" i="1" s="1"/>
  <c r="R30" i="1"/>
  <c r="M31" i="1"/>
  <c r="S31" i="1" s="1"/>
  <c r="N31" i="1"/>
  <c r="O31" i="1"/>
  <c r="P31" i="1"/>
  <c r="Q31" i="1" a="1"/>
  <c r="Q31" i="1" s="1"/>
  <c r="R31" i="1"/>
  <c r="M32" i="1"/>
  <c r="N32" i="1"/>
  <c r="O32" i="1"/>
  <c r="P32" i="1"/>
  <c r="Q32" i="1" a="1"/>
  <c r="Q32" i="1" s="1"/>
  <c r="R32" i="1"/>
  <c r="M33" i="1"/>
  <c r="N33" i="1"/>
  <c r="O33" i="1"/>
  <c r="P33" i="1"/>
  <c r="Q33" i="1" a="1"/>
  <c r="Q33" i="1" s="1"/>
  <c r="S33" i="1" s="1"/>
  <c r="T33" i="1" s="1"/>
  <c r="R33" i="1"/>
  <c r="M34" i="1"/>
  <c r="N34" i="1"/>
  <c r="O34" i="1"/>
  <c r="P34" i="1"/>
  <c r="Q34" i="1" a="1"/>
  <c r="Q34" i="1" s="1"/>
  <c r="R34" i="1"/>
  <c r="M35" i="1"/>
  <c r="N35" i="1"/>
  <c r="O35" i="1"/>
  <c r="P35" i="1"/>
  <c r="Q35" i="1" a="1"/>
  <c r="Q35" i="1"/>
  <c r="R35" i="1"/>
  <c r="M36" i="1"/>
  <c r="S36" i="1" s="1"/>
  <c r="N36" i="1"/>
  <c r="O36" i="1"/>
  <c r="P36" i="1"/>
  <c r="Q36" i="1" a="1"/>
  <c r="Q36" i="1" s="1"/>
  <c r="R36" i="1"/>
  <c r="M37" i="1"/>
  <c r="N37" i="1"/>
  <c r="O37" i="1"/>
  <c r="P37" i="1"/>
  <c r="Q37" i="1" a="1"/>
  <c r="Q37" i="1" s="1"/>
  <c r="R37" i="1"/>
  <c r="M38" i="1"/>
  <c r="N38" i="1"/>
  <c r="O38" i="1"/>
  <c r="P38" i="1"/>
  <c r="Q38" i="1" a="1"/>
  <c r="Q38" i="1" s="1"/>
  <c r="S38" i="1" s="1"/>
  <c r="R38" i="1"/>
  <c r="M39" i="1"/>
  <c r="N39" i="1"/>
  <c r="O39" i="1"/>
  <c r="P39" i="1"/>
  <c r="Q39" i="1" a="1"/>
  <c r="Q39" i="1" s="1"/>
  <c r="R39" i="1"/>
  <c r="M40" i="1"/>
  <c r="N40" i="1"/>
  <c r="O40" i="1"/>
  <c r="P40" i="1"/>
  <c r="Q40" i="1" a="1"/>
  <c r="Q40" i="1" s="1"/>
  <c r="R40" i="1"/>
  <c r="M41" i="1"/>
  <c r="N41" i="1"/>
  <c r="O41" i="1"/>
  <c r="P41" i="1"/>
  <c r="Q41" i="1" a="1"/>
  <c r="Q41" i="1" s="1"/>
  <c r="S41" i="1" s="1"/>
  <c r="T41" i="1" s="1"/>
  <c r="R41" i="1"/>
  <c r="V41" i="1"/>
  <c r="M42" i="1"/>
  <c r="N42" i="1"/>
  <c r="O42" i="1"/>
  <c r="P42" i="1"/>
  <c r="Q42" i="1" a="1"/>
  <c r="Q42" i="1" s="1"/>
  <c r="R42" i="1"/>
  <c r="M43" i="1"/>
  <c r="N43" i="1"/>
  <c r="O43" i="1"/>
  <c r="P43" i="1"/>
  <c r="Q43" i="1" a="1"/>
  <c r="Q43" i="1"/>
  <c r="R43" i="1"/>
  <c r="M44" i="1"/>
  <c r="N44" i="1"/>
  <c r="O44" i="1"/>
  <c r="P44" i="1"/>
  <c r="Q44" i="1" a="1"/>
  <c r="Q44" i="1" s="1"/>
  <c r="R44" i="1"/>
  <c r="M45" i="1"/>
  <c r="N45" i="1"/>
  <c r="O45" i="1"/>
  <c r="P45" i="1"/>
  <c r="Q45" i="1" a="1"/>
  <c r="Q45" i="1" s="1"/>
  <c r="R45" i="1"/>
  <c r="M46" i="1"/>
  <c r="N46" i="1"/>
  <c r="O46" i="1"/>
  <c r="P46" i="1"/>
  <c r="Q46" i="1" a="1"/>
  <c r="Q46" i="1" s="1"/>
  <c r="R46" i="1"/>
  <c r="S46" i="1"/>
  <c r="M47" i="1"/>
  <c r="N47" i="1"/>
  <c r="O47" i="1"/>
  <c r="P47" i="1"/>
  <c r="Q47" i="1" a="1"/>
  <c r="Q47" i="1" s="1"/>
  <c r="R47" i="1"/>
  <c r="M48" i="1"/>
  <c r="S48" i="1" s="1"/>
  <c r="N48" i="1"/>
  <c r="O48" i="1"/>
  <c r="P48" i="1"/>
  <c r="Q48" i="1" a="1"/>
  <c r="Q48" i="1" s="1"/>
  <c r="R48" i="1"/>
  <c r="M49" i="1"/>
  <c r="N49" i="1"/>
  <c r="O49" i="1"/>
  <c r="P49" i="1"/>
  <c r="Q49" i="1" a="1"/>
  <c r="Q49" i="1" s="1"/>
  <c r="S49" i="1" s="1"/>
  <c r="T49" i="1" s="1"/>
  <c r="R49" i="1"/>
  <c r="M50" i="1"/>
  <c r="N50" i="1"/>
  <c r="O50" i="1"/>
  <c r="P50" i="1"/>
  <c r="Q50" i="1" a="1"/>
  <c r="Q50" i="1" s="1"/>
  <c r="R50" i="1"/>
  <c r="M51" i="1"/>
  <c r="S51" i="1" s="1"/>
  <c r="N51" i="1"/>
  <c r="O51" i="1"/>
  <c r="P51" i="1"/>
  <c r="Q51" i="1" a="1"/>
  <c r="Q51" i="1"/>
  <c r="R51" i="1"/>
  <c r="M52" i="1"/>
  <c r="N52" i="1"/>
  <c r="O52" i="1"/>
  <c r="P52" i="1"/>
  <c r="Q52" i="1" a="1"/>
  <c r="Q52" i="1" s="1"/>
  <c r="R52" i="1"/>
  <c r="M53" i="1"/>
  <c r="N53" i="1"/>
  <c r="O53" i="1"/>
  <c r="P53" i="1"/>
  <c r="Q53" i="1" a="1"/>
  <c r="Q53" i="1" s="1"/>
  <c r="R53" i="1"/>
  <c r="M54" i="1"/>
  <c r="N54" i="1"/>
  <c r="O54" i="1"/>
  <c r="P54" i="1"/>
  <c r="Q54" i="1" a="1"/>
  <c r="Q54" i="1"/>
  <c r="R54" i="1"/>
  <c r="S54" i="1"/>
  <c r="M55" i="1"/>
  <c r="S55" i="1" s="1"/>
  <c r="N55" i="1"/>
  <c r="O55" i="1"/>
  <c r="P55" i="1"/>
  <c r="Q55" i="1" a="1"/>
  <c r="Q55" i="1" s="1"/>
  <c r="R55" i="1"/>
  <c r="M56" i="1"/>
  <c r="S56" i="1" s="1"/>
  <c r="N56" i="1"/>
  <c r="O56" i="1"/>
  <c r="P56" i="1"/>
  <c r="Q56" i="1" a="1"/>
  <c r="Q56" i="1" s="1"/>
  <c r="R56" i="1"/>
  <c r="M57" i="1"/>
  <c r="N57" i="1"/>
  <c r="O57" i="1"/>
  <c r="P57" i="1"/>
  <c r="Q57" i="1" a="1"/>
  <c r="Q57" i="1" s="1"/>
  <c r="S57" i="1" s="1"/>
  <c r="R57" i="1"/>
  <c r="T57" i="1"/>
  <c r="V57" i="1"/>
  <c r="M58" i="1"/>
  <c r="S58" i="1" s="1"/>
  <c r="N58" i="1"/>
  <c r="O58" i="1"/>
  <c r="P58" i="1"/>
  <c r="Q58" i="1" a="1"/>
  <c r="Q58" i="1" s="1"/>
  <c r="R58" i="1"/>
  <c r="M59" i="1"/>
  <c r="N59" i="1"/>
  <c r="O59" i="1"/>
  <c r="P59" i="1"/>
  <c r="Q59" i="1" a="1"/>
  <c r="Q59" i="1"/>
  <c r="R59" i="1"/>
  <c r="M60" i="1"/>
  <c r="N60" i="1"/>
  <c r="O60" i="1"/>
  <c r="P60" i="1"/>
  <c r="Q60" i="1" a="1"/>
  <c r="Q60" i="1" s="1"/>
  <c r="R60" i="1"/>
  <c r="M61" i="1"/>
  <c r="S61" i="1" s="1"/>
  <c r="N61" i="1"/>
  <c r="O61" i="1"/>
  <c r="P61" i="1"/>
  <c r="Q61" i="1" a="1"/>
  <c r="Q61" i="1" s="1"/>
  <c r="R61" i="1"/>
  <c r="M62" i="1"/>
  <c r="N62" i="1"/>
  <c r="O62" i="1"/>
  <c r="P62" i="1"/>
  <c r="Q62" i="1" a="1"/>
  <c r="Q62" i="1"/>
  <c r="R62" i="1"/>
  <c r="S62" i="1" s="1"/>
  <c r="M63" i="1"/>
  <c r="S63" i="1" s="1"/>
  <c r="N63" i="1"/>
  <c r="O63" i="1"/>
  <c r="P63" i="1"/>
  <c r="Q63" i="1" a="1"/>
  <c r="Q63" i="1" s="1"/>
  <c r="R63" i="1"/>
  <c r="M64" i="1"/>
  <c r="N64" i="1"/>
  <c r="O64" i="1"/>
  <c r="P64" i="1"/>
  <c r="Q64" i="1" a="1"/>
  <c r="Q64" i="1" s="1"/>
  <c r="R64" i="1"/>
  <c r="M65" i="1"/>
  <c r="N65" i="1"/>
  <c r="O65" i="1"/>
  <c r="P65" i="1"/>
  <c r="Q65" i="1" a="1"/>
  <c r="Q65" i="1" s="1"/>
  <c r="S65" i="1" s="1"/>
  <c r="R65" i="1"/>
  <c r="T65" i="1"/>
  <c r="M66" i="1"/>
  <c r="N66" i="1"/>
  <c r="O66" i="1"/>
  <c r="P66" i="1"/>
  <c r="Q66" i="1" a="1"/>
  <c r="Q66" i="1" s="1"/>
  <c r="R66" i="1"/>
  <c r="M67" i="1"/>
  <c r="N67" i="1"/>
  <c r="O67" i="1"/>
  <c r="P67" i="1"/>
  <c r="Q67" i="1" a="1"/>
  <c r="Q67" i="1" s="1"/>
  <c r="R67" i="1"/>
  <c r="M68" i="1"/>
  <c r="S68" i="1" s="1"/>
  <c r="N68" i="1"/>
  <c r="O68" i="1"/>
  <c r="P68" i="1"/>
  <c r="Q68" i="1" a="1"/>
  <c r="Q68" i="1" s="1"/>
  <c r="R68" i="1"/>
  <c r="M69" i="1"/>
  <c r="N69" i="1"/>
  <c r="O69" i="1"/>
  <c r="P69" i="1"/>
  <c r="Q69" i="1" a="1"/>
  <c r="Q69" i="1" s="1"/>
  <c r="R69" i="1"/>
  <c r="M70" i="1"/>
  <c r="N70" i="1"/>
  <c r="O70" i="1"/>
  <c r="P70" i="1"/>
  <c r="Q70" i="1" a="1"/>
  <c r="Q70" i="1" s="1"/>
  <c r="S70" i="1" s="1"/>
  <c r="R70" i="1"/>
  <c r="M71" i="1"/>
  <c r="N71" i="1"/>
  <c r="O71" i="1"/>
  <c r="P71" i="1"/>
  <c r="Q71" i="1" a="1"/>
  <c r="Q71" i="1" s="1"/>
  <c r="R71" i="1"/>
  <c r="M72" i="1"/>
  <c r="N72" i="1"/>
  <c r="O72" i="1"/>
  <c r="P72" i="1"/>
  <c r="Q72" i="1" a="1"/>
  <c r="Q72" i="1" s="1"/>
  <c r="R72" i="1"/>
  <c r="M73" i="1"/>
  <c r="N73" i="1"/>
  <c r="O73" i="1"/>
  <c r="P73" i="1"/>
  <c r="Q73" i="1" a="1"/>
  <c r="Q73" i="1" s="1"/>
  <c r="S73" i="1" s="1"/>
  <c r="R73" i="1"/>
  <c r="T73" i="1"/>
  <c r="V73" i="1"/>
  <c r="M74" i="1"/>
  <c r="N74" i="1"/>
  <c r="O74" i="1"/>
  <c r="P74" i="1"/>
  <c r="Q74" i="1" a="1"/>
  <c r="Q74" i="1" s="1"/>
  <c r="R74" i="1"/>
  <c r="M75" i="1"/>
  <c r="N75" i="1"/>
  <c r="O75" i="1"/>
  <c r="P75" i="1"/>
  <c r="Q75" i="1" a="1"/>
  <c r="Q75" i="1" s="1"/>
  <c r="R75" i="1"/>
  <c r="M76" i="1"/>
  <c r="N76" i="1"/>
  <c r="O76" i="1"/>
  <c r="P76" i="1"/>
  <c r="Q76" i="1" a="1"/>
  <c r="Q76" i="1" s="1"/>
  <c r="R76" i="1"/>
  <c r="M77" i="1"/>
  <c r="S77" i="1" s="1"/>
  <c r="N77" i="1"/>
  <c r="O77" i="1"/>
  <c r="P77" i="1"/>
  <c r="Q77" i="1" a="1"/>
  <c r="Q77" i="1" s="1"/>
  <c r="R77" i="1"/>
  <c r="M78" i="1"/>
  <c r="N78" i="1"/>
  <c r="O78" i="1"/>
  <c r="P78" i="1"/>
  <c r="Q78" i="1" a="1"/>
  <c r="Q78" i="1" s="1"/>
  <c r="R78" i="1"/>
  <c r="S78" i="1"/>
  <c r="M79" i="1"/>
  <c r="N79" i="1"/>
  <c r="O79" i="1"/>
  <c r="P79" i="1"/>
  <c r="Q79" i="1" a="1"/>
  <c r="Q79" i="1" s="1"/>
  <c r="R79" i="1"/>
  <c r="M80" i="1"/>
  <c r="N80" i="1"/>
  <c r="O80" i="1"/>
  <c r="P80" i="1"/>
  <c r="Q80" i="1" a="1"/>
  <c r="Q80" i="1" s="1"/>
  <c r="R80" i="1"/>
  <c r="M81" i="1"/>
  <c r="N81" i="1"/>
  <c r="O81" i="1"/>
  <c r="P81" i="1"/>
  <c r="Q81" i="1" a="1"/>
  <c r="Q81" i="1" s="1"/>
  <c r="S81" i="1" s="1"/>
  <c r="T81" i="1" s="1"/>
  <c r="V81" i="1" s="1"/>
  <c r="R81" i="1"/>
  <c r="M82" i="1"/>
  <c r="N82" i="1"/>
  <c r="O82" i="1"/>
  <c r="P82" i="1"/>
  <c r="Q82" i="1" a="1"/>
  <c r="Q82" i="1" s="1"/>
  <c r="R82" i="1"/>
  <c r="M83" i="1"/>
  <c r="N83" i="1"/>
  <c r="O83" i="1"/>
  <c r="P83" i="1"/>
  <c r="Q83" i="1" a="1"/>
  <c r="Q83" i="1" s="1"/>
  <c r="R83" i="1"/>
  <c r="M84" i="1"/>
  <c r="N84" i="1"/>
  <c r="O84" i="1"/>
  <c r="P84" i="1"/>
  <c r="Q84" i="1" a="1"/>
  <c r="Q84" i="1" s="1"/>
  <c r="R84" i="1"/>
  <c r="M85" i="1"/>
  <c r="N85" i="1"/>
  <c r="O85" i="1"/>
  <c r="P85" i="1"/>
  <c r="Q85" i="1" a="1"/>
  <c r="Q85" i="1" s="1"/>
  <c r="R85" i="1"/>
  <c r="M86" i="1"/>
  <c r="N86" i="1"/>
  <c r="O86" i="1"/>
  <c r="P86" i="1"/>
  <c r="Q86" i="1" a="1"/>
  <c r="Q86" i="1" s="1"/>
  <c r="R86" i="1"/>
  <c r="S86" i="1"/>
  <c r="M87" i="1"/>
  <c r="N87" i="1"/>
  <c r="O87" i="1"/>
  <c r="P87" i="1"/>
  <c r="Q87" i="1" a="1"/>
  <c r="Q87" i="1" s="1"/>
  <c r="R87" i="1"/>
  <c r="M88" i="1"/>
  <c r="S88" i="1" s="1"/>
  <c r="N88" i="1"/>
  <c r="O88" i="1"/>
  <c r="P88" i="1"/>
  <c r="Q88" i="1" a="1"/>
  <c r="Q88" i="1" s="1"/>
  <c r="R88" i="1"/>
  <c r="M89" i="1"/>
  <c r="N89" i="1"/>
  <c r="O89" i="1"/>
  <c r="P89" i="1"/>
  <c r="Q89" i="1" a="1"/>
  <c r="Q89" i="1" s="1"/>
  <c r="R89" i="1"/>
  <c r="M90" i="1"/>
  <c r="S90" i="1" s="1"/>
  <c r="N90" i="1"/>
  <c r="O90" i="1"/>
  <c r="P90" i="1"/>
  <c r="Q90" i="1" a="1"/>
  <c r="Q90" i="1" s="1"/>
  <c r="R90" i="1"/>
  <c r="M91" i="1"/>
  <c r="N91" i="1"/>
  <c r="O91" i="1"/>
  <c r="P91" i="1"/>
  <c r="Q91" i="1" a="1"/>
  <c r="Q91" i="1" s="1"/>
  <c r="R91" i="1"/>
  <c r="M92" i="1"/>
  <c r="N92" i="1"/>
  <c r="O92" i="1"/>
  <c r="P92" i="1"/>
  <c r="Q92" i="1" a="1"/>
  <c r="Q92" i="1" s="1"/>
  <c r="R92" i="1"/>
  <c r="M93" i="1"/>
  <c r="N93" i="1"/>
  <c r="O93" i="1"/>
  <c r="P93" i="1"/>
  <c r="Q93" i="1" a="1"/>
  <c r="Q93" i="1" s="1"/>
  <c r="R93" i="1"/>
  <c r="M94" i="1"/>
  <c r="N94" i="1"/>
  <c r="O94" i="1"/>
  <c r="P94" i="1"/>
  <c r="Q94" i="1" a="1"/>
  <c r="Q94" i="1" s="1"/>
  <c r="S94" i="1" s="1"/>
  <c r="R94" i="1"/>
  <c r="M95" i="1"/>
  <c r="S95" i="1" s="1"/>
  <c r="N95" i="1"/>
  <c r="O95" i="1"/>
  <c r="P95" i="1"/>
  <c r="Q95" i="1" a="1"/>
  <c r="Q95" i="1" s="1"/>
  <c r="R95" i="1"/>
  <c r="M96" i="1"/>
  <c r="N96" i="1"/>
  <c r="O96" i="1"/>
  <c r="P96" i="1"/>
  <c r="Q96" i="1" a="1"/>
  <c r="Q96" i="1" s="1"/>
  <c r="R96" i="1"/>
  <c r="M97" i="1"/>
  <c r="N97" i="1"/>
  <c r="O97" i="1"/>
  <c r="S97" i="1" s="1"/>
  <c r="T97" i="1" s="1"/>
  <c r="P97" i="1"/>
  <c r="Q97" i="1" a="1"/>
  <c r="Q97" i="1" s="1"/>
  <c r="R97" i="1"/>
  <c r="M98" i="1"/>
  <c r="N98" i="1"/>
  <c r="O98" i="1"/>
  <c r="P98" i="1"/>
  <c r="Q98" i="1" a="1"/>
  <c r="Q98" i="1" s="1"/>
  <c r="R98" i="1"/>
  <c r="M99" i="1"/>
  <c r="N99" i="1"/>
  <c r="O99" i="1"/>
  <c r="P99" i="1"/>
  <c r="Q99" i="1" a="1"/>
  <c r="Q99" i="1"/>
  <c r="R99" i="1"/>
  <c r="M100" i="1"/>
  <c r="N100" i="1"/>
  <c r="O100" i="1"/>
  <c r="P100" i="1"/>
  <c r="Q100" i="1" a="1"/>
  <c r="Q100" i="1" s="1"/>
  <c r="R100" i="1"/>
  <c r="M101" i="1"/>
  <c r="N101" i="1"/>
  <c r="O101" i="1"/>
  <c r="P101" i="1"/>
  <c r="Q101" i="1" a="1"/>
  <c r="Q101" i="1" s="1"/>
  <c r="R101" i="1"/>
  <c r="M102" i="1"/>
  <c r="S102" i="1" s="1"/>
  <c r="N102" i="1"/>
  <c r="O102" i="1"/>
  <c r="P102" i="1"/>
  <c r="Q102" i="1" a="1"/>
  <c r="Q102" i="1" s="1"/>
  <c r="R102" i="1"/>
  <c r="M103" i="1"/>
  <c r="N103" i="1"/>
  <c r="O103" i="1"/>
  <c r="P103" i="1"/>
  <c r="Q103" i="1" a="1"/>
  <c r="Q103" i="1" s="1"/>
  <c r="R103" i="1"/>
  <c r="M104" i="1"/>
  <c r="S104" i="1" s="1"/>
  <c r="N104" i="1"/>
  <c r="O104" i="1"/>
  <c r="P104" i="1"/>
  <c r="Q104" i="1" a="1"/>
  <c r="Q104" i="1" s="1"/>
  <c r="R104" i="1"/>
  <c r="M105" i="1"/>
  <c r="N105" i="1"/>
  <c r="O105" i="1"/>
  <c r="P105" i="1"/>
  <c r="Q105" i="1" a="1"/>
  <c r="Q105" i="1" s="1"/>
  <c r="R105" i="1"/>
  <c r="M106" i="1"/>
  <c r="N106" i="1"/>
  <c r="O106" i="1"/>
  <c r="P106" i="1"/>
  <c r="Q106" i="1" a="1"/>
  <c r="Q106" i="1" s="1"/>
  <c r="R106" i="1"/>
  <c r="M107" i="1"/>
  <c r="N107" i="1"/>
  <c r="O107" i="1"/>
  <c r="P107" i="1"/>
  <c r="Q107" i="1" a="1"/>
  <c r="Q107" i="1" s="1"/>
  <c r="R107" i="1"/>
  <c r="M108" i="1"/>
  <c r="N108" i="1"/>
  <c r="O108" i="1"/>
  <c r="P108" i="1"/>
  <c r="Q108" i="1" a="1"/>
  <c r="Q108" i="1" s="1"/>
  <c r="R108" i="1"/>
  <c r="M109" i="1"/>
  <c r="N109" i="1"/>
  <c r="O109" i="1"/>
  <c r="P109" i="1"/>
  <c r="Q109" i="1" a="1"/>
  <c r="Q109" i="1" s="1"/>
  <c r="R109" i="1"/>
  <c r="M110" i="1"/>
  <c r="N110" i="1"/>
  <c r="O110" i="1"/>
  <c r="P110" i="1"/>
  <c r="Q110" i="1" a="1"/>
  <c r="Q110" i="1" s="1"/>
  <c r="R110" i="1"/>
  <c r="M111" i="1"/>
  <c r="N111" i="1"/>
  <c r="O111" i="1"/>
  <c r="P111" i="1"/>
  <c r="Q111" i="1" a="1"/>
  <c r="Q111" i="1" s="1"/>
  <c r="R111" i="1"/>
  <c r="M112" i="1"/>
  <c r="N112" i="1"/>
  <c r="O112" i="1"/>
  <c r="P112" i="1"/>
  <c r="Q112" i="1" a="1"/>
  <c r="Q112" i="1" s="1"/>
  <c r="R112" i="1"/>
  <c r="M113" i="1"/>
  <c r="N113" i="1"/>
  <c r="O113" i="1"/>
  <c r="S113" i="1" s="1"/>
  <c r="P113" i="1"/>
  <c r="Q113" i="1" a="1"/>
  <c r="Q113" i="1" s="1"/>
  <c r="R113" i="1"/>
  <c r="M114" i="1"/>
  <c r="N114" i="1"/>
  <c r="O114" i="1"/>
  <c r="P114" i="1"/>
  <c r="Q114" i="1" a="1"/>
  <c r="Q114" i="1" s="1"/>
  <c r="R114" i="1"/>
  <c r="M115" i="1"/>
  <c r="N115" i="1"/>
  <c r="O115" i="1"/>
  <c r="P115" i="1"/>
  <c r="Q115" i="1" a="1"/>
  <c r="Q115" i="1" s="1"/>
  <c r="R115" i="1"/>
  <c r="M116" i="1"/>
  <c r="N116" i="1"/>
  <c r="O116" i="1"/>
  <c r="P116" i="1"/>
  <c r="Q116" i="1" a="1"/>
  <c r="Q116" i="1" s="1"/>
  <c r="R116" i="1"/>
  <c r="M117" i="1"/>
  <c r="N117" i="1"/>
  <c r="O117" i="1"/>
  <c r="P117" i="1"/>
  <c r="Q117" i="1" a="1"/>
  <c r="Q117" i="1" s="1"/>
  <c r="R117" i="1"/>
  <c r="M118" i="1"/>
  <c r="N118" i="1"/>
  <c r="O118" i="1"/>
  <c r="P118" i="1"/>
  <c r="Q118" i="1" a="1"/>
  <c r="Q118" i="1" s="1"/>
  <c r="S118" i="1" s="1"/>
  <c r="R118" i="1"/>
  <c r="M119" i="1"/>
  <c r="N119" i="1"/>
  <c r="O119" i="1"/>
  <c r="P119" i="1"/>
  <c r="Q119" i="1" a="1"/>
  <c r="Q119" i="1" s="1"/>
  <c r="R119" i="1"/>
  <c r="M120" i="1"/>
  <c r="N120" i="1"/>
  <c r="O120" i="1"/>
  <c r="P120" i="1"/>
  <c r="Q120" i="1" a="1"/>
  <c r="Q120" i="1" s="1"/>
  <c r="R120" i="1"/>
  <c r="M121" i="1"/>
  <c r="S121" i="1" s="1"/>
  <c r="N121" i="1"/>
  <c r="O121" i="1"/>
  <c r="P121" i="1"/>
  <c r="Q121" i="1" a="1"/>
  <c r="Q121" i="1" s="1"/>
  <c r="R121" i="1"/>
  <c r="M122" i="1"/>
  <c r="N122" i="1"/>
  <c r="O122" i="1"/>
  <c r="P122" i="1"/>
  <c r="Q122" i="1" a="1"/>
  <c r="Q122" i="1" s="1"/>
  <c r="R122" i="1"/>
  <c r="M123" i="1"/>
  <c r="N123" i="1"/>
  <c r="O123" i="1"/>
  <c r="P123" i="1"/>
  <c r="Q123" i="1" a="1"/>
  <c r="Q123" i="1" s="1"/>
  <c r="R123" i="1"/>
  <c r="M124" i="1"/>
  <c r="N124" i="1"/>
  <c r="O124" i="1"/>
  <c r="P124" i="1"/>
  <c r="Q124" i="1" a="1"/>
  <c r="Q124" i="1" s="1"/>
  <c r="R124" i="1"/>
  <c r="M125" i="1"/>
  <c r="N125" i="1"/>
  <c r="O125" i="1"/>
  <c r="P125" i="1"/>
  <c r="Q125" i="1" a="1"/>
  <c r="Q125" i="1" s="1"/>
  <c r="R125" i="1"/>
  <c r="M126" i="1"/>
  <c r="N126" i="1"/>
  <c r="O126" i="1"/>
  <c r="P126" i="1"/>
  <c r="Q126" i="1" a="1"/>
  <c r="Q126" i="1"/>
  <c r="S126" i="1" s="1"/>
  <c r="R126" i="1"/>
  <c r="M127" i="1"/>
  <c r="S127" i="1" s="1"/>
  <c r="N127" i="1"/>
  <c r="O127" i="1"/>
  <c r="P127" i="1"/>
  <c r="Q127" i="1" a="1"/>
  <c r="Q127" i="1" s="1"/>
  <c r="R127" i="1"/>
  <c r="M128" i="1"/>
  <c r="N128" i="1"/>
  <c r="O128" i="1"/>
  <c r="P128" i="1"/>
  <c r="Q128" i="1" a="1"/>
  <c r="Q128" i="1" s="1"/>
  <c r="R128" i="1"/>
  <c r="M129" i="1"/>
  <c r="N129" i="1"/>
  <c r="O129" i="1"/>
  <c r="S129" i="1" s="1"/>
  <c r="P129" i="1"/>
  <c r="Q129" i="1" a="1"/>
  <c r="Q129" i="1" s="1"/>
  <c r="R129" i="1"/>
  <c r="M130" i="1"/>
  <c r="N130" i="1"/>
  <c r="O130" i="1"/>
  <c r="P130" i="1"/>
  <c r="Q130" i="1" a="1"/>
  <c r="Q130" i="1" s="1"/>
  <c r="R130" i="1"/>
  <c r="M131" i="1"/>
  <c r="N131" i="1"/>
  <c r="O131" i="1"/>
  <c r="P131" i="1"/>
  <c r="Q131" i="1" a="1"/>
  <c r="Q131" i="1" s="1"/>
  <c r="R131" i="1"/>
  <c r="M132" i="1"/>
  <c r="N132" i="1"/>
  <c r="O132" i="1"/>
  <c r="P132" i="1"/>
  <c r="Q132" i="1" a="1"/>
  <c r="Q132" i="1" s="1"/>
  <c r="R132" i="1"/>
  <c r="M133" i="1"/>
  <c r="N133" i="1"/>
  <c r="O133" i="1"/>
  <c r="P133" i="1"/>
  <c r="Q133" i="1" a="1"/>
  <c r="Q133" i="1" s="1"/>
  <c r="R133" i="1"/>
  <c r="M134" i="1"/>
  <c r="N134" i="1"/>
  <c r="O134" i="1"/>
  <c r="P134" i="1"/>
  <c r="Q134" i="1" a="1"/>
  <c r="Q134" i="1"/>
  <c r="S134" i="1" s="1"/>
  <c r="R134" i="1"/>
  <c r="M135" i="1"/>
  <c r="N135" i="1"/>
  <c r="O135" i="1"/>
  <c r="P135" i="1"/>
  <c r="Q135" i="1" a="1"/>
  <c r="Q135" i="1" s="1"/>
  <c r="R135" i="1"/>
  <c r="M136" i="1"/>
  <c r="N136" i="1"/>
  <c r="O136" i="1"/>
  <c r="P136" i="1"/>
  <c r="Q136" i="1" a="1"/>
  <c r="Q136" i="1" s="1"/>
  <c r="R136" i="1"/>
  <c r="M137" i="1"/>
  <c r="N137" i="1"/>
  <c r="O137" i="1"/>
  <c r="P137" i="1"/>
  <c r="Q137" i="1" a="1"/>
  <c r="Q137" i="1" s="1"/>
  <c r="R137" i="1"/>
  <c r="M138" i="1"/>
  <c r="N138" i="1"/>
  <c r="O138" i="1"/>
  <c r="P138" i="1"/>
  <c r="Q138" i="1" a="1"/>
  <c r="Q138" i="1" s="1"/>
  <c r="R138" i="1"/>
  <c r="M139" i="1"/>
  <c r="N139" i="1"/>
  <c r="O139" i="1"/>
  <c r="P139" i="1"/>
  <c r="Q139" i="1" a="1"/>
  <c r="Q139" i="1"/>
  <c r="R139" i="1"/>
  <c r="M140" i="1"/>
  <c r="S140" i="1" s="1"/>
  <c r="N140" i="1"/>
  <c r="O140" i="1"/>
  <c r="P140" i="1"/>
  <c r="Q140" i="1" a="1"/>
  <c r="Q140" i="1" s="1"/>
  <c r="R140" i="1"/>
  <c r="T140" i="1"/>
  <c r="V140" i="1" s="1"/>
  <c r="M141" i="1"/>
  <c r="N141" i="1"/>
  <c r="O141" i="1"/>
  <c r="P141" i="1"/>
  <c r="Q141" i="1" a="1"/>
  <c r="Q141" i="1" s="1"/>
  <c r="R141" i="1"/>
  <c r="M142" i="1"/>
  <c r="N142" i="1"/>
  <c r="O142" i="1"/>
  <c r="P142" i="1"/>
  <c r="Q142" i="1" a="1"/>
  <c r="Q142" i="1" s="1"/>
  <c r="S142" i="1" s="1"/>
  <c r="R142" i="1"/>
  <c r="M143" i="1"/>
  <c r="N143" i="1"/>
  <c r="O143" i="1"/>
  <c r="P143" i="1"/>
  <c r="Q143" i="1" a="1"/>
  <c r="Q143" i="1" s="1"/>
  <c r="R143" i="1"/>
  <c r="M144" i="1"/>
  <c r="N144" i="1"/>
  <c r="O144" i="1"/>
  <c r="P144" i="1"/>
  <c r="Q144" i="1" a="1"/>
  <c r="Q144" i="1" s="1"/>
  <c r="R144" i="1"/>
  <c r="M145" i="1"/>
  <c r="N145" i="1"/>
  <c r="O145" i="1"/>
  <c r="P145" i="1"/>
  <c r="Q145" i="1" a="1"/>
  <c r="Q145" i="1" s="1"/>
  <c r="R145" i="1"/>
  <c r="S145" i="1"/>
  <c r="T145" i="1"/>
  <c r="M146" i="1"/>
  <c r="N146" i="1"/>
  <c r="O146" i="1"/>
  <c r="P146" i="1"/>
  <c r="Q146" i="1" a="1"/>
  <c r="Q146" i="1" s="1"/>
  <c r="R146" i="1"/>
  <c r="M147" i="1"/>
  <c r="N147" i="1"/>
  <c r="O147" i="1"/>
  <c r="P147" i="1"/>
  <c r="Q147" i="1" a="1"/>
  <c r="Q147" i="1"/>
  <c r="R147" i="1"/>
  <c r="M148" i="1"/>
  <c r="N148" i="1"/>
  <c r="O148" i="1"/>
  <c r="P148" i="1"/>
  <c r="Q148" i="1" a="1"/>
  <c r="Q148" i="1" s="1"/>
  <c r="R148" i="1"/>
  <c r="M149" i="1"/>
  <c r="S149" i="1" s="1"/>
  <c r="N149" i="1"/>
  <c r="O149" i="1"/>
  <c r="P149" i="1"/>
  <c r="Q149" i="1" a="1"/>
  <c r="Q149" i="1" s="1"/>
  <c r="R149" i="1"/>
  <c r="T149" i="1"/>
  <c r="M150" i="1"/>
  <c r="S150" i="1" s="1"/>
  <c r="N150" i="1"/>
  <c r="O150" i="1"/>
  <c r="P150" i="1"/>
  <c r="Q150" i="1" a="1"/>
  <c r="Q150" i="1"/>
  <c r="R150" i="1"/>
  <c r="M151" i="1"/>
  <c r="S151" i="1" s="1"/>
  <c r="N151" i="1"/>
  <c r="O151" i="1"/>
  <c r="P151" i="1"/>
  <c r="Q151" i="1" a="1"/>
  <c r="Q151" i="1" s="1"/>
  <c r="R151" i="1"/>
  <c r="T151" i="1"/>
  <c r="M152" i="1"/>
  <c r="S152" i="1" s="1"/>
  <c r="N152" i="1"/>
  <c r="O152" i="1"/>
  <c r="P152" i="1"/>
  <c r="Q152" i="1" a="1"/>
  <c r="Q152" i="1" s="1"/>
  <c r="R152" i="1"/>
  <c r="M153" i="1"/>
  <c r="N153" i="1"/>
  <c r="O153" i="1"/>
  <c r="S153" i="1" s="1"/>
  <c r="P153" i="1"/>
  <c r="Q153" i="1" a="1"/>
  <c r="Q153" i="1" s="1"/>
  <c r="R153" i="1"/>
  <c r="M154" i="1"/>
  <c r="S154" i="1" s="1"/>
  <c r="N154" i="1"/>
  <c r="O154" i="1"/>
  <c r="P154" i="1"/>
  <c r="Q154" i="1" a="1"/>
  <c r="Q154" i="1" s="1"/>
  <c r="R154" i="1"/>
  <c r="M155" i="1"/>
  <c r="N155" i="1"/>
  <c r="O155" i="1"/>
  <c r="P155" i="1"/>
  <c r="Q155" i="1" a="1"/>
  <c r="Q155" i="1"/>
  <c r="R155" i="1"/>
  <c r="M156" i="1"/>
  <c r="S156" i="1" s="1"/>
  <c r="T156" i="1" s="1"/>
  <c r="N156" i="1"/>
  <c r="O156" i="1"/>
  <c r="P156" i="1"/>
  <c r="Q156" i="1" a="1"/>
  <c r="Q156" i="1" s="1"/>
  <c r="R156" i="1"/>
  <c r="M157" i="1"/>
  <c r="N157" i="1"/>
  <c r="O157" i="1"/>
  <c r="P157" i="1"/>
  <c r="Q157" i="1" a="1"/>
  <c r="Q157" i="1" s="1"/>
  <c r="R157" i="1"/>
  <c r="M158" i="1"/>
  <c r="N158" i="1"/>
  <c r="O158" i="1"/>
  <c r="P158" i="1"/>
  <c r="Q158" i="1" a="1"/>
  <c r="Q158" i="1"/>
  <c r="R158" i="1"/>
  <c r="M159" i="1"/>
  <c r="N159" i="1"/>
  <c r="O159" i="1"/>
  <c r="P159" i="1"/>
  <c r="Q159" i="1" a="1"/>
  <c r="Q159" i="1" s="1"/>
  <c r="R159" i="1"/>
  <c r="M160" i="1"/>
  <c r="N160" i="1"/>
  <c r="O160" i="1"/>
  <c r="P160" i="1"/>
  <c r="Q160" i="1" a="1"/>
  <c r="Q160" i="1" s="1"/>
  <c r="R160" i="1"/>
  <c r="M161" i="1"/>
  <c r="N161" i="1"/>
  <c r="O161" i="1"/>
  <c r="P161" i="1"/>
  <c r="Q161" i="1" a="1"/>
  <c r="Q161" i="1" s="1"/>
  <c r="S161" i="1" s="1"/>
  <c r="R161" i="1"/>
  <c r="M162" i="1"/>
  <c r="N162" i="1"/>
  <c r="O162" i="1"/>
  <c r="P162" i="1"/>
  <c r="Q162" i="1" a="1"/>
  <c r="Q162" i="1" s="1"/>
  <c r="R162" i="1"/>
  <c r="M163" i="1"/>
  <c r="N163" i="1"/>
  <c r="O163" i="1"/>
  <c r="P163" i="1"/>
  <c r="Q163" i="1" a="1"/>
  <c r="Q163" i="1" s="1"/>
  <c r="R163" i="1"/>
  <c r="M164" i="1"/>
  <c r="N164" i="1"/>
  <c r="O164" i="1"/>
  <c r="P164" i="1"/>
  <c r="Q164" i="1" a="1"/>
  <c r="Q164" i="1" s="1"/>
  <c r="R164" i="1"/>
  <c r="M165" i="1"/>
  <c r="N165" i="1"/>
  <c r="O165" i="1"/>
  <c r="P165" i="1"/>
  <c r="Q165" i="1" a="1"/>
  <c r="Q165" i="1" s="1"/>
  <c r="R165" i="1"/>
  <c r="M166" i="1"/>
  <c r="N166" i="1"/>
  <c r="O166" i="1"/>
  <c r="P166" i="1"/>
  <c r="Q166" i="1" a="1"/>
  <c r="Q166" i="1" s="1"/>
  <c r="R166" i="1"/>
  <c r="M167" i="1"/>
  <c r="N167" i="1"/>
  <c r="O167" i="1"/>
  <c r="P167" i="1"/>
  <c r="Q167" i="1" a="1"/>
  <c r="Q167" i="1" s="1"/>
  <c r="R167" i="1"/>
  <c r="M168" i="1"/>
  <c r="N168" i="1"/>
  <c r="O168" i="1"/>
  <c r="P168" i="1"/>
  <c r="Q168" i="1" a="1"/>
  <c r="Q168" i="1" s="1"/>
  <c r="R168" i="1"/>
  <c r="M169" i="1"/>
  <c r="N169" i="1"/>
  <c r="O169" i="1"/>
  <c r="P169" i="1"/>
  <c r="Q169" i="1" a="1"/>
  <c r="Q169" i="1" s="1"/>
  <c r="R169" i="1"/>
  <c r="S169" i="1"/>
  <c r="T169" i="1" s="1"/>
  <c r="M170" i="1"/>
  <c r="N170" i="1"/>
  <c r="O170" i="1"/>
  <c r="P170" i="1"/>
  <c r="Q170" i="1" a="1"/>
  <c r="Q170" i="1" s="1"/>
  <c r="R170" i="1"/>
  <c r="M171" i="1"/>
  <c r="N171" i="1"/>
  <c r="O171" i="1"/>
  <c r="P171" i="1"/>
  <c r="Q171" i="1" a="1"/>
  <c r="Q171" i="1" s="1"/>
  <c r="R171" i="1"/>
  <c r="M172" i="1"/>
  <c r="N172" i="1"/>
  <c r="O172" i="1"/>
  <c r="P172" i="1"/>
  <c r="Q172" i="1" a="1"/>
  <c r="Q172" i="1" s="1"/>
  <c r="R172" i="1"/>
  <c r="M173" i="1"/>
  <c r="S173" i="1" s="1"/>
  <c r="N173" i="1"/>
  <c r="O173" i="1"/>
  <c r="P173" i="1"/>
  <c r="Q173" i="1" a="1"/>
  <c r="Q173" i="1" s="1"/>
  <c r="R173" i="1"/>
  <c r="T173" i="1"/>
  <c r="M174" i="1"/>
  <c r="S174" i="1" s="1"/>
  <c r="N174" i="1"/>
  <c r="O174" i="1"/>
  <c r="P174" i="1"/>
  <c r="Q174" i="1" a="1"/>
  <c r="Q174" i="1"/>
  <c r="R174" i="1"/>
  <c r="M175" i="1"/>
  <c r="S175" i="1" s="1"/>
  <c r="V175" i="1" s="1"/>
  <c r="N175" i="1"/>
  <c r="O175" i="1"/>
  <c r="P175" i="1"/>
  <c r="Q175" i="1" a="1"/>
  <c r="Q175" i="1" s="1"/>
  <c r="R175" i="1"/>
  <c r="T175" i="1"/>
  <c r="M176" i="1"/>
  <c r="N176" i="1"/>
  <c r="O176" i="1"/>
  <c r="P176" i="1"/>
  <c r="Q176" i="1" a="1"/>
  <c r="Q176" i="1" s="1"/>
  <c r="R176" i="1"/>
  <c r="M177" i="1"/>
  <c r="N177" i="1"/>
  <c r="O177" i="1"/>
  <c r="P177" i="1"/>
  <c r="Q177" i="1" a="1"/>
  <c r="Q177" i="1" s="1"/>
  <c r="S177" i="1" s="1"/>
  <c r="R177" i="1"/>
  <c r="M178" i="1"/>
  <c r="N178" i="1"/>
  <c r="O178" i="1"/>
  <c r="P178" i="1"/>
  <c r="Q178" i="1" a="1"/>
  <c r="Q178" i="1" s="1"/>
  <c r="R178" i="1"/>
  <c r="M179" i="1"/>
  <c r="N179" i="1"/>
  <c r="O179" i="1"/>
  <c r="P179" i="1"/>
  <c r="Q179" i="1" a="1"/>
  <c r="Q179" i="1" s="1"/>
  <c r="R179" i="1"/>
  <c r="M180" i="1"/>
  <c r="N180" i="1"/>
  <c r="O180" i="1"/>
  <c r="P180" i="1"/>
  <c r="Q180" i="1" a="1"/>
  <c r="Q180" i="1" s="1"/>
  <c r="R180" i="1"/>
  <c r="M181" i="1"/>
  <c r="N181" i="1"/>
  <c r="O181" i="1"/>
  <c r="P181" i="1"/>
  <c r="Q181" i="1" a="1"/>
  <c r="Q181" i="1" s="1"/>
  <c r="R181" i="1"/>
  <c r="M182" i="1"/>
  <c r="S182" i="1" s="1"/>
  <c r="N182" i="1"/>
  <c r="O182" i="1"/>
  <c r="P182" i="1"/>
  <c r="Q182" i="1" a="1"/>
  <c r="Q182" i="1"/>
  <c r="R182" i="1"/>
  <c r="M183" i="1"/>
  <c r="N183" i="1"/>
  <c r="O183" i="1"/>
  <c r="P183" i="1"/>
  <c r="Q183" i="1" a="1"/>
  <c r="Q183" i="1" s="1"/>
  <c r="R183" i="1"/>
  <c r="M184" i="1"/>
  <c r="N184" i="1"/>
  <c r="O184" i="1"/>
  <c r="P184" i="1"/>
  <c r="Q184" i="1" a="1"/>
  <c r="Q184" i="1" s="1"/>
  <c r="R184" i="1"/>
  <c r="M185" i="1"/>
  <c r="N185" i="1"/>
  <c r="O185" i="1"/>
  <c r="P185" i="1"/>
  <c r="Q185" i="1" a="1"/>
  <c r="Q185" i="1" s="1"/>
  <c r="R185" i="1"/>
  <c r="M186" i="1"/>
  <c r="N186" i="1"/>
  <c r="O186" i="1"/>
  <c r="P186" i="1"/>
  <c r="Q186" i="1" a="1"/>
  <c r="Q186" i="1" s="1"/>
  <c r="R186" i="1"/>
  <c r="M187" i="1"/>
  <c r="N187" i="1"/>
  <c r="O187" i="1"/>
  <c r="P187" i="1"/>
  <c r="Q187" i="1" a="1"/>
  <c r="Q187" i="1"/>
  <c r="R187" i="1"/>
  <c r="M188" i="1"/>
  <c r="N188" i="1"/>
  <c r="O188" i="1"/>
  <c r="P188" i="1"/>
  <c r="Q188" i="1" a="1"/>
  <c r="Q188" i="1" s="1"/>
  <c r="R188" i="1"/>
  <c r="M189" i="1"/>
  <c r="N189" i="1"/>
  <c r="O189" i="1"/>
  <c r="P189" i="1"/>
  <c r="Q189" i="1" a="1"/>
  <c r="Q189" i="1" s="1"/>
  <c r="R189" i="1"/>
  <c r="M190" i="1"/>
  <c r="S190" i="1" s="1"/>
  <c r="N190" i="1"/>
  <c r="O190" i="1"/>
  <c r="P190" i="1"/>
  <c r="Q190" i="1" a="1"/>
  <c r="Q190" i="1" s="1"/>
  <c r="R190" i="1"/>
  <c r="M191" i="1"/>
  <c r="N191" i="1"/>
  <c r="O191" i="1"/>
  <c r="P191" i="1"/>
  <c r="Q191" i="1" a="1"/>
  <c r="Q191" i="1" s="1"/>
  <c r="R191" i="1"/>
  <c r="M192" i="1"/>
  <c r="N192" i="1"/>
  <c r="O192" i="1"/>
  <c r="P192" i="1"/>
  <c r="Q192" i="1" a="1"/>
  <c r="Q192" i="1" s="1"/>
  <c r="R192" i="1"/>
  <c r="M193" i="1"/>
  <c r="N193" i="1"/>
  <c r="O193" i="1"/>
  <c r="P193" i="1"/>
  <c r="Q193" i="1" a="1"/>
  <c r="Q193" i="1"/>
  <c r="S193" i="1" s="1"/>
  <c r="R193" i="1"/>
  <c r="M194" i="1"/>
  <c r="N194" i="1"/>
  <c r="O194" i="1"/>
  <c r="P194" i="1"/>
  <c r="Q194" i="1" a="1"/>
  <c r="Q194" i="1" s="1"/>
  <c r="R194" i="1"/>
  <c r="M195" i="1"/>
  <c r="N195" i="1"/>
  <c r="O195" i="1"/>
  <c r="P195" i="1"/>
  <c r="Q195" i="1" a="1"/>
  <c r="Q195" i="1" s="1"/>
  <c r="R195" i="1"/>
  <c r="M196" i="1"/>
  <c r="N196" i="1"/>
  <c r="O196" i="1"/>
  <c r="S196" i="1" s="1"/>
  <c r="P196" i="1"/>
  <c r="Q196" i="1" a="1"/>
  <c r="Q196" i="1" s="1"/>
  <c r="R196" i="1"/>
  <c r="M197" i="1"/>
  <c r="N197" i="1"/>
  <c r="O197" i="1"/>
  <c r="P197" i="1"/>
  <c r="Q197" i="1" a="1"/>
  <c r="Q197" i="1" s="1"/>
  <c r="R197" i="1"/>
  <c r="M198" i="1"/>
  <c r="N198" i="1"/>
  <c r="O198" i="1"/>
  <c r="P198" i="1"/>
  <c r="Q198" i="1" a="1"/>
  <c r="Q198" i="1" s="1"/>
  <c r="R198" i="1"/>
  <c r="M199" i="1"/>
  <c r="N199" i="1"/>
  <c r="O199" i="1"/>
  <c r="P199" i="1"/>
  <c r="Q199" i="1" a="1"/>
  <c r="Q199" i="1" s="1"/>
  <c r="R199" i="1"/>
  <c r="M200" i="1"/>
  <c r="N200" i="1"/>
  <c r="O200" i="1"/>
  <c r="P200" i="1"/>
  <c r="Q200" i="1" a="1"/>
  <c r="Q200" i="1" s="1"/>
  <c r="R200" i="1"/>
  <c r="M201" i="1"/>
  <c r="N201" i="1"/>
  <c r="O201" i="1"/>
  <c r="P201" i="1"/>
  <c r="Q201" i="1" a="1"/>
  <c r="Q201" i="1" s="1"/>
  <c r="S201" i="1" s="1"/>
  <c r="R201" i="1"/>
  <c r="M202" i="1"/>
  <c r="S202" i="1" s="1"/>
  <c r="N202" i="1"/>
  <c r="O202" i="1"/>
  <c r="P202" i="1"/>
  <c r="Q202" i="1" a="1"/>
  <c r="Q202" i="1" s="1"/>
  <c r="R202" i="1"/>
  <c r="M203" i="1"/>
  <c r="N203" i="1"/>
  <c r="O203" i="1"/>
  <c r="P203" i="1"/>
  <c r="Q203" i="1" a="1"/>
  <c r="Q203" i="1"/>
  <c r="R203" i="1"/>
  <c r="M204" i="1"/>
  <c r="N204" i="1"/>
  <c r="O204" i="1"/>
  <c r="P204" i="1"/>
  <c r="Q204" i="1" a="1"/>
  <c r="Q204" i="1" s="1"/>
  <c r="R204" i="1"/>
  <c r="M205" i="1"/>
  <c r="N205" i="1"/>
  <c r="O205" i="1"/>
  <c r="P205" i="1"/>
  <c r="Q205" i="1" a="1"/>
  <c r="Q205" i="1" s="1"/>
  <c r="R205" i="1"/>
  <c r="M206" i="1"/>
  <c r="S206" i="1" s="1"/>
  <c r="N206" i="1"/>
  <c r="O206" i="1"/>
  <c r="P206" i="1"/>
  <c r="Q206" i="1" a="1"/>
  <c r="Q206" i="1"/>
  <c r="R206" i="1"/>
  <c r="M207" i="1"/>
  <c r="N207" i="1"/>
  <c r="O207" i="1"/>
  <c r="P207" i="1"/>
  <c r="Q207" i="1" a="1"/>
  <c r="Q207" i="1" s="1"/>
  <c r="R207" i="1"/>
  <c r="M208" i="1"/>
  <c r="N208" i="1"/>
  <c r="O208" i="1"/>
  <c r="P208" i="1"/>
  <c r="Q208" i="1" a="1"/>
  <c r="Q208" i="1" s="1"/>
  <c r="R208" i="1"/>
  <c r="M209" i="1"/>
  <c r="S209" i="1" s="1"/>
  <c r="N209" i="1"/>
  <c r="O209" i="1"/>
  <c r="P209" i="1"/>
  <c r="Q209" i="1" a="1"/>
  <c r="Q209" i="1"/>
  <c r="R209" i="1"/>
  <c r="M210" i="1"/>
  <c r="S210" i="1" s="1"/>
  <c r="N210" i="1"/>
  <c r="O210" i="1"/>
  <c r="P210" i="1"/>
  <c r="Q210" i="1" a="1"/>
  <c r="Q210" i="1" s="1"/>
  <c r="R210" i="1"/>
  <c r="M211" i="1"/>
  <c r="N211" i="1"/>
  <c r="O211" i="1"/>
  <c r="P211" i="1"/>
  <c r="Q211" i="1" a="1"/>
  <c r="Q211" i="1" s="1"/>
  <c r="R211" i="1"/>
  <c r="M212" i="1"/>
  <c r="S212" i="1" s="1"/>
  <c r="N212" i="1"/>
  <c r="O212" i="1"/>
  <c r="P212" i="1"/>
  <c r="Q212" i="1" a="1"/>
  <c r="Q212" i="1" s="1"/>
  <c r="R212" i="1"/>
  <c r="M213" i="1"/>
  <c r="N213" i="1"/>
  <c r="O213" i="1"/>
  <c r="P213" i="1"/>
  <c r="Q213" i="1" a="1"/>
  <c r="Q213" i="1" s="1"/>
  <c r="R213" i="1"/>
  <c r="M214" i="1"/>
  <c r="S214" i="1" s="1"/>
  <c r="N214" i="1"/>
  <c r="O214" i="1"/>
  <c r="P214" i="1"/>
  <c r="Q214" i="1" a="1"/>
  <c r="Q214" i="1"/>
  <c r="R214" i="1"/>
  <c r="M215" i="1"/>
  <c r="S215" i="1" s="1"/>
  <c r="T215" i="1" s="1"/>
  <c r="N215" i="1"/>
  <c r="O215" i="1"/>
  <c r="P215" i="1"/>
  <c r="Q215" i="1" a="1"/>
  <c r="Q215" i="1" s="1"/>
  <c r="R215" i="1"/>
  <c r="M216" i="1"/>
  <c r="N216" i="1"/>
  <c r="O216" i="1"/>
  <c r="S216" i="1" s="1"/>
  <c r="P216" i="1"/>
  <c r="Q216" i="1" a="1"/>
  <c r="Q216" i="1" s="1"/>
  <c r="R216" i="1"/>
  <c r="M217" i="1"/>
  <c r="N217" i="1"/>
  <c r="O217" i="1"/>
  <c r="P217" i="1"/>
  <c r="Q217" i="1" a="1"/>
  <c r="Q217" i="1"/>
  <c r="R217" i="1"/>
  <c r="S217" i="1"/>
  <c r="M218" i="1"/>
  <c r="S218" i="1" s="1"/>
  <c r="V218" i="1" s="1"/>
  <c r="N218" i="1"/>
  <c r="O218" i="1"/>
  <c r="P218" i="1"/>
  <c r="Q218" i="1" a="1"/>
  <c r="Q218" i="1" s="1"/>
  <c r="R218" i="1"/>
  <c r="T218" i="1"/>
  <c r="M219" i="1"/>
  <c r="N219" i="1"/>
  <c r="O219" i="1"/>
  <c r="P219" i="1"/>
  <c r="Q219" i="1" a="1"/>
  <c r="Q219" i="1"/>
  <c r="R219" i="1"/>
  <c r="M220" i="1"/>
  <c r="N220" i="1"/>
  <c r="O220" i="1"/>
  <c r="P220" i="1"/>
  <c r="Q220" i="1" a="1"/>
  <c r="Q220" i="1"/>
  <c r="S220" i="1" s="1"/>
  <c r="R220" i="1"/>
  <c r="M221" i="1"/>
  <c r="N221" i="1"/>
  <c r="O221" i="1"/>
  <c r="P221" i="1"/>
  <c r="Q221" i="1" a="1"/>
  <c r="Q221" i="1"/>
  <c r="R221" i="1"/>
  <c r="M222" i="1"/>
  <c r="N222" i="1"/>
  <c r="O222" i="1"/>
  <c r="P222" i="1"/>
  <c r="Q222" i="1" a="1"/>
  <c r="Q222" i="1"/>
  <c r="R222" i="1"/>
  <c r="M223" i="1"/>
  <c r="N223" i="1"/>
  <c r="O223" i="1"/>
  <c r="P223" i="1"/>
  <c r="Q223" i="1" a="1"/>
  <c r="Q223" i="1" s="1"/>
  <c r="R223" i="1"/>
  <c r="M224" i="1"/>
  <c r="N224" i="1"/>
  <c r="S224" i="1" s="1"/>
  <c r="O224" i="1"/>
  <c r="P224" i="1"/>
  <c r="Q224" i="1" a="1"/>
  <c r="Q224" i="1" s="1"/>
  <c r="R224" i="1"/>
  <c r="T224" i="1"/>
  <c r="M225" i="1"/>
  <c r="S225" i="1" s="1"/>
  <c r="T225" i="1" s="1"/>
  <c r="N225" i="1"/>
  <c r="O225" i="1"/>
  <c r="P225" i="1"/>
  <c r="Q225" i="1" a="1"/>
  <c r="Q225" i="1"/>
  <c r="R225" i="1"/>
  <c r="V225" i="1"/>
  <c r="M226" i="1"/>
  <c r="N226" i="1"/>
  <c r="O226" i="1"/>
  <c r="P226" i="1"/>
  <c r="Q226" i="1" a="1"/>
  <c r="Q226" i="1" s="1"/>
  <c r="R226" i="1"/>
  <c r="M227" i="1"/>
  <c r="N227" i="1"/>
  <c r="O227" i="1"/>
  <c r="P227" i="1"/>
  <c r="Q227" i="1" a="1"/>
  <c r="Q227" i="1" s="1"/>
  <c r="R227" i="1"/>
  <c r="M228" i="1"/>
  <c r="N228" i="1"/>
  <c r="O228" i="1"/>
  <c r="P228" i="1"/>
  <c r="Q228" i="1" a="1"/>
  <c r="Q228" i="1" s="1"/>
  <c r="R228" i="1"/>
  <c r="M229" i="1"/>
  <c r="N229" i="1"/>
  <c r="O229" i="1"/>
  <c r="P229" i="1"/>
  <c r="Q229" i="1" a="1"/>
  <c r="Q229" i="1" s="1"/>
  <c r="R229" i="1"/>
  <c r="M230" i="1"/>
  <c r="N230" i="1"/>
  <c r="O230" i="1"/>
  <c r="P230" i="1"/>
  <c r="Q230" i="1" a="1"/>
  <c r="Q230" i="1" s="1"/>
  <c r="R230" i="1"/>
  <c r="M231" i="1"/>
  <c r="N231" i="1"/>
  <c r="O231" i="1"/>
  <c r="P231" i="1"/>
  <c r="Q231" i="1" a="1"/>
  <c r="Q231" i="1" s="1"/>
  <c r="S231" i="1" s="1"/>
  <c r="R231" i="1"/>
  <c r="M232" i="1"/>
  <c r="S232" i="1" s="1"/>
  <c r="N232" i="1"/>
  <c r="O232" i="1"/>
  <c r="P232" i="1"/>
  <c r="Q232" i="1" a="1"/>
  <c r="Q232" i="1" s="1"/>
  <c r="R232" i="1"/>
  <c r="M233" i="1"/>
  <c r="N233" i="1"/>
  <c r="O233" i="1"/>
  <c r="S233" i="1" s="1"/>
  <c r="T233" i="1" s="1"/>
  <c r="V233" i="1" s="1"/>
  <c r="P233" i="1"/>
  <c r="Q233" i="1" a="1"/>
  <c r="Q233" i="1" s="1"/>
  <c r="R233" i="1"/>
  <c r="M234" i="1"/>
  <c r="N234" i="1"/>
  <c r="O234" i="1"/>
  <c r="P234" i="1"/>
  <c r="Q234" i="1" a="1"/>
  <c r="Q234" i="1" s="1"/>
  <c r="R234" i="1"/>
  <c r="M235" i="1"/>
  <c r="N235" i="1"/>
  <c r="O235" i="1"/>
  <c r="P235" i="1"/>
  <c r="Q235" i="1" a="1"/>
  <c r="Q235" i="1"/>
  <c r="R235" i="1"/>
  <c r="M236" i="1"/>
  <c r="N236" i="1"/>
  <c r="O236" i="1"/>
  <c r="P236" i="1"/>
  <c r="Q236" i="1" a="1"/>
  <c r="Q236" i="1" s="1"/>
  <c r="S236" i="1" s="1"/>
  <c r="R236" i="1"/>
  <c r="M237" i="1"/>
  <c r="N237" i="1"/>
  <c r="O237" i="1"/>
  <c r="P237" i="1"/>
  <c r="Q237" i="1" a="1"/>
  <c r="Q237" i="1" s="1"/>
  <c r="R237" i="1"/>
  <c r="M238" i="1"/>
  <c r="N238" i="1"/>
  <c r="O238" i="1"/>
  <c r="P238" i="1"/>
  <c r="Q238" i="1" a="1"/>
  <c r="Q238" i="1" s="1"/>
  <c r="R238" i="1"/>
  <c r="M239" i="1"/>
  <c r="S239" i="1" s="1"/>
  <c r="N239" i="1"/>
  <c r="O239" i="1"/>
  <c r="P239" i="1"/>
  <c r="Q239" i="1" a="1"/>
  <c r="Q239" i="1"/>
  <c r="R239" i="1"/>
  <c r="M240" i="1"/>
  <c r="N240" i="1"/>
  <c r="O240" i="1"/>
  <c r="P240" i="1"/>
  <c r="Q240" i="1" a="1"/>
  <c r="Q240" i="1"/>
  <c r="R240" i="1"/>
  <c r="M241" i="1"/>
  <c r="N241" i="1"/>
  <c r="O241" i="1"/>
  <c r="P241" i="1"/>
  <c r="Q241" i="1" a="1"/>
  <c r="Q241" i="1"/>
  <c r="R241" i="1"/>
  <c r="M242" i="1"/>
  <c r="N242" i="1"/>
  <c r="O242" i="1"/>
  <c r="P242" i="1"/>
  <c r="Q242" i="1" a="1"/>
  <c r="Q242" i="1"/>
  <c r="R242" i="1"/>
  <c r="M243" i="1"/>
  <c r="N243" i="1"/>
  <c r="S243" i="1" s="1"/>
  <c r="O243" i="1"/>
  <c r="P243" i="1"/>
  <c r="Q243" i="1" a="1"/>
  <c r="Q243" i="1" s="1"/>
  <c r="R243" i="1"/>
  <c r="M244" i="1"/>
  <c r="N244" i="1"/>
  <c r="O244" i="1"/>
  <c r="P244" i="1"/>
  <c r="Q244" i="1" a="1"/>
  <c r="Q244" i="1" s="1"/>
  <c r="S244" i="1" s="1"/>
  <c r="T244" i="1" s="1"/>
  <c r="R244" i="1"/>
  <c r="V244" i="1"/>
  <c r="M245" i="1"/>
  <c r="N245" i="1"/>
  <c r="O245" i="1"/>
  <c r="P245" i="1"/>
  <c r="S245" i="1" s="1"/>
  <c r="Q245" i="1" a="1"/>
  <c r="Q245" i="1" s="1"/>
  <c r="R245" i="1"/>
  <c r="M246" i="1"/>
  <c r="N246" i="1"/>
  <c r="O246" i="1"/>
  <c r="P246" i="1"/>
  <c r="Q246" i="1" a="1"/>
  <c r="Q246" i="1" s="1"/>
  <c r="R246" i="1"/>
  <c r="M247" i="1"/>
  <c r="N247" i="1"/>
  <c r="O247" i="1"/>
  <c r="P247" i="1"/>
  <c r="Q247" i="1" a="1"/>
  <c r="Q247" i="1" s="1"/>
  <c r="R247" i="1"/>
  <c r="M248" i="1"/>
  <c r="N248" i="1"/>
  <c r="O248" i="1"/>
  <c r="P248" i="1"/>
  <c r="Q248" i="1" a="1"/>
  <c r="Q248" i="1"/>
  <c r="R248" i="1"/>
  <c r="M249" i="1"/>
  <c r="N249" i="1"/>
  <c r="O249" i="1"/>
  <c r="P249" i="1"/>
  <c r="Q249" i="1" a="1"/>
  <c r="Q249" i="1"/>
  <c r="R249" i="1"/>
  <c r="M250" i="1"/>
  <c r="N250" i="1"/>
  <c r="O250" i="1"/>
  <c r="P250" i="1"/>
  <c r="Q250" i="1" a="1"/>
  <c r="Q250" i="1"/>
  <c r="R250" i="1"/>
  <c r="M251" i="1"/>
  <c r="N251" i="1"/>
  <c r="O251" i="1"/>
  <c r="P251" i="1"/>
  <c r="Q251" i="1" a="1"/>
  <c r="Q251" i="1" s="1"/>
  <c r="R251" i="1"/>
  <c r="M252" i="1"/>
  <c r="N252" i="1"/>
  <c r="O252" i="1"/>
  <c r="P252" i="1"/>
  <c r="Q252" i="1" a="1"/>
  <c r="Q252" i="1" s="1"/>
  <c r="S252" i="1" s="1"/>
  <c r="R252" i="1"/>
  <c r="M253" i="1"/>
  <c r="N253" i="1"/>
  <c r="O253" i="1"/>
  <c r="P253" i="1"/>
  <c r="Q253" i="1" a="1"/>
  <c r="Q253" i="1" s="1"/>
  <c r="R253" i="1"/>
  <c r="M254" i="1"/>
  <c r="S254" i="1" s="1"/>
  <c r="N254" i="1"/>
  <c r="O254" i="1"/>
  <c r="P254" i="1"/>
  <c r="Q254" i="1" a="1"/>
  <c r="Q254" i="1"/>
  <c r="R254" i="1"/>
  <c r="M255" i="1"/>
  <c r="N255" i="1"/>
  <c r="O255" i="1"/>
  <c r="P255" i="1"/>
  <c r="Q255" i="1" a="1"/>
  <c r="Q255" i="1" s="1"/>
  <c r="R255" i="1"/>
  <c r="M256" i="1"/>
  <c r="N256" i="1"/>
  <c r="O256" i="1"/>
  <c r="P256" i="1"/>
  <c r="Q256" i="1" a="1"/>
  <c r="Q256" i="1" s="1"/>
  <c r="R256" i="1"/>
  <c r="M257" i="1"/>
  <c r="N257" i="1"/>
  <c r="O257" i="1"/>
  <c r="P257" i="1"/>
  <c r="Q257" i="1" a="1"/>
  <c r="Q257" i="1"/>
  <c r="R257" i="1"/>
  <c r="S257" i="1"/>
  <c r="M258" i="1"/>
  <c r="S258" i="1" s="1"/>
  <c r="N258" i="1"/>
  <c r="O258" i="1"/>
  <c r="P258" i="1"/>
  <c r="Q258" i="1" a="1"/>
  <c r="Q258" i="1"/>
  <c r="R258" i="1"/>
  <c r="M259" i="1"/>
  <c r="N259" i="1"/>
  <c r="O259" i="1"/>
  <c r="P259" i="1"/>
  <c r="Q259" i="1" a="1"/>
  <c r="Q259" i="1" s="1"/>
  <c r="R259" i="1"/>
  <c r="S259" i="1"/>
  <c r="T259" i="1"/>
  <c r="M260" i="1"/>
  <c r="N260" i="1"/>
  <c r="O260" i="1"/>
  <c r="P260" i="1"/>
  <c r="Q260" i="1" a="1"/>
  <c r="Q260" i="1" s="1"/>
  <c r="S260" i="1" s="1"/>
  <c r="R260" i="1"/>
  <c r="M261" i="1"/>
  <c r="S261" i="1" s="1"/>
  <c r="N261" i="1"/>
  <c r="O261" i="1"/>
  <c r="P261" i="1"/>
  <c r="Q261" i="1" a="1"/>
  <c r="Q261" i="1" s="1"/>
  <c r="R261" i="1"/>
  <c r="M262" i="1"/>
  <c r="S262" i="1" s="1"/>
  <c r="N262" i="1"/>
  <c r="O262" i="1"/>
  <c r="P262" i="1"/>
  <c r="Q262" i="1" a="1"/>
  <c r="Q262" i="1"/>
  <c r="R262" i="1"/>
  <c r="M263" i="1"/>
  <c r="N263" i="1"/>
  <c r="O263" i="1"/>
  <c r="P263" i="1"/>
  <c r="Q263" i="1" a="1"/>
  <c r="Q263" i="1" s="1"/>
  <c r="R263" i="1"/>
  <c r="M264" i="1"/>
  <c r="N264" i="1"/>
  <c r="O264" i="1"/>
  <c r="P264" i="1"/>
  <c r="Q264" i="1" a="1"/>
  <c r="Q264" i="1"/>
  <c r="R264" i="1"/>
  <c r="M265" i="1"/>
  <c r="N265" i="1"/>
  <c r="O265" i="1"/>
  <c r="P265" i="1"/>
  <c r="Q265" i="1" a="1"/>
  <c r="Q265" i="1"/>
  <c r="R265" i="1"/>
  <c r="S265" i="1"/>
  <c r="T265" i="1" s="1"/>
  <c r="M266" i="1"/>
  <c r="N266" i="1"/>
  <c r="O266" i="1"/>
  <c r="P266" i="1"/>
  <c r="Q266" i="1" a="1"/>
  <c r="Q266" i="1"/>
  <c r="R266" i="1"/>
  <c r="M267" i="1"/>
  <c r="N267" i="1"/>
  <c r="O267" i="1"/>
  <c r="P267" i="1"/>
  <c r="Q267" i="1" a="1"/>
  <c r="Q267" i="1" s="1"/>
  <c r="R267" i="1"/>
  <c r="S267" i="1"/>
  <c r="T267" i="1"/>
  <c r="M268" i="1"/>
  <c r="N268" i="1"/>
  <c r="S268" i="1" s="1"/>
  <c r="O268" i="1"/>
  <c r="P268" i="1"/>
  <c r="Q268" i="1" a="1"/>
  <c r="Q268" i="1" s="1"/>
  <c r="R268" i="1"/>
  <c r="M269" i="1"/>
  <c r="N269" i="1"/>
  <c r="O269" i="1"/>
  <c r="P269" i="1"/>
  <c r="Q269" i="1" a="1"/>
  <c r="Q269" i="1" s="1"/>
  <c r="R269" i="1"/>
  <c r="S269" i="1"/>
  <c r="M270" i="1"/>
  <c r="N270" i="1"/>
  <c r="O270" i="1"/>
  <c r="P270" i="1"/>
  <c r="Q270" i="1" a="1"/>
  <c r="Q270" i="1" s="1"/>
  <c r="R270" i="1"/>
  <c r="M271" i="1"/>
  <c r="N271" i="1"/>
  <c r="O271" i="1"/>
  <c r="P271" i="1"/>
  <c r="Q271" i="1" a="1"/>
  <c r="Q271" i="1" s="1"/>
  <c r="R271" i="1"/>
  <c r="M272" i="1"/>
  <c r="N272" i="1"/>
  <c r="O272" i="1"/>
  <c r="P272" i="1"/>
  <c r="Q272" i="1" a="1"/>
  <c r="Q272" i="1" s="1"/>
  <c r="R272" i="1"/>
  <c r="M273" i="1"/>
  <c r="N273" i="1"/>
  <c r="O273" i="1"/>
  <c r="P273" i="1"/>
  <c r="Q273" i="1" a="1"/>
  <c r="Q273" i="1"/>
  <c r="R273" i="1"/>
  <c r="S273" i="1"/>
  <c r="M274" i="1"/>
  <c r="S274" i="1" s="1"/>
  <c r="N274" i="1"/>
  <c r="O274" i="1"/>
  <c r="P274" i="1"/>
  <c r="Q274" i="1" a="1"/>
  <c r="Q274" i="1"/>
  <c r="R274" i="1"/>
  <c r="M275" i="1"/>
  <c r="N275" i="1"/>
  <c r="O275" i="1"/>
  <c r="P275" i="1"/>
  <c r="Q275" i="1" a="1"/>
  <c r="Q275" i="1" s="1"/>
  <c r="R275" i="1"/>
  <c r="S275" i="1" s="1"/>
  <c r="M276" i="1"/>
  <c r="N276" i="1"/>
  <c r="S276" i="1" s="1"/>
  <c r="O276" i="1"/>
  <c r="P276" i="1"/>
  <c r="Q276" i="1" a="1"/>
  <c r="Q276" i="1" s="1"/>
  <c r="R276" i="1"/>
  <c r="M277" i="1"/>
  <c r="N277" i="1"/>
  <c r="O277" i="1"/>
  <c r="P277" i="1"/>
  <c r="Q277" i="1" a="1"/>
  <c r="Q277" i="1" s="1"/>
  <c r="S277" i="1" s="1"/>
  <c r="R277" i="1"/>
  <c r="M278" i="1"/>
  <c r="N278" i="1"/>
  <c r="O278" i="1"/>
  <c r="P278" i="1"/>
  <c r="Q278" i="1" a="1"/>
  <c r="Q278" i="1" s="1"/>
  <c r="R278" i="1"/>
  <c r="M279" i="1"/>
  <c r="N279" i="1"/>
  <c r="O279" i="1"/>
  <c r="P279" i="1"/>
  <c r="Q279" i="1" a="1"/>
  <c r="Q279" i="1" s="1"/>
  <c r="R279" i="1"/>
  <c r="M280" i="1"/>
  <c r="N280" i="1"/>
  <c r="O280" i="1"/>
  <c r="P280" i="1"/>
  <c r="Q280" i="1" a="1"/>
  <c r="Q280" i="1" s="1"/>
  <c r="R280" i="1"/>
  <c r="M281" i="1"/>
  <c r="N281" i="1"/>
  <c r="O281" i="1"/>
  <c r="P281" i="1"/>
  <c r="Q281" i="1" a="1"/>
  <c r="Q281" i="1"/>
  <c r="R281" i="1"/>
  <c r="M282" i="1"/>
  <c r="N282" i="1"/>
  <c r="O282" i="1"/>
  <c r="P282" i="1"/>
  <c r="Q282" i="1" a="1"/>
  <c r="Q282" i="1"/>
  <c r="R282" i="1"/>
  <c r="M283" i="1"/>
  <c r="N283" i="1"/>
  <c r="O283" i="1"/>
  <c r="P283" i="1"/>
  <c r="Q283" i="1" a="1"/>
  <c r="Q283" i="1" s="1"/>
  <c r="R283" i="1"/>
  <c r="M284" i="1"/>
  <c r="N284" i="1"/>
  <c r="S284" i="1" s="1"/>
  <c r="O284" i="1"/>
  <c r="P284" i="1"/>
  <c r="Q284" i="1" a="1"/>
  <c r="Q284" i="1" s="1"/>
  <c r="R284" i="1"/>
  <c r="M285" i="1"/>
  <c r="N285" i="1"/>
  <c r="O285" i="1"/>
  <c r="P285" i="1"/>
  <c r="Q285" i="1" a="1"/>
  <c r="Q285" i="1" s="1"/>
  <c r="R285" i="1"/>
  <c r="S285" i="1"/>
  <c r="M286" i="1"/>
  <c r="N286" i="1"/>
  <c r="O286" i="1"/>
  <c r="P286" i="1"/>
  <c r="Q286" i="1" a="1"/>
  <c r="Q286" i="1" s="1"/>
  <c r="R286" i="1"/>
  <c r="M287" i="1"/>
  <c r="N287" i="1"/>
  <c r="O287" i="1"/>
  <c r="P287" i="1"/>
  <c r="Q287" i="1" a="1"/>
  <c r="Q287" i="1" s="1"/>
  <c r="R287" i="1"/>
  <c r="M288" i="1"/>
  <c r="N288" i="1"/>
  <c r="O288" i="1"/>
  <c r="P288" i="1"/>
  <c r="Q288" i="1" a="1"/>
  <c r="Q288" i="1" s="1"/>
  <c r="R288" i="1"/>
  <c r="M289" i="1"/>
  <c r="N289" i="1"/>
  <c r="O289" i="1"/>
  <c r="P289" i="1"/>
  <c r="Q289" i="1" a="1"/>
  <c r="Q289" i="1"/>
  <c r="S289" i="1" s="1"/>
  <c r="R289" i="1"/>
  <c r="M290" i="1"/>
  <c r="N290" i="1"/>
  <c r="O290" i="1"/>
  <c r="P290" i="1"/>
  <c r="Q290" i="1" a="1"/>
  <c r="Q290" i="1"/>
  <c r="R290" i="1"/>
  <c r="M291" i="1"/>
  <c r="N291" i="1"/>
  <c r="O291" i="1"/>
  <c r="P291" i="1"/>
  <c r="Q291" i="1" a="1"/>
  <c r="Q291" i="1" s="1"/>
  <c r="R291" i="1"/>
  <c r="S291" i="1"/>
  <c r="M292" i="1"/>
  <c r="N292" i="1"/>
  <c r="O292" i="1"/>
  <c r="P292" i="1"/>
  <c r="Q292" i="1" a="1"/>
  <c r="Q292" i="1" s="1"/>
  <c r="R292" i="1"/>
  <c r="S292" i="1"/>
  <c r="T292" i="1" s="1"/>
  <c r="M293" i="1"/>
  <c r="S293" i="1" s="1"/>
  <c r="N293" i="1"/>
  <c r="O293" i="1"/>
  <c r="P293" i="1"/>
  <c r="Q293" i="1" a="1"/>
  <c r="Q293" i="1" s="1"/>
  <c r="R293" i="1"/>
  <c r="M294" i="1"/>
  <c r="N294" i="1"/>
  <c r="O294" i="1"/>
  <c r="P294" i="1"/>
  <c r="Q294" i="1" a="1"/>
  <c r="Q294" i="1"/>
  <c r="R294" i="1"/>
  <c r="M295" i="1"/>
  <c r="N295" i="1"/>
  <c r="O295" i="1"/>
  <c r="P295" i="1"/>
  <c r="Q295" i="1" a="1"/>
  <c r="Q295" i="1" s="1"/>
  <c r="R295" i="1"/>
  <c r="M296" i="1"/>
  <c r="N296" i="1"/>
  <c r="O296" i="1"/>
  <c r="P296" i="1"/>
  <c r="Q296" i="1" a="1"/>
  <c r="Q296" i="1" s="1"/>
  <c r="R296" i="1"/>
  <c r="M297" i="1"/>
  <c r="N297" i="1"/>
  <c r="O297" i="1"/>
  <c r="P297" i="1"/>
  <c r="Q297" i="1" a="1"/>
  <c r="Q297" i="1"/>
  <c r="R297" i="1"/>
  <c r="M298" i="1"/>
  <c r="N298" i="1"/>
  <c r="O298" i="1"/>
  <c r="P298" i="1"/>
  <c r="Q298" i="1" a="1"/>
  <c r="Q298" i="1"/>
  <c r="R298" i="1"/>
  <c r="M299" i="1"/>
  <c r="N299" i="1"/>
  <c r="S299" i="1" s="1"/>
  <c r="O299" i="1"/>
  <c r="P299" i="1"/>
  <c r="Q299" i="1" a="1"/>
  <c r="Q299" i="1" s="1"/>
  <c r="R299" i="1"/>
  <c r="M300" i="1"/>
  <c r="N300" i="1"/>
  <c r="O300" i="1"/>
  <c r="P300" i="1"/>
  <c r="Q300" i="1" a="1"/>
  <c r="Q300" i="1" s="1"/>
  <c r="S300" i="1" s="1"/>
  <c r="R300" i="1"/>
  <c r="M301" i="1"/>
  <c r="N301" i="1"/>
  <c r="O301" i="1"/>
  <c r="P301" i="1"/>
  <c r="Q301" i="1" a="1"/>
  <c r="Q301" i="1" s="1"/>
  <c r="R301" i="1"/>
  <c r="M302" i="1"/>
  <c r="N302" i="1"/>
  <c r="O302" i="1"/>
  <c r="P302" i="1"/>
  <c r="Q302" i="1" a="1"/>
  <c r="Q302" i="1"/>
  <c r="R302" i="1"/>
  <c r="M303" i="1"/>
  <c r="S303" i="1" s="1"/>
  <c r="N303" i="1"/>
  <c r="O303" i="1"/>
  <c r="P303" i="1"/>
  <c r="Q303" i="1" a="1"/>
  <c r="Q303" i="1" s="1"/>
  <c r="R303" i="1"/>
  <c r="M304" i="1"/>
  <c r="N304" i="1"/>
  <c r="O304" i="1"/>
  <c r="P304" i="1"/>
  <c r="Q304" i="1" a="1"/>
  <c r="Q304" i="1" s="1"/>
  <c r="R304" i="1"/>
  <c r="M305" i="1"/>
  <c r="S305" i="1" s="1"/>
  <c r="N305" i="1"/>
  <c r="O305" i="1"/>
  <c r="P305" i="1"/>
  <c r="Q305" i="1" a="1"/>
  <c r="Q305" i="1"/>
  <c r="R305" i="1"/>
  <c r="M306" i="1"/>
  <c r="N306" i="1"/>
  <c r="O306" i="1"/>
  <c r="P306" i="1"/>
  <c r="Q306" i="1" a="1"/>
  <c r="Q306" i="1"/>
  <c r="R306" i="1"/>
  <c r="M307" i="1"/>
  <c r="S307" i="1" s="1"/>
  <c r="N307" i="1"/>
  <c r="O307" i="1"/>
  <c r="P307" i="1"/>
  <c r="Q307" i="1" a="1"/>
  <c r="Q307" i="1" s="1"/>
  <c r="R307" i="1"/>
  <c r="M308" i="1"/>
  <c r="N308" i="1"/>
  <c r="O308" i="1"/>
  <c r="P308" i="1"/>
  <c r="Q308" i="1" a="1"/>
  <c r="Q308" i="1" s="1"/>
  <c r="S308" i="1" s="1"/>
  <c r="R308" i="1"/>
  <c r="M309" i="1"/>
  <c r="S309" i="1" s="1"/>
  <c r="N309" i="1"/>
  <c r="O309" i="1"/>
  <c r="P309" i="1"/>
  <c r="Q309" i="1" a="1"/>
  <c r="Q309" i="1" s="1"/>
  <c r="R309" i="1"/>
  <c r="M310" i="1"/>
  <c r="N310" i="1"/>
  <c r="O310" i="1"/>
  <c r="P310" i="1"/>
  <c r="Q310" i="1" a="1"/>
  <c r="Q310" i="1"/>
  <c r="R310" i="1"/>
  <c r="M311" i="1"/>
  <c r="S311" i="1" s="1"/>
  <c r="N311" i="1"/>
  <c r="O311" i="1"/>
  <c r="P311" i="1"/>
  <c r="Q311" i="1" a="1"/>
  <c r="Q311" i="1" s="1"/>
  <c r="R311" i="1"/>
  <c r="M312" i="1"/>
  <c r="N312" i="1"/>
  <c r="O312" i="1"/>
  <c r="P312" i="1"/>
  <c r="Q312" i="1" a="1"/>
  <c r="Q312" i="1" s="1"/>
  <c r="R312" i="1"/>
  <c r="M313" i="1"/>
  <c r="N313" i="1"/>
  <c r="O313" i="1"/>
  <c r="P313" i="1"/>
  <c r="S313" i="1" s="1"/>
  <c r="Q313" i="1" a="1"/>
  <c r="Q313" i="1" s="1"/>
  <c r="R313" i="1"/>
  <c r="T313" i="1"/>
  <c r="M314" i="1"/>
  <c r="N314" i="1"/>
  <c r="O314" i="1"/>
  <c r="P314" i="1"/>
  <c r="Q314" i="1" a="1"/>
  <c r="Q314" i="1"/>
  <c r="R314" i="1"/>
  <c r="M315" i="1"/>
  <c r="N315" i="1"/>
  <c r="O315" i="1"/>
  <c r="P315" i="1"/>
  <c r="Q315" i="1" a="1"/>
  <c r="Q315" i="1" s="1"/>
  <c r="R315" i="1"/>
  <c r="S315" i="1"/>
  <c r="T315" i="1"/>
  <c r="M316" i="1"/>
  <c r="N316" i="1"/>
  <c r="O316" i="1"/>
  <c r="P316" i="1"/>
  <c r="Q316" i="1" a="1"/>
  <c r="Q316" i="1" s="1"/>
  <c r="R316" i="1"/>
  <c r="M317" i="1"/>
  <c r="N317" i="1"/>
  <c r="O317" i="1"/>
  <c r="P317" i="1"/>
  <c r="Q317" i="1" a="1"/>
  <c r="Q317" i="1" s="1"/>
  <c r="S317" i="1" s="1"/>
  <c r="R317" i="1"/>
  <c r="T317" i="1"/>
  <c r="M318" i="1"/>
  <c r="N318" i="1"/>
  <c r="O318" i="1"/>
  <c r="P318" i="1"/>
  <c r="Q318" i="1" a="1"/>
  <c r="Q318" i="1" s="1"/>
  <c r="R318" i="1"/>
  <c r="M319" i="1"/>
  <c r="N319" i="1"/>
  <c r="O319" i="1"/>
  <c r="P319" i="1"/>
  <c r="Q319" i="1" a="1"/>
  <c r="Q319" i="1" s="1"/>
  <c r="S319" i="1" s="1"/>
  <c r="R319" i="1"/>
  <c r="M320" i="1"/>
  <c r="N320" i="1"/>
  <c r="O320" i="1"/>
  <c r="P320" i="1"/>
  <c r="Q320" i="1" a="1"/>
  <c r="Q320" i="1"/>
  <c r="R320" i="1"/>
  <c r="M321" i="1"/>
  <c r="N321" i="1"/>
  <c r="O321" i="1"/>
  <c r="P321" i="1"/>
  <c r="Q321" i="1" a="1"/>
  <c r="Q321" i="1" s="1"/>
  <c r="R321" i="1"/>
  <c r="M322" i="1"/>
  <c r="N322" i="1"/>
  <c r="O322" i="1"/>
  <c r="P322" i="1"/>
  <c r="Q322" i="1" a="1"/>
  <c r="Q322" i="1" s="1"/>
  <c r="R322" i="1"/>
  <c r="M323" i="1"/>
  <c r="N323" i="1"/>
  <c r="O323" i="1"/>
  <c r="P323" i="1"/>
  <c r="Q323" i="1" a="1"/>
  <c r="Q323" i="1" s="1"/>
  <c r="R323" i="1"/>
  <c r="M324" i="1"/>
  <c r="N324" i="1"/>
  <c r="O324" i="1"/>
  <c r="P324" i="1"/>
  <c r="Q324" i="1" a="1"/>
  <c r="Q324" i="1"/>
  <c r="R324" i="1"/>
  <c r="S324" i="1"/>
  <c r="T324" i="1"/>
  <c r="M325" i="1"/>
  <c r="S325" i="1" s="1"/>
  <c r="N325" i="1"/>
  <c r="O325" i="1"/>
  <c r="P325" i="1"/>
  <c r="Q325" i="1" a="1"/>
  <c r="Q325" i="1" s="1"/>
  <c r="R325" i="1"/>
  <c r="M326" i="1"/>
  <c r="N326" i="1"/>
  <c r="O326" i="1"/>
  <c r="P326" i="1"/>
  <c r="Q326" i="1" a="1"/>
  <c r="Q326" i="1"/>
  <c r="R326" i="1"/>
  <c r="M327" i="1"/>
  <c r="S327" i="1" s="1"/>
  <c r="N327" i="1"/>
  <c r="O327" i="1"/>
  <c r="P327" i="1"/>
  <c r="Q327" i="1" a="1"/>
  <c r="Q327" i="1" s="1"/>
  <c r="R327" i="1"/>
  <c r="M328" i="1"/>
  <c r="N328" i="1"/>
  <c r="O328" i="1"/>
  <c r="P328" i="1"/>
  <c r="Q328" i="1" a="1"/>
  <c r="Q328" i="1" s="1"/>
  <c r="R328" i="1"/>
  <c r="M329" i="1"/>
  <c r="S329" i="1" s="1"/>
  <c r="N329" i="1"/>
  <c r="O329" i="1"/>
  <c r="P329" i="1"/>
  <c r="Q329" i="1" a="1"/>
  <c r="Q329" i="1"/>
  <c r="R329" i="1"/>
  <c r="M330" i="1"/>
  <c r="N330" i="1"/>
  <c r="O330" i="1"/>
  <c r="P330" i="1"/>
  <c r="Q330" i="1" a="1"/>
  <c r="Q330" i="1" s="1"/>
  <c r="R330" i="1"/>
  <c r="M331" i="1"/>
  <c r="S331" i="1" s="1"/>
  <c r="N331" i="1"/>
  <c r="O331" i="1"/>
  <c r="P331" i="1"/>
  <c r="Q331" i="1" a="1"/>
  <c r="Q331" i="1" s="1"/>
  <c r="R331" i="1"/>
  <c r="M332" i="1"/>
  <c r="S332" i="1" s="1"/>
  <c r="N332" i="1"/>
  <c r="O332" i="1"/>
  <c r="P332" i="1"/>
  <c r="Q332" i="1" a="1"/>
  <c r="Q332" i="1" s="1"/>
  <c r="R332" i="1"/>
  <c r="M333" i="1"/>
  <c r="N333" i="1"/>
  <c r="O333" i="1"/>
  <c r="P333" i="1"/>
  <c r="Q333" i="1" a="1"/>
  <c r="Q333" i="1" s="1"/>
  <c r="R333" i="1"/>
  <c r="S333" i="1"/>
  <c r="T333" i="1"/>
  <c r="M334" i="1"/>
  <c r="N334" i="1"/>
  <c r="O334" i="1"/>
  <c r="P334" i="1"/>
  <c r="Q334" i="1" a="1"/>
  <c r="Q334" i="1" s="1"/>
  <c r="R334" i="1"/>
  <c r="M335" i="1"/>
  <c r="N335" i="1"/>
  <c r="O335" i="1"/>
  <c r="P335" i="1"/>
  <c r="Q335" i="1" a="1"/>
  <c r="Q335" i="1" s="1"/>
  <c r="R335" i="1"/>
  <c r="S335" i="1"/>
  <c r="T335" i="1" s="1"/>
  <c r="V335" i="1"/>
  <c r="M336" i="1"/>
  <c r="N336" i="1"/>
  <c r="O336" i="1"/>
  <c r="P336" i="1"/>
  <c r="Q336" i="1" a="1"/>
  <c r="Q336" i="1" s="1"/>
  <c r="R336" i="1"/>
  <c r="M337" i="1"/>
  <c r="N337" i="1"/>
  <c r="O337" i="1"/>
  <c r="P337" i="1"/>
  <c r="Q337" i="1" a="1"/>
  <c r="Q337" i="1" s="1"/>
  <c r="R337" i="1"/>
  <c r="M338" i="1"/>
  <c r="S338" i="1" s="1"/>
  <c r="T338" i="1" s="1"/>
  <c r="N338" i="1"/>
  <c r="O338" i="1"/>
  <c r="P338" i="1"/>
  <c r="Q338" i="1" a="1"/>
  <c r="Q338" i="1"/>
  <c r="R338" i="1"/>
  <c r="M339" i="1"/>
  <c r="N339" i="1"/>
  <c r="O339" i="1"/>
  <c r="P339" i="1"/>
  <c r="Q339" i="1" a="1"/>
  <c r="Q339" i="1" s="1"/>
  <c r="R339" i="1"/>
  <c r="M340" i="1"/>
  <c r="N340" i="1"/>
  <c r="O340" i="1"/>
  <c r="P340" i="1"/>
  <c r="Q340" i="1" a="1"/>
  <c r="Q340" i="1" s="1"/>
  <c r="R340" i="1"/>
  <c r="M341" i="1"/>
  <c r="N341" i="1"/>
  <c r="O341" i="1"/>
  <c r="P341" i="1"/>
  <c r="Q341" i="1" a="1"/>
  <c r="Q341" i="1" s="1"/>
  <c r="R341" i="1"/>
  <c r="M342" i="1"/>
  <c r="N342" i="1"/>
  <c r="O342" i="1"/>
  <c r="P342" i="1"/>
  <c r="Q342" i="1" a="1"/>
  <c r="Q342" i="1"/>
  <c r="R342" i="1"/>
  <c r="M343" i="1"/>
  <c r="S343" i="1" s="1"/>
  <c r="N343" i="1"/>
  <c r="O343" i="1"/>
  <c r="P343" i="1"/>
  <c r="Q343" i="1" a="1"/>
  <c r="Q343" i="1" s="1"/>
  <c r="R343" i="1"/>
  <c r="M344" i="1"/>
  <c r="N344" i="1"/>
  <c r="O344" i="1"/>
  <c r="P344" i="1"/>
  <c r="Q344" i="1" a="1"/>
  <c r="Q344" i="1"/>
  <c r="R344" i="1"/>
  <c r="M345" i="1"/>
  <c r="N345" i="1"/>
  <c r="O345" i="1"/>
  <c r="S345" i="1" s="1"/>
  <c r="P345" i="1"/>
  <c r="Q345" i="1" a="1"/>
  <c r="Q345" i="1" s="1"/>
  <c r="R345" i="1"/>
  <c r="M346" i="1"/>
  <c r="N346" i="1"/>
  <c r="O346" i="1"/>
  <c r="P346" i="1"/>
  <c r="Q346" i="1" a="1"/>
  <c r="Q346" i="1" s="1"/>
  <c r="R346" i="1"/>
  <c r="M347" i="1"/>
  <c r="S347" i="1" s="1"/>
  <c r="N347" i="1"/>
  <c r="O347" i="1"/>
  <c r="P347" i="1"/>
  <c r="Q347" i="1" a="1"/>
  <c r="Q347" i="1" s="1"/>
  <c r="R347" i="1"/>
  <c r="M348" i="1"/>
  <c r="S348" i="1" s="1"/>
  <c r="N348" i="1"/>
  <c r="O348" i="1"/>
  <c r="P348" i="1"/>
  <c r="Q348" i="1" a="1"/>
  <c r="Q348" i="1"/>
  <c r="R348" i="1"/>
  <c r="M349" i="1"/>
  <c r="S349" i="1" s="1"/>
  <c r="N349" i="1"/>
  <c r="O349" i="1"/>
  <c r="P349" i="1"/>
  <c r="Q349" i="1" a="1"/>
  <c r="Q349" i="1" s="1"/>
  <c r="R349" i="1"/>
  <c r="M350" i="1"/>
  <c r="N350" i="1"/>
  <c r="O350" i="1"/>
  <c r="P350" i="1"/>
  <c r="Q350" i="1" a="1"/>
  <c r="Q350" i="1" s="1"/>
  <c r="R350" i="1"/>
  <c r="M351" i="1"/>
  <c r="N351" i="1"/>
  <c r="O351" i="1"/>
  <c r="S351" i="1" s="1"/>
  <c r="T351" i="1" s="1"/>
  <c r="V351" i="1" s="1"/>
  <c r="P351" i="1"/>
  <c r="Q351" i="1" a="1"/>
  <c r="Q351" i="1" s="1"/>
  <c r="R351" i="1"/>
  <c r="M352" i="1"/>
  <c r="N352" i="1"/>
  <c r="O352" i="1"/>
  <c r="P352" i="1"/>
  <c r="Q352" i="1" a="1"/>
  <c r="Q352" i="1" s="1"/>
  <c r="R352" i="1"/>
  <c r="M353" i="1"/>
  <c r="N353" i="1"/>
  <c r="O353" i="1"/>
  <c r="P353" i="1"/>
  <c r="Q353" i="1" a="1"/>
  <c r="Q353" i="1"/>
  <c r="R353" i="1"/>
  <c r="M354" i="1"/>
  <c r="N354" i="1"/>
  <c r="O354" i="1"/>
  <c r="P354" i="1"/>
  <c r="Q354" i="1" a="1"/>
  <c r="Q354" i="1" s="1"/>
  <c r="R354" i="1"/>
  <c r="M355" i="1"/>
  <c r="N355" i="1"/>
  <c r="O355" i="1"/>
  <c r="P355" i="1"/>
  <c r="Q355" i="1" a="1"/>
  <c r="Q355" i="1" s="1"/>
  <c r="R355" i="1"/>
  <c r="S355" i="1"/>
  <c r="M356" i="1"/>
  <c r="N356" i="1"/>
  <c r="S356" i="1" s="1"/>
  <c r="O356" i="1"/>
  <c r="P356" i="1"/>
  <c r="Q356" i="1" a="1"/>
  <c r="Q356" i="1"/>
  <c r="R356" i="1"/>
  <c r="M357" i="1"/>
  <c r="N357" i="1"/>
  <c r="O357" i="1"/>
  <c r="P357" i="1"/>
  <c r="Q357" i="1" a="1"/>
  <c r="Q357" i="1" s="1"/>
  <c r="R357" i="1"/>
  <c r="M358" i="1"/>
  <c r="N358" i="1"/>
  <c r="O358" i="1"/>
  <c r="P358" i="1"/>
  <c r="Q358" i="1" a="1"/>
  <c r="Q358" i="1" s="1"/>
  <c r="R358" i="1"/>
  <c r="M359" i="1"/>
  <c r="N359" i="1"/>
  <c r="O359" i="1"/>
  <c r="P359" i="1"/>
  <c r="Q359" i="1" a="1"/>
  <c r="Q359" i="1" s="1"/>
  <c r="R359" i="1"/>
  <c r="M360" i="1"/>
  <c r="N360" i="1"/>
  <c r="O360" i="1"/>
  <c r="P360" i="1"/>
  <c r="Q360" i="1" a="1"/>
  <c r="Q360" i="1" s="1"/>
  <c r="R360" i="1"/>
  <c r="M361" i="1"/>
  <c r="S361" i="1" s="1"/>
  <c r="N361" i="1"/>
  <c r="O361" i="1"/>
  <c r="P361" i="1"/>
  <c r="Q361" i="1" a="1"/>
  <c r="Q361" i="1" s="1"/>
  <c r="R361" i="1"/>
  <c r="M362" i="1"/>
  <c r="N362" i="1"/>
  <c r="O362" i="1"/>
  <c r="P362" i="1"/>
  <c r="Q362" i="1" a="1"/>
  <c r="Q362" i="1"/>
  <c r="R362" i="1"/>
  <c r="M363" i="1"/>
  <c r="N363" i="1"/>
  <c r="S363" i="1" s="1"/>
  <c r="O363" i="1"/>
  <c r="P363" i="1"/>
  <c r="Q363" i="1" a="1"/>
  <c r="Q363" i="1"/>
  <c r="R363" i="1"/>
  <c r="M364" i="1"/>
  <c r="N364" i="1"/>
  <c r="O364" i="1"/>
  <c r="P364" i="1"/>
  <c r="Q364" i="1" a="1"/>
  <c r="Q364" i="1"/>
  <c r="R364" i="1"/>
  <c r="M365" i="1"/>
  <c r="S365" i="1" s="1"/>
  <c r="T365" i="1" s="1"/>
  <c r="N365" i="1"/>
  <c r="O365" i="1"/>
  <c r="P365" i="1"/>
  <c r="Q365" i="1" a="1"/>
  <c r="Q365" i="1" s="1"/>
  <c r="R365" i="1"/>
  <c r="V365" i="1"/>
  <c r="M366" i="1"/>
  <c r="S366" i="1" s="1"/>
  <c r="N366" i="1"/>
  <c r="O366" i="1"/>
  <c r="P366" i="1"/>
  <c r="Q366" i="1" a="1"/>
  <c r="Q366" i="1"/>
  <c r="R366" i="1"/>
  <c r="M367" i="1"/>
  <c r="N367" i="1"/>
  <c r="O367" i="1"/>
  <c r="P367" i="1"/>
  <c r="Q367" i="1" a="1"/>
  <c r="Q367" i="1"/>
  <c r="R367" i="1"/>
  <c r="M368" i="1"/>
  <c r="N368" i="1"/>
  <c r="O368" i="1"/>
  <c r="P368" i="1"/>
  <c r="Q368" i="1" a="1"/>
  <c r="Q368" i="1"/>
  <c r="R368" i="1"/>
  <c r="M369" i="1"/>
  <c r="S369" i="1" s="1"/>
  <c r="N369" i="1"/>
  <c r="O369" i="1"/>
  <c r="P369" i="1"/>
  <c r="Q369" i="1" a="1"/>
  <c r="Q369" i="1"/>
  <c r="R369" i="1"/>
  <c r="M370" i="1"/>
  <c r="N370" i="1"/>
  <c r="O370" i="1"/>
  <c r="P370" i="1"/>
  <c r="Q370" i="1" a="1"/>
  <c r="Q370" i="1" s="1"/>
  <c r="S370" i="1" s="1"/>
  <c r="T370" i="1" s="1"/>
  <c r="V370" i="1" s="1"/>
  <c r="R370" i="1"/>
  <c r="M371" i="1"/>
  <c r="N371" i="1"/>
  <c r="O371" i="1"/>
  <c r="P371" i="1"/>
  <c r="Q371" i="1" a="1"/>
  <c r="Q371" i="1" s="1"/>
  <c r="R371" i="1"/>
  <c r="M372" i="1"/>
  <c r="N372" i="1"/>
  <c r="O372" i="1"/>
  <c r="P372" i="1"/>
  <c r="Q372" i="1" a="1"/>
  <c r="Q372" i="1"/>
  <c r="S372" i="1" s="1"/>
  <c r="T372" i="1" s="1"/>
  <c r="R372" i="1"/>
  <c r="M373" i="1"/>
  <c r="N373" i="1"/>
  <c r="S373" i="1" s="1"/>
  <c r="O373" i="1"/>
  <c r="P373" i="1"/>
  <c r="Q373" i="1" a="1"/>
  <c r="Q373" i="1"/>
  <c r="R373" i="1"/>
  <c r="M374" i="1"/>
  <c r="N374" i="1"/>
  <c r="O374" i="1"/>
  <c r="P374" i="1"/>
  <c r="Q374" i="1" a="1"/>
  <c r="Q374" i="1" s="1"/>
  <c r="R374" i="1"/>
  <c r="M375" i="1"/>
  <c r="N375" i="1"/>
  <c r="O375" i="1"/>
  <c r="P375" i="1"/>
  <c r="Q375" i="1" a="1"/>
  <c r="Q375" i="1" s="1"/>
  <c r="R375" i="1"/>
  <c r="S375" i="1"/>
  <c r="M376" i="1"/>
  <c r="S376" i="1" s="1"/>
  <c r="N376" i="1"/>
  <c r="O376" i="1"/>
  <c r="P376" i="1"/>
  <c r="Q376" i="1" a="1"/>
  <c r="Q376" i="1"/>
  <c r="R376" i="1"/>
  <c r="M377" i="1"/>
  <c r="N377" i="1"/>
  <c r="O377" i="1"/>
  <c r="P377" i="1"/>
  <c r="Q377" i="1" a="1"/>
  <c r="Q377" i="1" s="1"/>
  <c r="R377" i="1"/>
  <c r="M378" i="1"/>
  <c r="S378" i="1" s="1"/>
  <c r="T378" i="1" s="1"/>
  <c r="N378" i="1"/>
  <c r="O378" i="1"/>
  <c r="P378" i="1"/>
  <c r="Q378" i="1" a="1"/>
  <c r="Q378" i="1" s="1"/>
  <c r="R378" i="1"/>
  <c r="M379" i="1"/>
  <c r="N379" i="1"/>
  <c r="O379" i="1"/>
  <c r="P379" i="1"/>
  <c r="Q379" i="1" a="1"/>
  <c r="Q379" i="1"/>
  <c r="R379" i="1"/>
  <c r="M380" i="1"/>
  <c r="N380" i="1"/>
  <c r="O380" i="1"/>
  <c r="P380" i="1"/>
  <c r="Q380" i="1" a="1"/>
  <c r="Q380" i="1"/>
  <c r="S380" i="1" s="1"/>
  <c r="T380" i="1" s="1"/>
  <c r="R380" i="1"/>
  <c r="M381" i="1"/>
  <c r="N381" i="1"/>
  <c r="O381" i="1"/>
  <c r="P381" i="1"/>
  <c r="Q381" i="1" a="1"/>
  <c r="Q381" i="1" s="1"/>
  <c r="R381" i="1"/>
  <c r="M382" i="1"/>
  <c r="N382" i="1"/>
  <c r="O382" i="1"/>
  <c r="P382" i="1"/>
  <c r="Q382" i="1" a="1"/>
  <c r="Q382" i="1" s="1"/>
  <c r="R382" i="1"/>
  <c r="M383" i="1"/>
  <c r="N383" i="1"/>
  <c r="O383" i="1"/>
  <c r="P383" i="1"/>
  <c r="Q383" i="1" a="1"/>
  <c r="Q383" i="1" s="1"/>
  <c r="R383" i="1"/>
  <c r="S383" i="1"/>
  <c r="T383" i="1" s="1"/>
  <c r="M384" i="1"/>
  <c r="S384" i="1" s="1"/>
  <c r="N384" i="1"/>
  <c r="O384" i="1"/>
  <c r="P384" i="1"/>
  <c r="Q384" i="1" a="1"/>
  <c r="Q384" i="1"/>
  <c r="R384" i="1"/>
  <c r="M385" i="1"/>
  <c r="S385" i="1" s="1"/>
  <c r="N385" i="1"/>
  <c r="O385" i="1"/>
  <c r="P385" i="1"/>
  <c r="Q385" i="1" a="1"/>
  <c r="Q385" i="1" s="1"/>
  <c r="R385" i="1"/>
  <c r="M386" i="1"/>
  <c r="N386" i="1"/>
  <c r="O386" i="1"/>
  <c r="P386" i="1"/>
  <c r="Q386" i="1" a="1"/>
  <c r="Q386" i="1" s="1"/>
  <c r="R386" i="1"/>
  <c r="M387" i="1"/>
  <c r="N387" i="1"/>
  <c r="O387" i="1"/>
  <c r="P387" i="1"/>
  <c r="Q387" i="1" a="1"/>
  <c r="Q387" i="1"/>
  <c r="R387" i="1"/>
  <c r="M388" i="1"/>
  <c r="N388" i="1"/>
  <c r="O388" i="1"/>
  <c r="P388" i="1"/>
  <c r="Q388" i="1" a="1"/>
  <c r="Q388" i="1"/>
  <c r="R388" i="1"/>
  <c r="M389" i="1"/>
  <c r="N389" i="1"/>
  <c r="O389" i="1"/>
  <c r="P389" i="1"/>
  <c r="Q389" i="1" a="1"/>
  <c r="Q389" i="1" s="1"/>
  <c r="R389" i="1"/>
  <c r="M390" i="1"/>
  <c r="N390" i="1"/>
  <c r="O390" i="1"/>
  <c r="P390" i="1"/>
  <c r="Q390" i="1" a="1"/>
  <c r="Q390" i="1" s="1"/>
  <c r="R390" i="1"/>
  <c r="M391" i="1"/>
  <c r="N391" i="1"/>
  <c r="O391" i="1"/>
  <c r="P391" i="1"/>
  <c r="Q391" i="1" a="1"/>
  <c r="Q391" i="1" s="1"/>
  <c r="R391" i="1"/>
  <c r="S391" i="1"/>
  <c r="T391" i="1"/>
  <c r="M392" i="1"/>
  <c r="S392" i="1" s="1"/>
  <c r="N392" i="1"/>
  <c r="O392" i="1"/>
  <c r="P392" i="1"/>
  <c r="Q392" i="1" a="1"/>
  <c r="Q392" i="1"/>
  <c r="R392" i="1"/>
  <c r="M393" i="1"/>
  <c r="S393" i="1" s="1"/>
  <c r="N393" i="1"/>
  <c r="O393" i="1"/>
  <c r="P393" i="1"/>
  <c r="Q393" i="1" a="1"/>
  <c r="Q393" i="1" s="1"/>
  <c r="R393" i="1"/>
  <c r="M394" i="1"/>
  <c r="S394" i="1" s="1"/>
  <c r="T394" i="1" s="1"/>
  <c r="N394" i="1"/>
  <c r="O394" i="1"/>
  <c r="P394" i="1"/>
  <c r="Q394" i="1" a="1"/>
  <c r="Q394" i="1" s="1"/>
  <c r="R394" i="1"/>
  <c r="M395" i="1"/>
  <c r="S395" i="1" s="1"/>
  <c r="N395" i="1"/>
  <c r="O395" i="1"/>
  <c r="P395" i="1"/>
  <c r="Q395" i="1" a="1"/>
  <c r="Q395" i="1"/>
  <c r="R395" i="1"/>
  <c r="M396" i="1"/>
  <c r="N396" i="1"/>
  <c r="O396" i="1"/>
  <c r="P396" i="1"/>
  <c r="Q396" i="1" a="1"/>
  <c r="Q396" i="1"/>
  <c r="R396" i="1"/>
  <c r="M397" i="1"/>
  <c r="N397" i="1"/>
  <c r="O397" i="1"/>
  <c r="P397" i="1"/>
  <c r="Q397" i="1" a="1"/>
  <c r="Q397" i="1" s="1"/>
  <c r="R397" i="1"/>
  <c r="M398" i="1"/>
  <c r="N398" i="1"/>
  <c r="O398" i="1"/>
  <c r="P398" i="1"/>
  <c r="Q398" i="1" a="1"/>
  <c r="Q398" i="1" s="1"/>
  <c r="R398" i="1"/>
  <c r="M399" i="1"/>
  <c r="N399" i="1"/>
  <c r="O399" i="1"/>
  <c r="P399" i="1"/>
  <c r="Q399" i="1" a="1"/>
  <c r="Q399" i="1" s="1"/>
  <c r="R399" i="1"/>
  <c r="S399" i="1"/>
  <c r="T399" i="1" s="1"/>
  <c r="M400" i="1"/>
  <c r="S400" i="1" s="1"/>
  <c r="N400" i="1"/>
  <c r="O400" i="1"/>
  <c r="P400" i="1"/>
  <c r="Q400" i="1" a="1"/>
  <c r="Q400" i="1"/>
  <c r="R400" i="1"/>
  <c r="M401" i="1"/>
  <c r="S401" i="1" s="1"/>
  <c r="N401" i="1"/>
  <c r="O401" i="1"/>
  <c r="P401" i="1"/>
  <c r="Q401" i="1" a="1"/>
  <c r="Q401" i="1" s="1"/>
  <c r="R401" i="1"/>
  <c r="M402" i="1"/>
  <c r="N402" i="1"/>
  <c r="O402" i="1"/>
  <c r="P402" i="1"/>
  <c r="Q402" i="1" a="1"/>
  <c r="Q402" i="1" s="1"/>
  <c r="R402" i="1"/>
  <c r="M403" i="1"/>
  <c r="N403" i="1"/>
  <c r="O403" i="1"/>
  <c r="P403" i="1"/>
  <c r="Q403" i="1" a="1"/>
  <c r="Q403" i="1"/>
  <c r="R403" i="1"/>
  <c r="M404" i="1"/>
  <c r="N404" i="1"/>
  <c r="O404" i="1"/>
  <c r="P404" i="1"/>
  <c r="Q404" i="1" a="1"/>
  <c r="Q404" i="1" s="1"/>
  <c r="R404" i="1"/>
  <c r="M405" i="1"/>
  <c r="N405" i="1"/>
  <c r="O405" i="1"/>
  <c r="P405" i="1"/>
  <c r="Q405" i="1" a="1"/>
  <c r="Q405" i="1" s="1"/>
  <c r="R405" i="1"/>
  <c r="M406" i="1"/>
  <c r="N406" i="1"/>
  <c r="O406" i="1"/>
  <c r="P406" i="1"/>
  <c r="Q406" i="1" a="1"/>
  <c r="Q406" i="1" s="1"/>
  <c r="R406" i="1"/>
  <c r="M407" i="1"/>
  <c r="N407" i="1"/>
  <c r="O407" i="1"/>
  <c r="P407" i="1"/>
  <c r="Q407" i="1" a="1"/>
  <c r="Q407" i="1" s="1"/>
  <c r="S407" i="1" s="1"/>
  <c r="R407" i="1"/>
  <c r="M408" i="1"/>
  <c r="S408" i="1" s="1"/>
  <c r="N408" i="1"/>
  <c r="O408" i="1"/>
  <c r="P408" i="1"/>
  <c r="Q408" i="1" a="1"/>
  <c r="Q408" i="1"/>
  <c r="R408" i="1"/>
  <c r="M409" i="1"/>
  <c r="N409" i="1"/>
  <c r="O409" i="1"/>
  <c r="P409" i="1"/>
  <c r="Q409" i="1" a="1"/>
  <c r="Q409" i="1" s="1"/>
  <c r="R409" i="1"/>
  <c r="M410" i="1"/>
  <c r="S410" i="1" s="1"/>
  <c r="T410" i="1" s="1"/>
  <c r="N410" i="1"/>
  <c r="O410" i="1"/>
  <c r="P410" i="1"/>
  <c r="Q410" i="1" a="1"/>
  <c r="Q410" i="1" s="1"/>
  <c r="R410" i="1"/>
  <c r="M411" i="1"/>
  <c r="N411" i="1"/>
  <c r="O411" i="1"/>
  <c r="P411" i="1"/>
  <c r="Q411" i="1" a="1"/>
  <c r="Q411" i="1"/>
  <c r="R411" i="1"/>
  <c r="M412" i="1"/>
  <c r="S412" i="1" s="1"/>
  <c r="N412" i="1"/>
  <c r="O412" i="1"/>
  <c r="P412" i="1"/>
  <c r="Q412" i="1" a="1"/>
  <c r="Q412" i="1"/>
  <c r="R412" i="1"/>
  <c r="M413" i="1"/>
  <c r="N413" i="1"/>
  <c r="S413" i="1" s="1"/>
  <c r="O413" i="1"/>
  <c r="P413" i="1"/>
  <c r="Q413" i="1" a="1"/>
  <c r="Q413" i="1" s="1"/>
  <c r="R413" i="1"/>
  <c r="M414" i="1"/>
  <c r="N414" i="1"/>
  <c r="O414" i="1"/>
  <c r="P414" i="1"/>
  <c r="Q414" i="1" a="1"/>
  <c r="Q414" i="1" s="1"/>
  <c r="R414" i="1"/>
  <c r="M415" i="1"/>
  <c r="N415" i="1"/>
  <c r="O415" i="1"/>
  <c r="P415" i="1"/>
  <c r="Q415" i="1" a="1"/>
  <c r="Q415" i="1" s="1"/>
  <c r="R415" i="1"/>
  <c r="S415" i="1" s="1"/>
  <c r="M416" i="1"/>
  <c r="N416" i="1"/>
  <c r="O416" i="1"/>
  <c r="P416" i="1"/>
  <c r="Q416" i="1" a="1"/>
  <c r="Q416" i="1" s="1"/>
  <c r="R416" i="1"/>
  <c r="M417" i="1"/>
  <c r="N417" i="1"/>
  <c r="O417" i="1"/>
  <c r="P417" i="1"/>
  <c r="Q417" i="1" a="1"/>
  <c r="Q417" i="1"/>
  <c r="R417" i="1"/>
  <c r="M418" i="1"/>
  <c r="N418" i="1"/>
  <c r="O418" i="1"/>
  <c r="P418" i="1"/>
  <c r="Q418" i="1" a="1"/>
  <c r="Q418" i="1" s="1"/>
  <c r="R418" i="1"/>
  <c r="M419" i="1"/>
  <c r="N419" i="1"/>
  <c r="O419" i="1"/>
  <c r="P419" i="1"/>
  <c r="Q419" i="1" a="1"/>
  <c r="Q419" i="1"/>
  <c r="R419" i="1"/>
  <c r="M420" i="1"/>
  <c r="N420" i="1"/>
  <c r="O420" i="1"/>
  <c r="P420" i="1"/>
  <c r="Q420" i="1" a="1"/>
  <c r="Q420" i="1" s="1"/>
  <c r="S420" i="1" s="1"/>
  <c r="R420" i="1"/>
  <c r="T420" i="1"/>
  <c r="M421" i="1"/>
  <c r="N421" i="1"/>
  <c r="S421" i="1" s="1"/>
  <c r="O421" i="1"/>
  <c r="P421" i="1"/>
  <c r="Q421" i="1" a="1"/>
  <c r="Q421" i="1" s="1"/>
  <c r="R421" i="1"/>
  <c r="M422" i="1"/>
  <c r="S422" i="1" s="1"/>
  <c r="N422" i="1"/>
  <c r="O422" i="1"/>
  <c r="P422" i="1"/>
  <c r="Q422" i="1" a="1"/>
  <c r="Q422" i="1" s="1"/>
  <c r="R422" i="1"/>
  <c r="M423" i="1"/>
  <c r="N423" i="1"/>
  <c r="O423" i="1"/>
  <c r="S423" i="1" s="1"/>
  <c r="P423" i="1"/>
  <c r="Q423" i="1" a="1"/>
  <c r="Q423" i="1" s="1"/>
  <c r="R423" i="1"/>
  <c r="M424" i="1"/>
  <c r="N424" i="1"/>
  <c r="O424" i="1"/>
  <c r="P424" i="1"/>
  <c r="Q424" i="1" a="1"/>
  <c r="Q424" i="1" s="1"/>
  <c r="R424" i="1"/>
  <c r="M425" i="1"/>
  <c r="N425" i="1"/>
  <c r="O425" i="1"/>
  <c r="P425" i="1"/>
  <c r="Q425" i="1" a="1"/>
  <c r="Q425" i="1"/>
  <c r="R425" i="1"/>
  <c r="M426" i="1"/>
  <c r="N426" i="1"/>
  <c r="O426" i="1"/>
  <c r="P426" i="1"/>
  <c r="Q426" i="1" a="1"/>
  <c r="Q426" i="1" s="1"/>
  <c r="R426" i="1"/>
  <c r="M427" i="1"/>
  <c r="N427" i="1"/>
  <c r="O427" i="1"/>
  <c r="P427" i="1"/>
  <c r="Q427" i="1" a="1"/>
  <c r="Q427" i="1"/>
  <c r="R427" i="1"/>
  <c r="M428" i="1"/>
  <c r="N428" i="1"/>
  <c r="O428" i="1"/>
  <c r="P428" i="1"/>
  <c r="Q428" i="1" a="1"/>
  <c r="Q428" i="1" s="1"/>
  <c r="S428" i="1" s="1"/>
  <c r="R428" i="1"/>
  <c r="M429" i="1"/>
  <c r="N429" i="1"/>
  <c r="O429" i="1"/>
  <c r="P429" i="1"/>
  <c r="Q429" i="1" a="1"/>
  <c r="Q429" i="1" s="1"/>
  <c r="R429" i="1"/>
  <c r="M430" i="1"/>
  <c r="N430" i="1"/>
  <c r="O430" i="1"/>
  <c r="P430" i="1"/>
  <c r="Q430" i="1" a="1"/>
  <c r="Q430" i="1" s="1"/>
  <c r="R430" i="1"/>
  <c r="M431" i="1"/>
  <c r="N431" i="1"/>
  <c r="O431" i="1"/>
  <c r="P431" i="1"/>
  <c r="Q431" i="1" a="1"/>
  <c r="Q431" i="1" s="1"/>
  <c r="R431" i="1"/>
  <c r="S431" i="1"/>
  <c r="V431" i="1" s="1"/>
  <c r="T431" i="1"/>
  <c r="M432" i="1"/>
  <c r="S432" i="1" s="1"/>
  <c r="T432" i="1" s="1"/>
  <c r="N432" i="1"/>
  <c r="O432" i="1"/>
  <c r="P432" i="1"/>
  <c r="Q432" i="1" a="1"/>
  <c r="Q432" i="1" s="1"/>
  <c r="R432" i="1"/>
  <c r="M433" i="1"/>
  <c r="N433" i="1"/>
  <c r="O433" i="1"/>
  <c r="P433" i="1"/>
  <c r="Q433" i="1" a="1"/>
  <c r="Q433" i="1"/>
  <c r="R433" i="1"/>
  <c r="M434" i="1"/>
  <c r="S434" i="1" s="1"/>
  <c r="N434" i="1"/>
  <c r="O434" i="1"/>
  <c r="P434" i="1"/>
  <c r="Q434" i="1" a="1"/>
  <c r="Q434" i="1" s="1"/>
  <c r="R434" i="1"/>
  <c r="M435" i="1"/>
  <c r="N435" i="1"/>
  <c r="O435" i="1"/>
  <c r="P435" i="1"/>
  <c r="Q435" i="1" a="1"/>
  <c r="Q435" i="1"/>
  <c r="R435" i="1"/>
  <c r="M436" i="1"/>
  <c r="N436" i="1"/>
  <c r="O436" i="1"/>
  <c r="P436" i="1"/>
  <c r="Q436" i="1" a="1"/>
  <c r="Q436" i="1" s="1"/>
  <c r="R436" i="1"/>
  <c r="M437" i="1"/>
  <c r="N437" i="1"/>
  <c r="O437" i="1"/>
  <c r="P437" i="1"/>
  <c r="Q437" i="1" a="1"/>
  <c r="Q437" i="1" s="1"/>
  <c r="R437" i="1"/>
  <c r="M438" i="1"/>
  <c r="N438" i="1"/>
  <c r="O438" i="1"/>
  <c r="P438" i="1"/>
  <c r="Q438" i="1" a="1"/>
  <c r="Q438" i="1" s="1"/>
  <c r="R438" i="1"/>
  <c r="M439" i="1"/>
  <c r="N439" i="1"/>
  <c r="O439" i="1"/>
  <c r="P439" i="1"/>
  <c r="Q439" i="1" a="1"/>
  <c r="Q439" i="1" s="1"/>
  <c r="S439" i="1" s="1"/>
  <c r="R439" i="1"/>
  <c r="M440" i="1"/>
  <c r="S440" i="1" s="1"/>
  <c r="N440" i="1"/>
  <c r="O440" i="1"/>
  <c r="P440" i="1"/>
  <c r="Q440" i="1" a="1"/>
  <c r="Q440" i="1" s="1"/>
  <c r="R440" i="1"/>
  <c r="M441" i="1"/>
  <c r="N441" i="1"/>
  <c r="O441" i="1"/>
  <c r="P441" i="1"/>
  <c r="Q441" i="1" a="1"/>
  <c r="Q441" i="1" s="1"/>
  <c r="R441" i="1"/>
  <c r="M442" i="1"/>
  <c r="S442" i="1" s="1"/>
  <c r="T442" i="1" s="1"/>
  <c r="N442" i="1"/>
  <c r="O442" i="1"/>
  <c r="P442" i="1"/>
  <c r="Q442" i="1" a="1"/>
  <c r="Q442" i="1" s="1"/>
  <c r="R442" i="1"/>
  <c r="M443" i="1"/>
  <c r="S443" i="1" s="1"/>
  <c r="N443" i="1"/>
  <c r="O443" i="1"/>
  <c r="P443" i="1"/>
  <c r="Q443" i="1" a="1"/>
  <c r="Q443" i="1"/>
  <c r="R443" i="1"/>
  <c r="M444" i="1"/>
  <c r="N444" i="1"/>
  <c r="O444" i="1"/>
  <c r="P444" i="1"/>
  <c r="Q444" i="1" a="1"/>
  <c r="Q444" i="1"/>
  <c r="R444" i="1"/>
  <c r="M445" i="1"/>
  <c r="N445" i="1"/>
  <c r="O445" i="1"/>
  <c r="P445" i="1"/>
  <c r="Q445" i="1" a="1"/>
  <c r="Q445" i="1" s="1"/>
  <c r="R445" i="1"/>
  <c r="M446" i="1"/>
  <c r="N446" i="1"/>
  <c r="O446" i="1"/>
  <c r="P446" i="1"/>
  <c r="Q446" i="1" a="1"/>
  <c r="Q446" i="1" s="1"/>
  <c r="R446" i="1"/>
  <c r="M447" i="1"/>
  <c r="N447" i="1"/>
  <c r="O447" i="1"/>
  <c r="P447" i="1"/>
  <c r="Q447" i="1" a="1"/>
  <c r="Q447" i="1" s="1"/>
  <c r="S447" i="1" s="1"/>
  <c r="R447" i="1"/>
  <c r="M448" i="1"/>
  <c r="S448" i="1" s="1"/>
  <c r="T448" i="1" s="1"/>
  <c r="N448" i="1"/>
  <c r="O448" i="1"/>
  <c r="P448" i="1"/>
  <c r="Q448" i="1" a="1"/>
  <c r="Q448" i="1" s="1"/>
  <c r="R448" i="1"/>
  <c r="M449" i="1"/>
  <c r="N449" i="1"/>
  <c r="O449" i="1"/>
  <c r="P449" i="1"/>
  <c r="Q449" i="1" a="1"/>
  <c r="Q449" i="1" s="1"/>
  <c r="R449" i="1"/>
  <c r="M450" i="1"/>
  <c r="N450" i="1"/>
  <c r="O450" i="1"/>
  <c r="P450" i="1"/>
  <c r="Q450" i="1" a="1"/>
  <c r="Q450" i="1" s="1"/>
  <c r="R450" i="1"/>
  <c r="M451" i="1"/>
  <c r="N451" i="1"/>
  <c r="O451" i="1"/>
  <c r="P451" i="1"/>
  <c r="Q451" i="1" a="1"/>
  <c r="Q451" i="1"/>
  <c r="R451" i="1"/>
  <c r="M452" i="1"/>
  <c r="N452" i="1"/>
  <c r="O452" i="1"/>
  <c r="P452" i="1"/>
  <c r="Q452" i="1" a="1"/>
  <c r="Q452" i="1" s="1"/>
  <c r="R452" i="1"/>
  <c r="M453" i="1"/>
  <c r="N453" i="1"/>
  <c r="O453" i="1"/>
  <c r="P453" i="1"/>
  <c r="Q453" i="1" a="1"/>
  <c r="Q453" i="1" s="1"/>
  <c r="R453" i="1"/>
  <c r="S453" i="1"/>
  <c r="T453" i="1"/>
  <c r="M454" i="1"/>
  <c r="S454" i="1" s="1"/>
  <c r="N454" i="1"/>
  <c r="O454" i="1"/>
  <c r="P454" i="1"/>
  <c r="Q454" i="1" a="1"/>
  <c r="Q454" i="1" s="1"/>
  <c r="R454" i="1"/>
  <c r="M455" i="1"/>
  <c r="N455" i="1"/>
  <c r="O455" i="1"/>
  <c r="P455" i="1"/>
  <c r="Q455" i="1" a="1"/>
  <c r="Q455" i="1" s="1"/>
  <c r="R455" i="1"/>
  <c r="S455" i="1"/>
  <c r="T455" i="1"/>
  <c r="V455" i="1"/>
  <c r="M456" i="1"/>
  <c r="N456" i="1"/>
  <c r="O456" i="1"/>
  <c r="P456" i="1"/>
  <c r="Q456" i="1" a="1"/>
  <c r="Q456" i="1" s="1"/>
  <c r="R456" i="1"/>
  <c r="M457" i="1"/>
  <c r="N457" i="1"/>
  <c r="O457" i="1"/>
  <c r="P457" i="1"/>
  <c r="Q457" i="1" a="1"/>
  <c r="Q457" i="1"/>
  <c r="R457" i="1"/>
  <c r="M458" i="1"/>
  <c r="N458" i="1"/>
  <c r="O458" i="1"/>
  <c r="P458" i="1"/>
  <c r="Q458" i="1" a="1"/>
  <c r="Q458" i="1"/>
  <c r="R458" i="1"/>
  <c r="M459" i="1"/>
  <c r="N459" i="1"/>
  <c r="O459" i="1"/>
  <c r="P459" i="1"/>
  <c r="Q459" i="1" a="1"/>
  <c r="Q459" i="1"/>
  <c r="R459" i="1"/>
  <c r="M460" i="1"/>
  <c r="S460" i="1" s="1"/>
  <c r="N460" i="1"/>
  <c r="O460" i="1"/>
  <c r="P460" i="1"/>
  <c r="Q460" i="1" a="1"/>
  <c r="Q460" i="1" s="1"/>
  <c r="R460" i="1"/>
  <c r="M461" i="1"/>
  <c r="N461" i="1"/>
  <c r="O461" i="1"/>
  <c r="P461" i="1"/>
  <c r="Q461" i="1" a="1"/>
  <c r="Q461" i="1" s="1"/>
  <c r="R461" i="1"/>
  <c r="M462" i="1"/>
  <c r="N462" i="1"/>
  <c r="O462" i="1"/>
  <c r="P462" i="1"/>
  <c r="S462" i="1" s="1"/>
  <c r="Q462" i="1" a="1"/>
  <c r="Q462" i="1" s="1"/>
  <c r="R462" i="1"/>
  <c r="M463" i="1"/>
  <c r="N463" i="1"/>
  <c r="O463" i="1"/>
  <c r="P463" i="1"/>
  <c r="Q463" i="1" a="1"/>
  <c r="Q463" i="1" s="1"/>
  <c r="R463" i="1"/>
  <c r="M464" i="1"/>
  <c r="N464" i="1"/>
  <c r="O464" i="1"/>
  <c r="P464" i="1"/>
  <c r="Q464" i="1" a="1"/>
  <c r="Q464" i="1"/>
  <c r="R464" i="1"/>
  <c r="M465" i="1"/>
  <c r="N465" i="1"/>
  <c r="O465" i="1"/>
  <c r="P465" i="1"/>
  <c r="Q465" i="1" a="1"/>
  <c r="Q465" i="1" s="1"/>
  <c r="R465" i="1"/>
  <c r="M466" i="1"/>
  <c r="N466" i="1"/>
  <c r="O466" i="1"/>
  <c r="P466" i="1"/>
  <c r="Q466" i="1" a="1"/>
  <c r="Q466" i="1" s="1"/>
  <c r="R466" i="1"/>
  <c r="M467" i="1"/>
  <c r="S467" i="1" s="1"/>
  <c r="N467" i="1"/>
  <c r="O467" i="1"/>
  <c r="P467" i="1"/>
  <c r="Q467" i="1" a="1"/>
  <c r="Q467" i="1"/>
  <c r="R467" i="1"/>
  <c r="M468" i="1"/>
  <c r="N468" i="1"/>
  <c r="O468" i="1"/>
  <c r="P468" i="1"/>
  <c r="Q468" i="1" a="1"/>
  <c r="Q468" i="1" s="1"/>
  <c r="S468" i="1" s="1"/>
  <c r="T468" i="1" s="1"/>
  <c r="R468" i="1"/>
  <c r="M469" i="1"/>
  <c r="N469" i="1"/>
  <c r="O469" i="1"/>
  <c r="P469" i="1"/>
  <c r="Q469" i="1" a="1"/>
  <c r="Q469" i="1" s="1"/>
  <c r="R469" i="1"/>
  <c r="S469" i="1"/>
  <c r="T469" i="1" s="1"/>
  <c r="M470" i="1"/>
  <c r="N470" i="1"/>
  <c r="O470" i="1"/>
  <c r="P470" i="1"/>
  <c r="Q470" i="1" a="1"/>
  <c r="Q470" i="1" s="1"/>
  <c r="R470" i="1"/>
  <c r="S470" i="1"/>
  <c r="T470" i="1"/>
  <c r="M471" i="1"/>
  <c r="N471" i="1"/>
  <c r="O471" i="1"/>
  <c r="S471" i="1" s="1"/>
  <c r="P471" i="1"/>
  <c r="Q471" i="1" a="1"/>
  <c r="Q471" i="1" s="1"/>
  <c r="R471" i="1"/>
  <c r="M472" i="1"/>
  <c r="N472" i="1"/>
  <c r="O472" i="1"/>
  <c r="P472" i="1"/>
  <c r="Q472" i="1" a="1"/>
  <c r="Q472" i="1"/>
  <c r="R472" i="1"/>
  <c r="M473" i="1"/>
  <c r="N473" i="1"/>
  <c r="O473" i="1"/>
  <c r="P473" i="1"/>
  <c r="Q473" i="1" a="1"/>
  <c r="Q473" i="1" s="1"/>
  <c r="R473" i="1"/>
  <c r="M474" i="1"/>
  <c r="N474" i="1"/>
  <c r="O474" i="1"/>
  <c r="P474" i="1"/>
  <c r="Q474" i="1" a="1"/>
  <c r="Q474" i="1"/>
  <c r="R474" i="1"/>
  <c r="M475" i="1"/>
  <c r="N475" i="1"/>
  <c r="S475" i="1" s="1"/>
  <c r="O475" i="1"/>
  <c r="P475" i="1"/>
  <c r="Q475" i="1" a="1"/>
  <c r="Q475" i="1"/>
  <c r="R475" i="1"/>
  <c r="M476" i="1"/>
  <c r="N476" i="1"/>
  <c r="O476" i="1"/>
  <c r="P476" i="1"/>
  <c r="Q476" i="1" a="1"/>
  <c r="Q476" i="1" s="1"/>
  <c r="R476" i="1"/>
  <c r="M477" i="1"/>
  <c r="N477" i="1"/>
  <c r="O477" i="1"/>
  <c r="P477" i="1"/>
  <c r="Q477" i="1" a="1"/>
  <c r="Q477" i="1" s="1"/>
  <c r="R477" i="1"/>
  <c r="S477" i="1"/>
  <c r="T477" i="1"/>
  <c r="M478" i="1"/>
  <c r="S478" i="1" s="1"/>
  <c r="N478" i="1"/>
  <c r="O478" i="1"/>
  <c r="P478" i="1"/>
  <c r="Q478" i="1" a="1"/>
  <c r="Q478" i="1" s="1"/>
  <c r="R478" i="1"/>
  <c r="M479" i="1"/>
  <c r="N479" i="1"/>
  <c r="O479" i="1"/>
  <c r="P479" i="1"/>
  <c r="Q479" i="1" a="1"/>
  <c r="Q479" i="1" s="1"/>
  <c r="R479" i="1"/>
  <c r="S479" i="1"/>
  <c r="V479" i="1" s="1"/>
  <c r="T479" i="1"/>
  <c r="M480" i="1"/>
  <c r="N480" i="1"/>
  <c r="O480" i="1"/>
  <c r="P480" i="1"/>
  <c r="Q480" i="1" a="1"/>
  <c r="Q480" i="1"/>
  <c r="R480" i="1"/>
  <c r="M481" i="1"/>
  <c r="N481" i="1"/>
  <c r="O481" i="1"/>
  <c r="P481" i="1"/>
  <c r="Q481" i="1" a="1"/>
  <c r="Q481" i="1"/>
  <c r="R481" i="1"/>
  <c r="M482" i="1"/>
  <c r="N482" i="1"/>
  <c r="O482" i="1"/>
  <c r="P482" i="1"/>
  <c r="Q482" i="1" a="1"/>
  <c r="Q482" i="1"/>
  <c r="R482" i="1"/>
  <c r="M483" i="1"/>
  <c r="S483" i="1" s="1"/>
  <c r="N483" i="1"/>
  <c r="O483" i="1"/>
  <c r="P483" i="1"/>
  <c r="Q483" i="1" a="1"/>
  <c r="Q483" i="1"/>
  <c r="R483" i="1"/>
  <c r="M484" i="1"/>
  <c r="N484" i="1"/>
  <c r="S484" i="1" s="1"/>
  <c r="O484" i="1"/>
  <c r="P484" i="1"/>
  <c r="Q484" i="1" a="1"/>
  <c r="Q484" i="1"/>
  <c r="R484" i="1"/>
  <c r="M485" i="1"/>
  <c r="N485" i="1"/>
  <c r="O485" i="1"/>
  <c r="P485" i="1"/>
  <c r="Q485" i="1" a="1"/>
  <c r="Q485" i="1" s="1"/>
  <c r="R485" i="1"/>
  <c r="M486" i="1"/>
  <c r="S486" i="1" s="1"/>
  <c r="N486" i="1"/>
  <c r="O486" i="1"/>
  <c r="P486" i="1"/>
  <c r="Q486" i="1" a="1"/>
  <c r="Q486" i="1" s="1"/>
  <c r="R486" i="1"/>
  <c r="M487" i="1"/>
  <c r="S487" i="1" s="1"/>
  <c r="N487" i="1"/>
  <c r="O487" i="1"/>
  <c r="P487" i="1"/>
  <c r="Q487" i="1" a="1"/>
  <c r="Q487" i="1" s="1"/>
  <c r="R487" i="1"/>
  <c r="M488" i="1"/>
  <c r="N488" i="1"/>
  <c r="O488" i="1"/>
  <c r="P488" i="1"/>
  <c r="Q488" i="1" a="1"/>
  <c r="Q488" i="1"/>
  <c r="R488" i="1"/>
  <c r="M489" i="1"/>
  <c r="N489" i="1"/>
  <c r="O489" i="1"/>
  <c r="P489" i="1"/>
  <c r="Q489" i="1" a="1"/>
  <c r="Q489" i="1"/>
  <c r="R489" i="1"/>
  <c r="M490" i="1"/>
  <c r="N490" i="1"/>
  <c r="O490" i="1"/>
  <c r="P490" i="1"/>
  <c r="Q490" i="1" a="1"/>
  <c r="Q490" i="1"/>
  <c r="R490" i="1"/>
  <c r="M491" i="1"/>
  <c r="N491" i="1"/>
  <c r="O491" i="1"/>
  <c r="P491" i="1"/>
  <c r="Q491" i="1" a="1"/>
  <c r="Q491" i="1"/>
  <c r="S491" i="1" s="1"/>
  <c r="R491" i="1"/>
  <c r="M492" i="1"/>
  <c r="S492" i="1" s="1"/>
  <c r="N492" i="1"/>
  <c r="O492" i="1"/>
  <c r="P492" i="1"/>
  <c r="Q492" i="1" a="1"/>
  <c r="Q492" i="1"/>
  <c r="R492" i="1"/>
  <c r="M493" i="1"/>
  <c r="N493" i="1"/>
  <c r="S493" i="1" s="1"/>
  <c r="O493" i="1"/>
  <c r="P493" i="1"/>
  <c r="Q493" i="1" a="1"/>
  <c r="Q493" i="1" s="1"/>
  <c r="R493" i="1"/>
  <c r="M494" i="1"/>
  <c r="N494" i="1"/>
  <c r="O494" i="1"/>
  <c r="P494" i="1"/>
  <c r="Q494" i="1" a="1"/>
  <c r="Q494" i="1" s="1"/>
  <c r="R494" i="1"/>
  <c r="M495" i="1"/>
  <c r="S495" i="1" s="1"/>
  <c r="N495" i="1"/>
  <c r="O495" i="1"/>
  <c r="P495" i="1"/>
  <c r="Q495" i="1" a="1"/>
  <c r="Q495" i="1" s="1"/>
  <c r="R495" i="1"/>
  <c r="M496" i="1"/>
  <c r="S496" i="1" s="1"/>
  <c r="N496" i="1"/>
  <c r="O496" i="1"/>
  <c r="P496" i="1"/>
  <c r="Q496" i="1" a="1"/>
  <c r="Q496" i="1" s="1"/>
  <c r="R496" i="1"/>
  <c r="M497" i="1"/>
  <c r="N497" i="1"/>
  <c r="O497" i="1"/>
  <c r="P497" i="1"/>
  <c r="Q497" i="1" a="1"/>
  <c r="Q497" i="1"/>
  <c r="R497" i="1"/>
  <c r="M498" i="1"/>
  <c r="N498" i="1"/>
  <c r="O498" i="1"/>
  <c r="P498" i="1"/>
  <c r="Q498" i="1" a="1"/>
  <c r="Q498" i="1"/>
  <c r="R498" i="1"/>
  <c r="M499" i="1"/>
  <c r="S499" i="1" s="1"/>
  <c r="N499" i="1"/>
  <c r="O499" i="1"/>
  <c r="P499" i="1"/>
  <c r="Q499" i="1" a="1"/>
  <c r="Q499" i="1"/>
  <c r="R499" i="1"/>
  <c r="M500" i="1"/>
  <c r="N500" i="1"/>
  <c r="O500" i="1"/>
  <c r="P500" i="1"/>
  <c r="Q500" i="1" a="1"/>
  <c r="Q500" i="1"/>
  <c r="S500" i="1" s="1"/>
  <c r="R500" i="1"/>
  <c r="M501" i="1"/>
  <c r="N501" i="1"/>
  <c r="O501" i="1"/>
  <c r="P501" i="1"/>
  <c r="Q501" i="1" a="1"/>
  <c r="Q501" i="1" s="1"/>
  <c r="R501" i="1"/>
  <c r="M502" i="1"/>
  <c r="N502" i="1"/>
  <c r="O502" i="1"/>
  <c r="S502" i="1" s="1"/>
  <c r="P502" i="1"/>
  <c r="Q502" i="1" a="1"/>
  <c r="Q502" i="1" s="1"/>
  <c r="R502" i="1"/>
  <c r="M503" i="1"/>
  <c r="S503" i="1" s="1"/>
  <c r="N503" i="1"/>
  <c r="O503" i="1"/>
  <c r="P503" i="1"/>
  <c r="Q503" i="1" a="1"/>
  <c r="Q503" i="1" s="1"/>
  <c r="R503" i="1"/>
  <c r="M504" i="1"/>
  <c r="N504" i="1"/>
  <c r="O504" i="1"/>
  <c r="P504" i="1"/>
  <c r="Q504" i="1" a="1"/>
  <c r="Q504" i="1" s="1"/>
  <c r="R504" i="1"/>
  <c r="M505" i="1"/>
  <c r="N505" i="1"/>
  <c r="O505" i="1"/>
  <c r="P505" i="1"/>
  <c r="Q505" i="1" a="1"/>
  <c r="Q505" i="1" s="1"/>
  <c r="R505" i="1"/>
  <c r="M506" i="1"/>
  <c r="N506" i="1"/>
  <c r="O506" i="1"/>
  <c r="P506" i="1"/>
  <c r="Q506" i="1" a="1"/>
  <c r="Q506" i="1"/>
  <c r="R506" i="1"/>
  <c r="M507" i="1"/>
  <c r="N507" i="1"/>
  <c r="O507" i="1"/>
  <c r="P507" i="1"/>
  <c r="Q507" i="1" a="1"/>
  <c r="Q507" i="1"/>
  <c r="R507" i="1"/>
  <c r="S507" i="1"/>
  <c r="T507" i="1" s="1"/>
  <c r="M508" i="1"/>
  <c r="N508" i="1"/>
  <c r="O508" i="1"/>
  <c r="P508" i="1"/>
  <c r="Q508" i="1" a="1"/>
  <c r="Q508" i="1"/>
  <c r="R508" i="1"/>
  <c r="M509" i="1"/>
  <c r="N509" i="1"/>
  <c r="O509" i="1"/>
  <c r="P509" i="1"/>
  <c r="S509" i="1" s="1"/>
  <c r="Q509" i="1" a="1"/>
  <c r="Q509" i="1" s="1"/>
  <c r="R509" i="1"/>
  <c r="M510" i="1"/>
  <c r="S510" i="1" s="1"/>
  <c r="N510" i="1"/>
  <c r="O510" i="1"/>
  <c r="P510" i="1"/>
  <c r="Q510" i="1" a="1"/>
  <c r="Q510" i="1" s="1"/>
  <c r="R510" i="1"/>
  <c r="M511" i="1"/>
  <c r="N511" i="1"/>
  <c r="O511" i="1"/>
  <c r="S511" i="1" s="1"/>
  <c r="P511" i="1"/>
  <c r="Q511" i="1" a="1"/>
  <c r="Q511" i="1" s="1"/>
  <c r="R511" i="1"/>
  <c r="M512" i="1"/>
  <c r="N512" i="1"/>
  <c r="O512" i="1"/>
  <c r="P512" i="1"/>
  <c r="Q512" i="1" a="1"/>
  <c r="Q512" i="1"/>
  <c r="R512" i="1"/>
  <c r="M513" i="1"/>
  <c r="N513" i="1"/>
  <c r="O513" i="1"/>
  <c r="P513" i="1"/>
  <c r="Q513" i="1" a="1"/>
  <c r="Q513" i="1" s="1"/>
  <c r="R513" i="1"/>
  <c r="M514" i="1"/>
  <c r="N514" i="1"/>
  <c r="O514" i="1"/>
  <c r="P514" i="1"/>
  <c r="Q514" i="1" a="1"/>
  <c r="Q514" i="1" s="1"/>
  <c r="R514" i="1"/>
  <c r="M515" i="1"/>
  <c r="N515" i="1"/>
  <c r="O515" i="1"/>
  <c r="P515" i="1"/>
  <c r="Q515" i="1" a="1"/>
  <c r="Q515" i="1"/>
  <c r="R515" i="1"/>
  <c r="S515" i="1"/>
  <c r="M516" i="1"/>
  <c r="N516" i="1"/>
  <c r="O516" i="1"/>
  <c r="P516" i="1"/>
  <c r="Q516" i="1" a="1"/>
  <c r="Q516" i="1"/>
  <c r="R516" i="1"/>
  <c r="S516" i="1"/>
  <c r="T516" i="1" s="1"/>
  <c r="M517" i="1"/>
  <c r="S517" i="1" s="1"/>
  <c r="N517" i="1"/>
  <c r="O517" i="1"/>
  <c r="P517" i="1"/>
  <c r="Q517" i="1" a="1"/>
  <c r="Q517" i="1" s="1"/>
  <c r="R517" i="1"/>
  <c r="M518" i="1"/>
  <c r="N518" i="1"/>
  <c r="O518" i="1"/>
  <c r="P518" i="1"/>
  <c r="Q518" i="1" a="1"/>
  <c r="Q518" i="1" s="1"/>
  <c r="R518" i="1"/>
  <c r="S518" i="1"/>
  <c r="T518" i="1" s="1"/>
  <c r="M519" i="1"/>
  <c r="N519" i="1"/>
  <c r="O519" i="1"/>
  <c r="P519" i="1"/>
  <c r="Q519" i="1" a="1"/>
  <c r="Q519" i="1" s="1"/>
  <c r="R519" i="1"/>
  <c r="M520" i="1"/>
  <c r="N520" i="1"/>
  <c r="O520" i="1"/>
  <c r="P520" i="1"/>
  <c r="Q520" i="1" a="1"/>
  <c r="Q520" i="1" s="1"/>
  <c r="R520" i="1"/>
  <c r="M521" i="1"/>
  <c r="N521" i="1"/>
  <c r="O521" i="1"/>
  <c r="P521" i="1"/>
  <c r="Q521" i="1" a="1"/>
  <c r="Q521" i="1"/>
  <c r="R521" i="1"/>
  <c r="M522" i="1"/>
  <c r="N522" i="1"/>
  <c r="O522" i="1"/>
  <c r="P522" i="1"/>
  <c r="Q522" i="1" a="1"/>
  <c r="Q522" i="1" s="1"/>
  <c r="R522" i="1"/>
  <c r="M523" i="1"/>
  <c r="S523" i="1" s="1"/>
  <c r="N523" i="1"/>
  <c r="O523" i="1"/>
  <c r="P523" i="1"/>
  <c r="Q523" i="1" a="1"/>
  <c r="Q523" i="1" s="1"/>
  <c r="R523" i="1"/>
  <c r="M524" i="1"/>
  <c r="N524" i="1"/>
  <c r="O524" i="1"/>
  <c r="P524" i="1"/>
  <c r="Q524" i="1" a="1"/>
  <c r="Q524" i="1"/>
  <c r="R524" i="1"/>
  <c r="S524" i="1"/>
  <c r="M525" i="1"/>
  <c r="S525" i="1" s="1"/>
  <c r="N525" i="1"/>
  <c r="O525" i="1"/>
  <c r="P525" i="1"/>
  <c r="Q525" i="1" a="1"/>
  <c r="Q525" i="1" s="1"/>
  <c r="R525" i="1"/>
  <c r="M526" i="1"/>
  <c r="N526" i="1"/>
  <c r="O526" i="1"/>
  <c r="P526" i="1"/>
  <c r="Q526" i="1" a="1"/>
  <c r="Q526" i="1" s="1"/>
  <c r="R526" i="1"/>
  <c r="S526" i="1"/>
  <c r="M527" i="1"/>
  <c r="N527" i="1"/>
  <c r="O527" i="1"/>
  <c r="P527" i="1"/>
  <c r="Q527" i="1" a="1"/>
  <c r="Q527" i="1" s="1"/>
  <c r="R527" i="1"/>
  <c r="S527" i="1"/>
  <c r="T527" i="1" s="1"/>
  <c r="M528" i="1"/>
  <c r="N528" i="1"/>
  <c r="O528" i="1"/>
  <c r="P528" i="1"/>
  <c r="Q528" i="1" a="1"/>
  <c r="Q528" i="1" s="1"/>
  <c r="R528" i="1"/>
  <c r="M529" i="1"/>
  <c r="N529" i="1"/>
  <c r="O529" i="1"/>
  <c r="P529" i="1"/>
  <c r="Q529" i="1" a="1"/>
  <c r="Q529" i="1" s="1"/>
  <c r="R529" i="1"/>
  <c r="M530" i="1"/>
  <c r="N530" i="1"/>
  <c r="O530" i="1"/>
  <c r="P530" i="1"/>
  <c r="Q530" i="1" a="1"/>
  <c r="Q530" i="1" s="1"/>
  <c r="R530" i="1"/>
  <c r="M531" i="1"/>
  <c r="N531" i="1"/>
  <c r="O531" i="1"/>
  <c r="P531" i="1"/>
  <c r="Q531" i="1" a="1"/>
  <c r="Q531" i="1" s="1"/>
  <c r="S531" i="1" s="1"/>
  <c r="R531" i="1"/>
  <c r="M532" i="1"/>
  <c r="S532" i="1" s="1"/>
  <c r="N532" i="1"/>
  <c r="O532" i="1"/>
  <c r="P532" i="1"/>
  <c r="Q532" i="1" a="1"/>
  <c r="Q532" i="1" s="1"/>
  <c r="R532" i="1"/>
  <c r="M533" i="1"/>
  <c r="N533" i="1"/>
  <c r="O533" i="1"/>
  <c r="P533" i="1"/>
  <c r="Q533" i="1" a="1"/>
  <c r="Q533" i="1" s="1"/>
  <c r="R533" i="1"/>
  <c r="S533" i="1"/>
  <c r="T533" i="1"/>
  <c r="M534" i="1"/>
  <c r="N534" i="1"/>
  <c r="S534" i="1" s="1"/>
  <c r="O534" i="1"/>
  <c r="P534" i="1"/>
  <c r="Q534" i="1" a="1"/>
  <c r="Q534" i="1"/>
  <c r="R534" i="1"/>
  <c r="M535" i="1"/>
  <c r="N535" i="1"/>
  <c r="O535" i="1"/>
  <c r="P535" i="1"/>
  <c r="Q535" i="1" a="1"/>
  <c r="Q535" i="1"/>
  <c r="R535" i="1"/>
  <c r="M536" i="1"/>
  <c r="N536" i="1"/>
  <c r="O536" i="1"/>
  <c r="P536" i="1"/>
  <c r="Q536" i="1" a="1"/>
  <c r="Q536" i="1" s="1"/>
  <c r="R536" i="1"/>
  <c r="M537" i="1"/>
  <c r="N537" i="1"/>
  <c r="O537" i="1"/>
  <c r="P537" i="1"/>
  <c r="Q537" i="1" a="1"/>
  <c r="Q537" i="1"/>
  <c r="R537" i="1"/>
  <c r="M538" i="1"/>
  <c r="N538" i="1"/>
  <c r="O538" i="1"/>
  <c r="P538" i="1"/>
  <c r="Q538" i="1" a="1"/>
  <c r="Q538" i="1"/>
  <c r="R538" i="1"/>
  <c r="S538" i="1"/>
  <c r="M539" i="1"/>
  <c r="S539" i="1" s="1"/>
  <c r="N539" i="1"/>
  <c r="O539" i="1"/>
  <c r="P539" i="1"/>
  <c r="Q539" i="1" a="1"/>
  <c r="Q539" i="1" s="1"/>
  <c r="R539" i="1"/>
  <c r="M540" i="1"/>
  <c r="N540" i="1"/>
  <c r="O540" i="1"/>
  <c r="P540" i="1"/>
  <c r="Q540" i="1" a="1"/>
  <c r="Q540" i="1"/>
  <c r="R540" i="1"/>
  <c r="M541" i="1"/>
  <c r="N541" i="1"/>
  <c r="O541" i="1"/>
  <c r="P541" i="1"/>
  <c r="Q541" i="1" a="1"/>
  <c r="Q541" i="1" s="1"/>
  <c r="S541" i="1" s="1"/>
  <c r="T541" i="1" s="1"/>
  <c r="R541" i="1"/>
  <c r="M542" i="1"/>
  <c r="N542" i="1"/>
  <c r="S542" i="1" s="1"/>
  <c r="O542" i="1"/>
  <c r="P542" i="1"/>
  <c r="Q542" i="1" a="1"/>
  <c r="Q542" i="1"/>
  <c r="R542" i="1"/>
  <c r="M543" i="1"/>
  <c r="N543" i="1"/>
  <c r="O543" i="1"/>
  <c r="P543" i="1"/>
  <c r="Q543" i="1" a="1"/>
  <c r="Q543" i="1"/>
  <c r="R543" i="1"/>
  <c r="M544" i="1"/>
  <c r="N544" i="1"/>
  <c r="O544" i="1"/>
  <c r="S544" i="1" s="1"/>
  <c r="P544" i="1"/>
  <c r="Q544" i="1" a="1"/>
  <c r="Q544" i="1" s="1"/>
  <c r="R544" i="1"/>
  <c r="M545" i="1"/>
  <c r="N545" i="1"/>
  <c r="O545" i="1"/>
  <c r="P545" i="1"/>
  <c r="Q545" i="1" a="1"/>
  <c r="Q545" i="1"/>
  <c r="R545" i="1"/>
  <c r="M546" i="1"/>
  <c r="N546" i="1"/>
  <c r="O546" i="1"/>
  <c r="P546" i="1"/>
  <c r="Q546" i="1" a="1"/>
  <c r="Q546" i="1"/>
  <c r="R546" i="1"/>
  <c r="S546" i="1"/>
  <c r="M547" i="1"/>
  <c r="N547" i="1"/>
  <c r="O547" i="1"/>
  <c r="P547" i="1"/>
  <c r="Q547" i="1" a="1"/>
  <c r="Q547" i="1" s="1"/>
  <c r="R547" i="1"/>
  <c r="M548" i="1"/>
  <c r="N548" i="1"/>
  <c r="O548" i="1"/>
  <c r="P548" i="1"/>
  <c r="Q548" i="1" a="1"/>
  <c r="Q548" i="1"/>
  <c r="R548" i="1"/>
  <c r="M549" i="1"/>
  <c r="N549" i="1"/>
  <c r="O549" i="1"/>
  <c r="P549" i="1"/>
  <c r="Q549" i="1" a="1"/>
  <c r="Q549" i="1" s="1"/>
  <c r="S549" i="1" s="1"/>
  <c r="T549" i="1" s="1"/>
  <c r="R549" i="1"/>
  <c r="M550" i="1"/>
  <c r="N550" i="1"/>
  <c r="O550" i="1"/>
  <c r="P550" i="1"/>
  <c r="Q550" i="1" a="1"/>
  <c r="Q550" i="1" s="1"/>
  <c r="R550" i="1"/>
  <c r="M551" i="1"/>
  <c r="S551" i="1" s="1"/>
  <c r="N551" i="1"/>
  <c r="O551" i="1"/>
  <c r="P551" i="1"/>
  <c r="Q551" i="1" a="1"/>
  <c r="Q551" i="1"/>
  <c r="R551" i="1"/>
  <c r="M552" i="1"/>
  <c r="N552" i="1"/>
  <c r="O552" i="1"/>
  <c r="P552" i="1"/>
  <c r="Q552" i="1" a="1"/>
  <c r="Q552" i="1" s="1"/>
  <c r="R552" i="1"/>
  <c r="M553" i="1"/>
  <c r="N553" i="1"/>
  <c r="O553" i="1"/>
  <c r="P553" i="1"/>
  <c r="Q553" i="1" a="1"/>
  <c r="Q553" i="1"/>
  <c r="R553" i="1"/>
  <c r="M554" i="1"/>
  <c r="N554" i="1"/>
  <c r="O554" i="1"/>
  <c r="P554" i="1"/>
  <c r="Q554" i="1" a="1"/>
  <c r="Q554" i="1"/>
  <c r="R554" i="1"/>
  <c r="S554" i="1"/>
  <c r="M555" i="1"/>
  <c r="N555" i="1"/>
  <c r="O555" i="1"/>
  <c r="P555" i="1"/>
  <c r="Q555" i="1" a="1"/>
  <c r="Q555" i="1" s="1"/>
  <c r="R555" i="1"/>
  <c r="M556" i="1"/>
  <c r="N556" i="1"/>
  <c r="O556" i="1"/>
  <c r="P556" i="1"/>
  <c r="Q556" i="1" a="1"/>
  <c r="Q556" i="1"/>
  <c r="R556" i="1"/>
  <c r="M557" i="1"/>
  <c r="N557" i="1"/>
  <c r="O557" i="1"/>
  <c r="P557" i="1"/>
  <c r="Q557" i="1" a="1"/>
  <c r="Q557" i="1" s="1"/>
  <c r="S557" i="1" s="1"/>
  <c r="T557" i="1" s="1"/>
  <c r="R557" i="1"/>
  <c r="V557" i="1"/>
  <c r="M558" i="1"/>
  <c r="S558" i="1" s="1"/>
  <c r="N558" i="1"/>
  <c r="O558" i="1"/>
  <c r="P558" i="1"/>
  <c r="Q558" i="1" a="1"/>
  <c r="Q558" i="1" s="1"/>
  <c r="R558" i="1"/>
  <c r="M559" i="1"/>
  <c r="S559" i="1" s="1"/>
  <c r="N559" i="1"/>
  <c r="O559" i="1"/>
  <c r="P559" i="1"/>
  <c r="Q559" i="1" a="1"/>
  <c r="Q559" i="1"/>
  <c r="R559" i="1"/>
  <c r="M560" i="1"/>
  <c r="N560" i="1"/>
  <c r="O560" i="1"/>
  <c r="P560" i="1"/>
  <c r="Q560" i="1" a="1"/>
  <c r="Q560" i="1" s="1"/>
  <c r="R560" i="1"/>
  <c r="M561" i="1"/>
  <c r="N561" i="1"/>
  <c r="O561" i="1"/>
  <c r="P561" i="1"/>
  <c r="Q561" i="1" a="1"/>
  <c r="Q561" i="1" s="1"/>
  <c r="R561" i="1"/>
  <c r="M562" i="1"/>
  <c r="N562" i="1"/>
  <c r="O562" i="1"/>
  <c r="P562" i="1"/>
  <c r="Q562" i="1" a="1"/>
  <c r="Q562" i="1"/>
  <c r="R562" i="1"/>
  <c r="S562" i="1"/>
  <c r="M563" i="1"/>
  <c r="S563" i="1" s="1"/>
  <c r="N563" i="1"/>
  <c r="O563" i="1"/>
  <c r="P563" i="1"/>
  <c r="Q563" i="1" a="1"/>
  <c r="Q563" i="1" s="1"/>
  <c r="R563" i="1"/>
  <c r="M564" i="1"/>
  <c r="N564" i="1"/>
  <c r="O564" i="1"/>
  <c r="P564" i="1"/>
  <c r="Q564" i="1" a="1"/>
  <c r="Q564" i="1"/>
  <c r="R564" i="1"/>
  <c r="M565" i="1"/>
  <c r="N565" i="1"/>
  <c r="O565" i="1"/>
  <c r="P565" i="1"/>
  <c r="Q565" i="1" a="1"/>
  <c r="Q565" i="1" s="1"/>
  <c r="S565" i="1" s="1"/>
  <c r="T565" i="1" s="1"/>
  <c r="R565" i="1"/>
  <c r="V565" i="1"/>
  <c r="M566" i="1"/>
  <c r="S566" i="1" s="1"/>
  <c r="N566" i="1"/>
  <c r="O566" i="1"/>
  <c r="P566" i="1"/>
  <c r="Q566" i="1" a="1"/>
  <c r="Q566" i="1" s="1"/>
  <c r="R566" i="1"/>
  <c r="M567" i="1"/>
  <c r="N567" i="1"/>
  <c r="O567" i="1"/>
  <c r="P567" i="1"/>
  <c r="Q567" i="1" a="1"/>
  <c r="Q567" i="1"/>
  <c r="R567" i="1"/>
  <c r="M568" i="1"/>
  <c r="N568" i="1"/>
  <c r="O568" i="1"/>
  <c r="P568" i="1"/>
  <c r="Q568" i="1" a="1"/>
  <c r="Q568" i="1" s="1"/>
  <c r="R568" i="1"/>
  <c r="M569" i="1"/>
  <c r="N569" i="1"/>
  <c r="O569" i="1"/>
  <c r="P569" i="1"/>
  <c r="Q569" i="1" a="1"/>
  <c r="Q569" i="1" s="1"/>
  <c r="R569" i="1"/>
  <c r="M570" i="1"/>
  <c r="N570" i="1"/>
  <c r="O570" i="1"/>
  <c r="P570" i="1"/>
  <c r="Q570" i="1" a="1"/>
  <c r="Q570" i="1"/>
  <c r="R570" i="1"/>
  <c r="S570" i="1"/>
  <c r="M571" i="1"/>
  <c r="N571" i="1"/>
  <c r="O571" i="1"/>
  <c r="P571" i="1"/>
  <c r="Q571" i="1" a="1"/>
  <c r="Q571" i="1" s="1"/>
  <c r="R571" i="1"/>
  <c r="M572" i="1"/>
  <c r="N572" i="1"/>
  <c r="O572" i="1"/>
  <c r="P572" i="1"/>
  <c r="Q572" i="1" a="1"/>
  <c r="Q572" i="1" s="1"/>
  <c r="R572" i="1"/>
  <c r="M573" i="1"/>
  <c r="N573" i="1"/>
  <c r="O573" i="1"/>
  <c r="P573" i="1"/>
  <c r="Q573" i="1" a="1"/>
  <c r="Q573" i="1" s="1"/>
  <c r="S573" i="1" s="1"/>
  <c r="T573" i="1" s="1"/>
  <c r="R573" i="1"/>
  <c r="M574" i="1"/>
  <c r="N574" i="1"/>
  <c r="O574" i="1"/>
  <c r="P574" i="1"/>
  <c r="Q574" i="1" a="1"/>
  <c r="Q574" i="1" s="1"/>
  <c r="R574" i="1"/>
  <c r="M575" i="1"/>
  <c r="S575" i="1" s="1"/>
  <c r="N575" i="1"/>
  <c r="O575" i="1"/>
  <c r="P575" i="1"/>
  <c r="Q575" i="1" a="1"/>
  <c r="Q575" i="1"/>
  <c r="R575" i="1"/>
  <c r="M576" i="1"/>
  <c r="S576" i="1" s="1"/>
  <c r="N576" i="1"/>
  <c r="O576" i="1"/>
  <c r="P576" i="1"/>
  <c r="Q576" i="1" a="1"/>
  <c r="Q576" i="1" s="1"/>
  <c r="R576" i="1"/>
  <c r="M577" i="1"/>
  <c r="N577" i="1"/>
  <c r="O577" i="1"/>
  <c r="P577" i="1"/>
  <c r="Q577" i="1" a="1"/>
  <c r="Q577" i="1" s="1"/>
  <c r="R577" i="1"/>
  <c r="M578" i="1"/>
  <c r="N578" i="1"/>
  <c r="O578" i="1"/>
  <c r="P578" i="1"/>
  <c r="Q578" i="1" a="1"/>
  <c r="Q578" i="1"/>
  <c r="R578" i="1"/>
  <c r="S578" i="1"/>
  <c r="M579" i="1"/>
  <c r="N579" i="1"/>
  <c r="O579" i="1"/>
  <c r="P579" i="1"/>
  <c r="Q579" i="1" a="1"/>
  <c r="Q579" i="1" s="1"/>
  <c r="R579" i="1"/>
  <c r="M580" i="1"/>
  <c r="S580" i="1" s="1"/>
  <c r="N580" i="1"/>
  <c r="O580" i="1"/>
  <c r="P580" i="1"/>
  <c r="Q580" i="1" a="1"/>
  <c r="Q580" i="1" s="1"/>
  <c r="R580" i="1"/>
  <c r="M581" i="1"/>
  <c r="N581" i="1"/>
  <c r="O581" i="1"/>
  <c r="P581" i="1"/>
  <c r="Q581" i="1" a="1"/>
  <c r="Q581" i="1" s="1"/>
  <c r="S581" i="1" s="1"/>
  <c r="T581" i="1" s="1"/>
  <c r="R581" i="1"/>
  <c r="M582" i="1"/>
  <c r="N582" i="1"/>
  <c r="O582" i="1"/>
  <c r="P582" i="1"/>
  <c r="Q582" i="1" a="1"/>
  <c r="Q582" i="1" s="1"/>
  <c r="R582" i="1"/>
  <c r="M583" i="1"/>
  <c r="N583" i="1"/>
  <c r="O583" i="1"/>
  <c r="P583" i="1"/>
  <c r="Q583" i="1" a="1"/>
  <c r="Q583" i="1" s="1"/>
  <c r="R583" i="1"/>
  <c r="M584" i="1"/>
  <c r="N584" i="1"/>
  <c r="O584" i="1"/>
  <c r="P584" i="1"/>
  <c r="Q584" i="1" a="1"/>
  <c r="Q584" i="1" s="1"/>
  <c r="R584" i="1"/>
  <c r="M585" i="1"/>
  <c r="N585" i="1"/>
  <c r="O585" i="1"/>
  <c r="P585" i="1"/>
  <c r="Q585" i="1" a="1"/>
  <c r="Q585" i="1" s="1"/>
  <c r="R585" i="1"/>
  <c r="M586" i="1"/>
  <c r="N586" i="1"/>
  <c r="O586" i="1"/>
  <c r="P586" i="1"/>
  <c r="Q586" i="1" a="1"/>
  <c r="Q586" i="1"/>
  <c r="R586" i="1"/>
  <c r="S586" i="1"/>
  <c r="M587" i="1"/>
  <c r="S587" i="1" s="1"/>
  <c r="N587" i="1"/>
  <c r="O587" i="1"/>
  <c r="P587" i="1"/>
  <c r="Q587" i="1" a="1"/>
  <c r="Q587" i="1" s="1"/>
  <c r="R587" i="1"/>
  <c r="M588" i="1"/>
  <c r="N588" i="1"/>
  <c r="O588" i="1"/>
  <c r="P588" i="1"/>
  <c r="Q588" i="1" a="1"/>
  <c r="Q588" i="1" s="1"/>
  <c r="R588" i="1"/>
  <c r="M589" i="1"/>
  <c r="N589" i="1"/>
  <c r="O589" i="1"/>
  <c r="P589" i="1"/>
  <c r="Q589" i="1" a="1"/>
  <c r="Q589" i="1" s="1"/>
  <c r="S589" i="1" s="1"/>
  <c r="T589" i="1" s="1"/>
  <c r="R589" i="1"/>
  <c r="V589" i="1"/>
  <c r="M590" i="1"/>
  <c r="S590" i="1" s="1"/>
  <c r="N590" i="1"/>
  <c r="O590" i="1"/>
  <c r="P590" i="1"/>
  <c r="Q590" i="1" a="1"/>
  <c r="Q590" i="1" s="1"/>
  <c r="R590" i="1"/>
  <c r="M591" i="1"/>
  <c r="N591" i="1"/>
  <c r="O591" i="1"/>
  <c r="P591" i="1"/>
  <c r="Q591" i="1" a="1"/>
  <c r="Q591" i="1"/>
  <c r="R591" i="1"/>
  <c r="M592" i="1"/>
  <c r="S592" i="1" s="1"/>
  <c r="N592" i="1"/>
  <c r="O592" i="1"/>
  <c r="P592" i="1"/>
  <c r="Q592" i="1" a="1"/>
  <c r="Q592" i="1" s="1"/>
  <c r="R592" i="1"/>
  <c r="M593" i="1"/>
  <c r="S593" i="1" s="1"/>
  <c r="N593" i="1"/>
  <c r="O593" i="1"/>
  <c r="P593" i="1"/>
  <c r="Q593" i="1" a="1"/>
  <c r="Q593" i="1" s="1"/>
  <c r="R593" i="1"/>
  <c r="M594" i="1"/>
  <c r="N594" i="1"/>
  <c r="O594" i="1"/>
  <c r="P594" i="1"/>
  <c r="Q594" i="1" a="1"/>
  <c r="Q594" i="1"/>
  <c r="R594" i="1"/>
  <c r="S594" i="1"/>
  <c r="M595" i="1"/>
  <c r="N595" i="1"/>
  <c r="O595" i="1"/>
  <c r="P595" i="1"/>
  <c r="Q595" i="1" a="1"/>
  <c r="Q595" i="1" s="1"/>
  <c r="R595" i="1"/>
  <c r="M596" i="1"/>
  <c r="N596" i="1"/>
  <c r="O596" i="1"/>
  <c r="P596" i="1"/>
  <c r="Q596" i="1" a="1"/>
  <c r="Q596" i="1" s="1"/>
  <c r="R596" i="1"/>
  <c r="M597" i="1"/>
  <c r="N597" i="1"/>
  <c r="O597" i="1"/>
  <c r="P597" i="1"/>
  <c r="Q597" i="1" a="1"/>
  <c r="Q597" i="1" s="1"/>
  <c r="S597" i="1" s="1"/>
  <c r="T597" i="1" s="1"/>
  <c r="R597" i="1"/>
  <c r="V597" i="1"/>
  <c r="M598" i="1"/>
  <c r="S598" i="1" s="1"/>
  <c r="N598" i="1"/>
  <c r="O598" i="1"/>
  <c r="P598" i="1"/>
  <c r="Q598" i="1" a="1"/>
  <c r="Q598" i="1" s="1"/>
  <c r="R598" i="1"/>
  <c r="M599" i="1"/>
  <c r="N599" i="1"/>
  <c r="O599" i="1"/>
  <c r="P599" i="1"/>
  <c r="Q599" i="1" a="1"/>
  <c r="Q599" i="1"/>
  <c r="R599" i="1"/>
  <c r="M600" i="1"/>
  <c r="N600" i="1"/>
  <c r="O600" i="1"/>
  <c r="P600" i="1"/>
  <c r="Q600" i="1" a="1"/>
  <c r="Q600" i="1" s="1"/>
  <c r="R600" i="1"/>
  <c r="M601" i="1"/>
  <c r="N601" i="1"/>
  <c r="O601" i="1"/>
  <c r="P601" i="1"/>
  <c r="Q601" i="1" a="1"/>
  <c r="Q601" i="1" s="1"/>
  <c r="R601" i="1"/>
  <c r="M602" i="1"/>
  <c r="N602" i="1"/>
  <c r="O602" i="1"/>
  <c r="P602" i="1"/>
  <c r="Q602" i="1" a="1"/>
  <c r="Q602" i="1"/>
  <c r="R602" i="1"/>
  <c r="S602" i="1"/>
  <c r="M603" i="1"/>
  <c r="N603" i="1"/>
  <c r="O603" i="1"/>
  <c r="P603" i="1"/>
  <c r="Q603" i="1" a="1"/>
  <c r="Q603" i="1" s="1"/>
  <c r="R603" i="1"/>
  <c r="M604" i="1"/>
  <c r="N604" i="1"/>
  <c r="O604" i="1"/>
  <c r="P604" i="1"/>
  <c r="Q604" i="1" a="1"/>
  <c r="Q604" i="1" s="1"/>
  <c r="R604" i="1"/>
  <c r="M605" i="1"/>
  <c r="N605" i="1"/>
  <c r="O605" i="1"/>
  <c r="P605" i="1"/>
  <c r="Q605" i="1" a="1"/>
  <c r="Q605" i="1" s="1"/>
  <c r="S605" i="1" s="1"/>
  <c r="T605" i="1" s="1"/>
  <c r="R605" i="1"/>
  <c r="M606" i="1"/>
  <c r="N606" i="1"/>
  <c r="O606" i="1"/>
  <c r="P606" i="1"/>
  <c r="Q606" i="1" a="1"/>
  <c r="Q606" i="1" s="1"/>
  <c r="R606" i="1"/>
  <c r="M607" i="1"/>
  <c r="S607" i="1" s="1"/>
  <c r="N607" i="1"/>
  <c r="O607" i="1"/>
  <c r="P607" i="1"/>
  <c r="Q607" i="1" a="1"/>
  <c r="Q607" i="1"/>
  <c r="R607" i="1"/>
  <c r="M608" i="1"/>
  <c r="N608" i="1"/>
  <c r="O608" i="1"/>
  <c r="P608" i="1"/>
  <c r="Q608" i="1" a="1"/>
  <c r="Q608" i="1" s="1"/>
  <c r="R608" i="1"/>
  <c r="M609" i="1"/>
  <c r="N609" i="1"/>
  <c r="O609" i="1"/>
  <c r="P609" i="1"/>
  <c r="Q609" i="1" a="1"/>
  <c r="Q609" i="1" s="1"/>
  <c r="R609" i="1"/>
  <c r="M610" i="1"/>
  <c r="N610" i="1"/>
  <c r="O610" i="1"/>
  <c r="P610" i="1"/>
  <c r="Q610" i="1" a="1"/>
  <c r="Q610" i="1"/>
  <c r="R610" i="1"/>
  <c r="S610" i="1"/>
  <c r="M611" i="1"/>
  <c r="N611" i="1"/>
  <c r="O611" i="1"/>
  <c r="P611" i="1"/>
  <c r="Q611" i="1" a="1"/>
  <c r="Q611" i="1" s="1"/>
  <c r="R611" i="1"/>
  <c r="M612" i="1"/>
  <c r="S612" i="1" s="1"/>
  <c r="N612" i="1"/>
  <c r="O612" i="1"/>
  <c r="P612" i="1"/>
  <c r="Q612" i="1" a="1"/>
  <c r="Q612" i="1" s="1"/>
  <c r="R612" i="1"/>
  <c r="M613" i="1"/>
  <c r="N613" i="1"/>
  <c r="O613" i="1"/>
  <c r="P613" i="1"/>
  <c r="Q613" i="1" a="1"/>
  <c r="Q613" i="1" s="1"/>
  <c r="S613" i="1" s="1"/>
  <c r="T613" i="1" s="1"/>
  <c r="R613" i="1"/>
  <c r="M614" i="1"/>
  <c r="N614" i="1"/>
  <c r="O614" i="1"/>
  <c r="P614" i="1"/>
  <c r="Q614" i="1" a="1"/>
  <c r="Q614" i="1" s="1"/>
  <c r="R614" i="1"/>
  <c r="M615" i="1"/>
  <c r="N615" i="1"/>
  <c r="O615" i="1"/>
  <c r="P615" i="1"/>
  <c r="Q615" i="1" a="1"/>
  <c r="Q615" i="1"/>
  <c r="R615" i="1"/>
  <c r="M616" i="1"/>
  <c r="N616" i="1"/>
  <c r="O616" i="1"/>
  <c r="P616" i="1"/>
  <c r="Q616" i="1" a="1"/>
  <c r="Q616" i="1" s="1"/>
  <c r="R616" i="1"/>
  <c r="M617" i="1"/>
  <c r="N617" i="1"/>
  <c r="O617" i="1"/>
  <c r="P617" i="1"/>
  <c r="Q617" i="1" a="1"/>
  <c r="Q617" i="1" s="1"/>
  <c r="R617" i="1"/>
  <c r="M618" i="1"/>
  <c r="N618" i="1"/>
  <c r="O618" i="1"/>
  <c r="P618" i="1"/>
  <c r="Q618" i="1" a="1"/>
  <c r="Q618" i="1"/>
  <c r="R618" i="1"/>
  <c r="S618" i="1" s="1"/>
  <c r="M619" i="1"/>
  <c r="S619" i="1" s="1"/>
  <c r="N619" i="1"/>
  <c r="O619" i="1"/>
  <c r="P619" i="1"/>
  <c r="Q619" i="1" a="1"/>
  <c r="Q619" i="1" s="1"/>
  <c r="R619" i="1"/>
  <c r="M620" i="1"/>
  <c r="N620" i="1"/>
  <c r="O620" i="1"/>
  <c r="P620" i="1"/>
  <c r="Q620" i="1" a="1"/>
  <c r="Q620" i="1" s="1"/>
  <c r="R620" i="1"/>
  <c r="M621" i="1"/>
  <c r="N621" i="1"/>
  <c r="O621" i="1"/>
  <c r="P621" i="1"/>
  <c r="Q621" i="1" a="1"/>
  <c r="Q621" i="1" s="1"/>
  <c r="S621" i="1" s="1"/>
  <c r="T621" i="1" s="1"/>
  <c r="R621" i="1"/>
  <c r="V621" i="1"/>
  <c r="M622" i="1"/>
  <c r="S622" i="1" s="1"/>
  <c r="N622" i="1"/>
  <c r="O622" i="1"/>
  <c r="P622" i="1"/>
  <c r="Q622" i="1" a="1"/>
  <c r="Q622" i="1" s="1"/>
  <c r="R622" i="1"/>
  <c r="M623" i="1"/>
  <c r="N623" i="1"/>
  <c r="O623" i="1"/>
  <c r="P623" i="1"/>
  <c r="Q623" i="1" a="1"/>
  <c r="Q623" i="1"/>
  <c r="R623" i="1"/>
  <c r="M624" i="1"/>
  <c r="S624" i="1" s="1"/>
  <c r="N624" i="1"/>
  <c r="O624" i="1"/>
  <c r="P624" i="1"/>
  <c r="Q624" i="1" a="1"/>
  <c r="Q624" i="1" s="1"/>
  <c r="R624" i="1"/>
  <c r="M625" i="1"/>
  <c r="S625" i="1" s="1"/>
  <c r="N625" i="1"/>
  <c r="O625" i="1"/>
  <c r="P625" i="1"/>
  <c r="Q625" i="1" a="1"/>
  <c r="Q625" i="1" s="1"/>
  <c r="R625" i="1"/>
  <c r="M626" i="1"/>
  <c r="N626" i="1"/>
  <c r="O626" i="1"/>
  <c r="P626" i="1"/>
  <c r="Q626" i="1" a="1"/>
  <c r="Q626" i="1"/>
  <c r="R626" i="1"/>
  <c r="S626" i="1"/>
  <c r="M627" i="1"/>
  <c r="N627" i="1"/>
  <c r="O627" i="1"/>
  <c r="P627" i="1"/>
  <c r="Q627" i="1" a="1"/>
  <c r="Q627" i="1" s="1"/>
  <c r="R627" i="1"/>
  <c r="M628" i="1"/>
  <c r="N628" i="1"/>
  <c r="O628" i="1"/>
  <c r="P628" i="1"/>
  <c r="Q628" i="1" a="1"/>
  <c r="Q628" i="1" s="1"/>
  <c r="R628" i="1"/>
  <c r="M629" i="1"/>
  <c r="N629" i="1"/>
  <c r="O629" i="1"/>
  <c r="P629" i="1"/>
  <c r="Q629" i="1" a="1"/>
  <c r="Q629" i="1" s="1"/>
  <c r="S629" i="1" s="1"/>
  <c r="R629" i="1"/>
  <c r="T629" i="1"/>
  <c r="V629" i="1"/>
  <c r="M630" i="1"/>
  <c r="N630" i="1"/>
  <c r="O630" i="1"/>
  <c r="P630" i="1"/>
  <c r="Q630" i="1" a="1"/>
  <c r="Q630" i="1" s="1"/>
  <c r="R630" i="1"/>
  <c r="M631" i="1"/>
  <c r="N631" i="1"/>
  <c r="O631" i="1"/>
  <c r="P631" i="1"/>
  <c r="Q631" i="1" a="1"/>
  <c r="Q631" i="1"/>
  <c r="R631" i="1"/>
  <c r="M632" i="1"/>
  <c r="N632" i="1"/>
  <c r="O632" i="1"/>
  <c r="P632" i="1"/>
  <c r="Q632" i="1" a="1"/>
  <c r="Q632" i="1" s="1"/>
  <c r="R632" i="1"/>
  <c r="M633" i="1"/>
  <c r="N633" i="1"/>
  <c r="O633" i="1"/>
  <c r="P633" i="1"/>
  <c r="Q633" i="1" a="1"/>
  <c r="Q633" i="1" s="1"/>
  <c r="R633" i="1"/>
  <c r="M634" i="1"/>
  <c r="N634" i="1"/>
  <c r="O634" i="1"/>
  <c r="P634" i="1"/>
  <c r="Q634" i="1" a="1"/>
  <c r="Q634" i="1"/>
  <c r="R634" i="1"/>
  <c r="S634" i="1"/>
  <c r="M635" i="1"/>
  <c r="N635" i="1"/>
  <c r="O635" i="1"/>
  <c r="P635" i="1"/>
  <c r="Q635" i="1" a="1"/>
  <c r="Q635" i="1" s="1"/>
  <c r="R635" i="1"/>
  <c r="M636" i="1"/>
  <c r="N636" i="1"/>
  <c r="O636" i="1"/>
  <c r="P636" i="1"/>
  <c r="Q636" i="1" a="1"/>
  <c r="Q636" i="1" s="1"/>
  <c r="R636" i="1"/>
  <c r="M637" i="1"/>
  <c r="N637" i="1"/>
  <c r="O637" i="1"/>
  <c r="P637" i="1"/>
  <c r="Q637" i="1" a="1"/>
  <c r="Q637" i="1" s="1"/>
  <c r="S637" i="1" s="1"/>
  <c r="T637" i="1" s="1"/>
  <c r="V637" i="1" s="1"/>
  <c r="R637" i="1"/>
  <c r="M638" i="1"/>
  <c r="N638" i="1"/>
  <c r="O638" i="1"/>
  <c r="P638" i="1"/>
  <c r="Q638" i="1" a="1"/>
  <c r="Q638" i="1" s="1"/>
  <c r="R638" i="1"/>
  <c r="M639" i="1"/>
  <c r="S639" i="1" s="1"/>
  <c r="N639" i="1"/>
  <c r="O639" i="1"/>
  <c r="P639" i="1"/>
  <c r="Q639" i="1" a="1"/>
  <c r="Q639" i="1"/>
  <c r="R639" i="1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J6" i="4"/>
  <c r="I6" i="4"/>
  <c r="H6" i="4"/>
  <c r="G6" i="4"/>
  <c r="J5" i="4"/>
  <c r="I5" i="4"/>
  <c r="H5" i="4"/>
  <c r="G5" i="4"/>
  <c r="J4" i="4"/>
  <c r="I4" i="4"/>
  <c r="H4" i="4"/>
  <c r="G4" i="4"/>
  <c r="J3" i="4"/>
  <c r="I3" i="4"/>
  <c r="H3" i="4"/>
  <c r="G3" i="4"/>
  <c r="J2" i="4"/>
  <c r="Q4" i="1" s="1" a="1"/>
  <c r="Q4" i="1" s="1"/>
  <c r="I2" i="4"/>
  <c r="H2" i="4"/>
  <c r="G2" i="4"/>
  <c r="P6" i="1"/>
  <c r="R5" i="1"/>
  <c r="R6" i="1"/>
  <c r="R7" i="1"/>
  <c r="R8" i="1"/>
  <c r="R9" i="1"/>
  <c r="R4" i="1"/>
  <c r="P5" i="1"/>
  <c r="P7" i="1"/>
  <c r="P8" i="1"/>
  <c r="P9" i="1"/>
  <c r="P4" i="1"/>
  <c r="O5" i="1"/>
  <c r="O6" i="1"/>
  <c r="O7" i="1"/>
  <c r="O8" i="1"/>
  <c r="O9" i="1"/>
  <c r="O4" i="1"/>
  <c r="N9" i="1"/>
  <c r="N8" i="1"/>
  <c r="N7" i="1"/>
  <c r="N6" i="1"/>
  <c r="N5" i="1"/>
  <c r="M9" i="1"/>
  <c r="M8" i="1"/>
  <c r="M7" i="1"/>
  <c r="M6" i="1"/>
  <c r="M5" i="1"/>
  <c r="N4" i="1"/>
  <c r="M4" i="1"/>
  <c r="T836" i="1" l="1"/>
  <c r="V836" i="1"/>
  <c r="T732" i="1"/>
  <c r="V732" i="1"/>
  <c r="T828" i="1"/>
  <c r="V828" i="1" s="1"/>
  <c r="T820" i="1"/>
  <c r="V820" i="1"/>
  <c r="T812" i="1"/>
  <c r="V812" i="1"/>
  <c r="T804" i="1"/>
  <c r="V804" i="1" s="1"/>
  <c r="T796" i="1"/>
  <c r="V796" i="1"/>
  <c r="T788" i="1"/>
  <c r="V788" i="1" s="1"/>
  <c r="T780" i="1"/>
  <c r="V780" i="1"/>
  <c r="T772" i="1"/>
  <c r="V772" i="1"/>
  <c r="T764" i="1"/>
  <c r="V764" i="1" s="1"/>
  <c r="T748" i="1"/>
  <c r="V748" i="1"/>
  <c r="T740" i="1"/>
  <c r="V740" i="1"/>
  <c r="T793" i="1"/>
  <c r="V793" i="1" s="1"/>
  <c r="T837" i="1"/>
  <c r="V837" i="1"/>
  <c r="V810" i="1"/>
  <c r="T805" i="1"/>
  <c r="V805" i="1" s="1"/>
  <c r="T773" i="1"/>
  <c r="V773" i="1"/>
  <c r="T741" i="1"/>
  <c r="V741" i="1"/>
  <c r="V663" i="1"/>
  <c r="T658" i="1"/>
  <c r="V658" i="1"/>
  <c r="T654" i="1"/>
  <c r="V654" i="1" s="1"/>
  <c r="T669" i="1"/>
  <c r="V669" i="1"/>
  <c r="V842" i="1"/>
  <c r="T825" i="1"/>
  <c r="V825" i="1" s="1"/>
  <c r="T761" i="1"/>
  <c r="V761" i="1"/>
  <c r="T668" i="1"/>
  <c r="V668" i="1"/>
  <c r="T664" i="1"/>
  <c r="V664" i="1"/>
  <c r="S659" i="1"/>
  <c r="T832" i="1"/>
  <c r="V832" i="1"/>
  <c r="S827" i="1"/>
  <c r="T800" i="1"/>
  <c r="V800" i="1"/>
  <c r="S795" i="1"/>
  <c r="T768" i="1"/>
  <c r="V768" i="1" s="1"/>
  <c r="S763" i="1"/>
  <c r="T736" i="1"/>
  <c r="V736" i="1"/>
  <c r="S731" i="1"/>
  <c r="S726" i="1"/>
  <c r="S721" i="1"/>
  <c r="T701" i="1"/>
  <c r="V701" i="1"/>
  <c r="T696" i="1"/>
  <c r="V696" i="1"/>
  <c r="T691" i="1"/>
  <c r="V691" i="1"/>
  <c r="S686" i="1"/>
  <c r="T681" i="1"/>
  <c r="V681" i="1" s="1"/>
  <c r="T649" i="1"/>
  <c r="V649" i="1"/>
  <c r="S822" i="1"/>
  <c r="S790" i="1"/>
  <c r="S758" i="1"/>
  <c r="T700" i="1"/>
  <c r="V700" i="1"/>
  <c r="T666" i="1"/>
  <c r="V666" i="1"/>
  <c r="S661" i="1"/>
  <c r="T766" i="1"/>
  <c r="V766" i="1"/>
  <c r="T729" i="1"/>
  <c r="V729" i="1"/>
  <c r="T704" i="1"/>
  <c r="V704" i="1" s="1"/>
  <c r="T689" i="1"/>
  <c r="V689" i="1"/>
  <c r="S839" i="1"/>
  <c r="S834" i="1"/>
  <c r="S829" i="1"/>
  <c r="S807" i="1"/>
  <c r="S802" i="1"/>
  <c r="S797" i="1"/>
  <c r="S775" i="1"/>
  <c r="S770" i="1"/>
  <c r="S765" i="1"/>
  <c r="S743" i="1"/>
  <c r="S738" i="1"/>
  <c r="S733" i="1"/>
  <c r="S728" i="1"/>
  <c r="S723" i="1"/>
  <c r="S718" i="1"/>
  <c r="S713" i="1"/>
  <c r="S698" i="1"/>
  <c r="S693" i="1"/>
  <c r="S688" i="1"/>
  <c r="S683" i="1"/>
  <c r="S678" i="1"/>
  <c r="T650" i="1"/>
  <c r="V650" i="1"/>
  <c r="S646" i="1"/>
  <c r="S824" i="1"/>
  <c r="S819" i="1"/>
  <c r="S792" i="1"/>
  <c r="S787" i="1"/>
  <c r="S760" i="1"/>
  <c r="S755" i="1"/>
  <c r="T692" i="1"/>
  <c r="V692" i="1"/>
  <c r="S673" i="1"/>
  <c r="S841" i="1"/>
  <c r="S814" i="1"/>
  <c r="S782" i="1"/>
  <c r="S750" i="1"/>
  <c r="S653" i="1"/>
  <c r="T660" i="1"/>
  <c r="V660" i="1"/>
  <c r="T809" i="1"/>
  <c r="V809" i="1"/>
  <c r="T777" i="1"/>
  <c r="V777" i="1"/>
  <c r="T745" i="1"/>
  <c r="V745" i="1" s="1"/>
  <c r="S730" i="1"/>
  <c r="S725" i="1"/>
  <c r="S720" i="1"/>
  <c r="S715" i="1"/>
  <c r="S710" i="1"/>
  <c r="S690" i="1"/>
  <c r="S685" i="1"/>
  <c r="S680" i="1"/>
  <c r="S675" i="1"/>
  <c r="T652" i="1"/>
  <c r="V652" i="1"/>
  <c r="S648" i="1"/>
  <c r="S643" i="1"/>
  <c r="S641" i="1"/>
  <c r="S843" i="1"/>
  <c r="S831" i="1"/>
  <c r="V826" i="1"/>
  <c r="T821" i="1"/>
  <c r="V821" i="1"/>
  <c r="S799" i="1"/>
  <c r="V794" i="1"/>
  <c r="T789" i="1"/>
  <c r="V789" i="1"/>
  <c r="S767" i="1"/>
  <c r="V762" i="1"/>
  <c r="T757" i="1"/>
  <c r="V757" i="1"/>
  <c r="S735" i="1"/>
  <c r="T724" i="1"/>
  <c r="V724" i="1"/>
  <c r="V719" i="1"/>
  <c r="S705" i="1"/>
  <c r="T684" i="1"/>
  <c r="V684" i="1"/>
  <c r="S670" i="1"/>
  <c r="T651" i="1"/>
  <c r="V651" i="1"/>
  <c r="T842" i="1"/>
  <c r="S816" i="1"/>
  <c r="S811" i="1"/>
  <c r="S784" i="1"/>
  <c r="S779" i="1"/>
  <c r="T756" i="1"/>
  <c r="V756" i="1"/>
  <c r="S752" i="1"/>
  <c r="S747" i="1"/>
  <c r="S665" i="1"/>
  <c r="T830" i="1"/>
  <c r="V830" i="1" s="1"/>
  <c r="T699" i="1"/>
  <c r="V699" i="1"/>
  <c r="S838" i="1"/>
  <c r="V815" i="1"/>
  <c r="T810" i="1"/>
  <c r="S806" i="1"/>
  <c r="V783" i="1"/>
  <c r="T778" i="1"/>
  <c r="V778" i="1" s="1"/>
  <c r="S774" i="1"/>
  <c r="V751" i="1"/>
  <c r="T746" i="1"/>
  <c r="V746" i="1" s="1"/>
  <c r="S742" i="1"/>
  <c r="S722" i="1"/>
  <c r="S717" i="1"/>
  <c r="S712" i="1"/>
  <c r="S707" i="1"/>
  <c r="S682" i="1"/>
  <c r="S677" i="1"/>
  <c r="S645" i="1"/>
  <c r="T833" i="1"/>
  <c r="V833" i="1" s="1"/>
  <c r="S801" i="1"/>
  <c r="S769" i="1"/>
  <c r="S737" i="1"/>
  <c r="S727" i="1"/>
  <c r="T716" i="1"/>
  <c r="V716" i="1"/>
  <c r="V711" i="1"/>
  <c r="T706" i="1"/>
  <c r="V706" i="1" s="1"/>
  <c r="S702" i="1"/>
  <c r="S697" i="1"/>
  <c r="T676" i="1"/>
  <c r="V676" i="1"/>
  <c r="S672" i="1"/>
  <c r="S667" i="1"/>
  <c r="T644" i="1"/>
  <c r="V644" i="1" s="1"/>
  <c r="S640" i="1"/>
  <c r="T734" i="1"/>
  <c r="V734" i="1"/>
  <c r="T694" i="1"/>
  <c r="V694" i="1"/>
  <c r="S840" i="1"/>
  <c r="S823" i="1"/>
  <c r="S818" i="1"/>
  <c r="S813" i="1"/>
  <c r="S791" i="1"/>
  <c r="S786" i="1"/>
  <c r="S781" i="1"/>
  <c r="S759" i="1"/>
  <c r="S754" i="1"/>
  <c r="S749" i="1"/>
  <c r="V671" i="1"/>
  <c r="S662" i="1"/>
  <c r="T798" i="1"/>
  <c r="V798" i="1"/>
  <c r="T708" i="1"/>
  <c r="V708" i="1"/>
  <c r="T674" i="1"/>
  <c r="V674" i="1" s="1"/>
  <c r="S817" i="1"/>
  <c r="S785" i="1"/>
  <c r="S753" i="1"/>
  <c r="T656" i="1"/>
  <c r="V656" i="1"/>
  <c r="S835" i="1"/>
  <c r="S808" i="1"/>
  <c r="S803" i="1"/>
  <c r="S776" i="1"/>
  <c r="S771" i="1"/>
  <c r="S744" i="1"/>
  <c r="S739" i="1"/>
  <c r="S714" i="1"/>
  <c r="S709" i="1"/>
  <c r="S657" i="1"/>
  <c r="T618" i="1"/>
  <c r="V618" i="1"/>
  <c r="T594" i="1"/>
  <c r="V594" i="1"/>
  <c r="T524" i="1"/>
  <c r="V524" i="1" s="1"/>
  <c r="T460" i="1"/>
  <c r="V460" i="1" s="1"/>
  <c r="S585" i="1"/>
  <c r="T607" i="1"/>
  <c r="V607" i="1"/>
  <c r="S636" i="1"/>
  <c r="S614" i="1"/>
  <c r="T586" i="1"/>
  <c r="V586" i="1"/>
  <c r="S582" i="1"/>
  <c r="S560" i="1"/>
  <c r="S553" i="1"/>
  <c r="T534" i="1"/>
  <c r="V534" i="1"/>
  <c r="S519" i="1"/>
  <c r="T385" i="1"/>
  <c r="V385" i="1"/>
  <c r="T562" i="1"/>
  <c r="V562" i="1"/>
  <c r="T624" i="1"/>
  <c r="V624" i="1" s="1"/>
  <c r="T592" i="1"/>
  <c r="V592" i="1" s="1"/>
  <c r="S609" i="1"/>
  <c r="S604" i="1"/>
  <c r="S572" i="1"/>
  <c r="S555" i="1"/>
  <c r="S548" i="1"/>
  <c r="S536" i="1"/>
  <c r="T531" i="1"/>
  <c r="V531" i="1" s="1"/>
  <c r="T509" i="1"/>
  <c r="V509" i="1" s="1"/>
  <c r="S505" i="1"/>
  <c r="T502" i="1"/>
  <c r="V502" i="1"/>
  <c r="T467" i="1"/>
  <c r="V467" i="1"/>
  <c r="T439" i="1"/>
  <c r="V439" i="1" s="1"/>
  <c r="T343" i="1"/>
  <c r="V343" i="1"/>
  <c r="T274" i="1"/>
  <c r="V274" i="1" s="1"/>
  <c r="T532" i="1"/>
  <c r="V532" i="1" s="1"/>
  <c r="V440" i="1"/>
  <c r="T440" i="1"/>
  <c r="S631" i="1"/>
  <c r="V613" i="1"/>
  <c r="V581" i="1"/>
  <c r="S577" i="1"/>
  <c r="S638" i="1"/>
  <c r="S599" i="1"/>
  <c r="S567" i="1"/>
  <c r="T554" i="1"/>
  <c r="V554" i="1"/>
  <c r="S550" i="1"/>
  <c r="T495" i="1"/>
  <c r="V495" i="1"/>
  <c r="T483" i="1"/>
  <c r="V483" i="1" s="1"/>
  <c r="T471" i="1"/>
  <c r="V471" i="1" s="1"/>
  <c r="T412" i="1"/>
  <c r="V412" i="1" s="1"/>
  <c r="T392" i="1"/>
  <c r="V392" i="1"/>
  <c r="T348" i="1"/>
  <c r="V348" i="1"/>
  <c r="T345" i="1"/>
  <c r="V345" i="1" s="1"/>
  <c r="T308" i="1"/>
  <c r="V308" i="1" s="1"/>
  <c r="S617" i="1"/>
  <c r="S543" i="1"/>
  <c r="S459" i="1"/>
  <c r="T462" i="1"/>
  <c r="V462" i="1"/>
  <c r="T539" i="1"/>
  <c r="V539" i="1"/>
  <c r="T510" i="1"/>
  <c r="V510" i="1"/>
  <c r="T486" i="1"/>
  <c r="V486" i="1" s="1"/>
  <c r="T289" i="1"/>
  <c r="V289" i="1" s="1"/>
  <c r="S579" i="1"/>
  <c r="S476" i="1"/>
  <c r="S633" i="1"/>
  <c r="T610" i="1"/>
  <c r="V610" i="1"/>
  <c r="S606" i="1"/>
  <c r="T578" i="1"/>
  <c r="V578" i="1"/>
  <c r="S574" i="1"/>
  <c r="V549" i="1"/>
  <c r="S485" i="1"/>
  <c r="S452" i="1"/>
  <c r="T434" i="1"/>
  <c r="V434" i="1" s="1"/>
  <c r="T558" i="1"/>
  <c r="V558" i="1"/>
  <c r="S628" i="1"/>
  <c r="V605" i="1"/>
  <c r="S601" i="1"/>
  <c r="S596" i="1"/>
  <c r="V573" i="1"/>
  <c r="S569" i="1"/>
  <c r="S514" i="1"/>
  <c r="V492" i="1"/>
  <c r="T492" i="1"/>
  <c r="T478" i="1"/>
  <c r="V478" i="1"/>
  <c r="S461" i="1"/>
  <c r="T275" i="1"/>
  <c r="V275" i="1" s="1"/>
  <c r="T639" i="1"/>
  <c r="V639" i="1"/>
  <c r="T563" i="1"/>
  <c r="V563" i="1"/>
  <c r="S537" i="1"/>
  <c r="T503" i="1"/>
  <c r="V503" i="1"/>
  <c r="T258" i="1"/>
  <c r="V258" i="1"/>
  <c r="S635" i="1"/>
  <c r="S623" i="1"/>
  <c r="S591" i="1"/>
  <c r="S564" i="1"/>
  <c r="S552" i="1"/>
  <c r="S545" i="1"/>
  <c r="T511" i="1"/>
  <c r="V511" i="1"/>
  <c r="V470" i="1"/>
  <c r="V468" i="1"/>
  <c r="T454" i="1"/>
  <c r="V454" i="1" s="1"/>
  <c r="S444" i="1"/>
  <c r="T300" i="1"/>
  <c r="V300" i="1"/>
  <c r="T622" i="1"/>
  <c r="V622" i="1"/>
  <c r="T576" i="1"/>
  <c r="V576" i="1" s="1"/>
  <c r="T499" i="1"/>
  <c r="V499" i="1" s="1"/>
  <c r="T491" i="1"/>
  <c r="V491" i="1" s="1"/>
  <c r="S436" i="1"/>
  <c r="T428" i="1"/>
  <c r="V428" i="1" s="1"/>
  <c r="T575" i="1"/>
  <c r="V575" i="1"/>
  <c r="T407" i="1"/>
  <c r="V407" i="1" s="1"/>
  <c r="T619" i="1"/>
  <c r="V619" i="1"/>
  <c r="T602" i="1"/>
  <c r="V602" i="1" s="1"/>
  <c r="T598" i="1"/>
  <c r="V598" i="1"/>
  <c r="T570" i="1"/>
  <c r="V570" i="1"/>
  <c r="T566" i="1"/>
  <c r="V566" i="1"/>
  <c r="T546" i="1"/>
  <c r="V546" i="1"/>
  <c r="S540" i="1"/>
  <c r="V515" i="1"/>
  <c r="T515" i="1"/>
  <c r="S501" i="1"/>
  <c r="S494" i="1"/>
  <c r="T487" i="1"/>
  <c r="V487" i="1"/>
  <c r="S463" i="1"/>
  <c r="T626" i="1"/>
  <c r="V626" i="1"/>
  <c r="T538" i="1"/>
  <c r="V538" i="1"/>
  <c r="T447" i="1"/>
  <c r="V447" i="1" s="1"/>
  <c r="S584" i="1"/>
  <c r="S630" i="1"/>
  <c r="S608" i="1"/>
  <c r="T593" i="1"/>
  <c r="V593" i="1" s="1"/>
  <c r="T542" i="1"/>
  <c r="V542" i="1"/>
  <c r="T523" i="1"/>
  <c r="V523" i="1" s="1"/>
  <c r="T475" i="1"/>
  <c r="V475" i="1" s="1"/>
  <c r="S446" i="1"/>
  <c r="T423" i="1"/>
  <c r="V423" i="1"/>
  <c r="T369" i="1"/>
  <c r="V369" i="1"/>
  <c r="T580" i="1"/>
  <c r="V580" i="1"/>
  <c r="T587" i="1"/>
  <c r="V587" i="1"/>
  <c r="T526" i="1"/>
  <c r="V526" i="1"/>
  <c r="S616" i="1"/>
  <c r="S571" i="1"/>
  <c r="T559" i="1"/>
  <c r="V559" i="1" s="1"/>
  <c r="S547" i="1"/>
  <c r="S620" i="1"/>
  <c r="S561" i="1"/>
  <c r="V544" i="1"/>
  <c r="T544" i="1"/>
  <c r="S535" i="1"/>
  <c r="T484" i="1"/>
  <c r="V484" i="1" s="1"/>
  <c r="V420" i="1"/>
  <c r="T415" i="1"/>
  <c r="V415" i="1" s="1"/>
  <c r="T319" i="1"/>
  <c r="V319" i="1" s="1"/>
  <c r="T590" i="1"/>
  <c r="V590" i="1"/>
  <c r="T496" i="1"/>
  <c r="V496" i="1"/>
  <c r="T375" i="1"/>
  <c r="V375" i="1" s="1"/>
  <c r="T612" i="1"/>
  <c r="V612" i="1" s="1"/>
  <c r="T551" i="1"/>
  <c r="V551" i="1"/>
  <c r="T493" i="1"/>
  <c r="V493" i="1" s="1"/>
  <c r="V517" i="1"/>
  <c r="T517" i="1"/>
  <c r="S611" i="1"/>
  <c r="T634" i="1"/>
  <c r="V634" i="1"/>
  <c r="S603" i="1"/>
  <c r="T625" i="1"/>
  <c r="V625" i="1"/>
  <c r="S588" i="1"/>
  <c r="S632" i="1"/>
  <c r="S615" i="1"/>
  <c r="S583" i="1"/>
  <c r="S627" i="1"/>
  <c r="S600" i="1"/>
  <c r="S595" i="1"/>
  <c r="S568" i="1"/>
  <c r="S556" i="1"/>
  <c r="V541" i="1"/>
  <c r="T525" i="1"/>
  <c r="V525" i="1" s="1"/>
  <c r="S508" i="1"/>
  <c r="V500" i="1"/>
  <c r="T500" i="1"/>
  <c r="S438" i="1"/>
  <c r="T243" i="1"/>
  <c r="V243" i="1" s="1"/>
  <c r="T285" i="1"/>
  <c r="V285" i="1" s="1"/>
  <c r="S474" i="1"/>
  <c r="S429" i="1"/>
  <c r="S425" i="1"/>
  <c r="S389" i="1"/>
  <c r="S387" i="1"/>
  <c r="S357" i="1"/>
  <c r="S350" i="1"/>
  <c r="V259" i="1"/>
  <c r="T252" i="1"/>
  <c r="V252" i="1"/>
  <c r="T38" i="1"/>
  <c r="V38" i="1"/>
  <c r="T331" i="1"/>
  <c r="V331" i="1" s="1"/>
  <c r="V305" i="1"/>
  <c r="T305" i="1"/>
  <c r="S530" i="1"/>
  <c r="T401" i="1"/>
  <c r="V401" i="1"/>
  <c r="S321" i="1"/>
  <c r="S528" i="1"/>
  <c r="S427" i="1"/>
  <c r="S414" i="1"/>
  <c r="S405" i="1"/>
  <c r="S403" i="1"/>
  <c r="S364" i="1"/>
  <c r="S314" i="1"/>
  <c r="T309" i="1"/>
  <c r="V309" i="1" s="1"/>
  <c r="T94" i="1"/>
  <c r="V94" i="1"/>
  <c r="T61" i="1"/>
  <c r="V61" i="1"/>
  <c r="T30" i="1"/>
  <c r="V30" i="1"/>
  <c r="S450" i="1"/>
  <c r="T293" i="1"/>
  <c r="V293" i="1" s="1"/>
  <c r="T273" i="1"/>
  <c r="V273" i="1" s="1"/>
  <c r="T307" i="1"/>
  <c r="V307" i="1" s="1"/>
  <c r="V527" i="1"/>
  <c r="V518" i="1"/>
  <c r="S490" i="1"/>
  <c r="S481" i="1"/>
  <c r="S472" i="1"/>
  <c r="S416" i="1"/>
  <c r="S396" i="1"/>
  <c r="S382" i="1"/>
  <c r="S340" i="1"/>
  <c r="S316" i="1"/>
  <c r="T262" i="1"/>
  <c r="V262" i="1" s="1"/>
  <c r="T121" i="1"/>
  <c r="V121" i="1"/>
  <c r="V477" i="1"/>
  <c r="T373" i="1"/>
  <c r="V373" i="1" s="1"/>
  <c r="S457" i="1"/>
  <c r="V372" i="1"/>
  <c r="T366" i="1"/>
  <c r="V366" i="1"/>
  <c r="T347" i="1"/>
  <c r="V347" i="1" s="1"/>
  <c r="S297" i="1"/>
  <c r="S278" i="1"/>
  <c r="S437" i="1"/>
  <c r="S433" i="1"/>
  <c r="S418" i="1"/>
  <c r="S398" i="1"/>
  <c r="S388" i="1"/>
  <c r="T384" i="1"/>
  <c r="V384" i="1"/>
  <c r="S377" i="1"/>
  <c r="S359" i="1"/>
  <c r="S337" i="1"/>
  <c r="S323" i="1"/>
  <c r="V315" i="1"/>
  <c r="T311" i="1"/>
  <c r="V311" i="1"/>
  <c r="T268" i="1"/>
  <c r="V268" i="1"/>
  <c r="S264" i="1"/>
  <c r="S249" i="1"/>
  <c r="T217" i="1"/>
  <c r="V217" i="1"/>
  <c r="V507" i="1"/>
  <c r="S506" i="1"/>
  <c r="S497" i="1"/>
  <c r="S488" i="1"/>
  <c r="S451" i="1"/>
  <c r="S445" i="1"/>
  <c r="S435" i="1"/>
  <c r="V325" i="1"/>
  <c r="T325" i="1"/>
  <c r="V313" i="1"/>
  <c r="T277" i="1"/>
  <c r="V277" i="1"/>
  <c r="S465" i="1"/>
  <c r="S312" i="1"/>
  <c r="T276" i="1"/>
  <c r="V276" i="1"/>
  <c r="S522" i="1"/>
  <c r="S513" i="1"/>
  <c r="S504" i="1"/>
  <c r="V469" i="1"/>
  <c r="S466" i="1"/>
  <c r="S449" i="1"/>
  <c r="T443" i="1"/>
  <c r="V443" i="1"/>
  <c r="S441" i="1"/>
  <c r="T422" i="1"/>
  <c r="V422" i="1"/>
  <c r="T413" i="1"/>
  <c r="V413" i="1"/>
  <c r="S409" i="1"/>
  <c r="T400" i="1"/>
  <c r="V400" i="1"/>
  <c r="T393" i="1"/>
  <c r="V393" i="1"/>
  <c r="V383" i="1"/>
  <c r="T361" i="1"/>
  <c r="V361" i="1"/>
  <c r="T356" i="1"/>
  <c r="V356" i="1" s="1"/>
  <c r="V349" i="1"/>
  <c r="T349" i="1"/>
  <c r="T299" i="1"/>
  <c r="V299" i="1" s="1"/>
  <c r="T291" i="1"/>
  <c r="V291" i="1" s="1"/>
  <c r="V265" i="1"/>
  <c r="T210" i="1"/>
  <c r="V210" i="1" s="1"/>
  <c r="T174" i="1"/>
  <c r="V174" i="1" s="1"/>
  <c r="T153" i="1"/>
  <c r="V153" i="1" s="1"/>
  <c r="V257" i="1"/>
  <c r="T257" i="1"/>
  <c r="V516" i="1"/>
  <c r="S464" i="1"/>
  <c r="V448" i="1"/>
  <c r="V442" i="1"/>
  <c r="S424" i="1"/>
  <c r="S411" i="1"/>
  <c r="T408" i="1"/>
  <c r="V408" i="1" s="1"/>
  <c r="S386" i="1"/>
  <c r="S381" i="1"/>
  <c r="S379" i="1"/>
  <c r="S367" i="1"/>
  <c r="V363" i="1"/>
  <c r="T363" i="1"/>
  <c r="S353" i="1"/>
  <c r="T327" i="1"/>
  <c r="V327" i="1" s="1"/>
  <c r="V324" i="1"/>
  <c r="S280" i="1"/>
  <c r="V267" i="1"/>
  <c r="S251" i="1"/>
  <c r="T232" i="1"/>
  <c r="V232" i="1" s="1"/>
  <c r="S222" i="1"/>
  <c r="S283" i="1"/>
  <c r="S512" i="1"/>
  <c r="V391" i="1"/>
  <c r="S529" i="1"/>
  <c r="S520" i="1"/>
  <c r="V410" i="1"/>
  <c r="V399" i="1"/>
  <c r="V378" i="1"/>
  <c r="S374" i="1"/>
  <c r="V355" i="1"/>
  <c r="T355" i="1"/>
  <c r="T332" i="1"/>
  <c r="V332" i="1"/>
  <c r="V317" i="1"/>
  <c r="T254" i="1"/>
  <c r="V254" i="1"/>
  <c r="V533" i="1"/>
  <c r="S371" i="1"/>
  <c r="S521" i="1"/>
  <c r="S482" i="1"/>
  <c r="S473" i="1"/>
  <c r="S426" i="1"/>
  <c r="S402" i="1"/>
  <c r="S397" i="1"/>
  <c r="T395" i="1"/>
  <c r="V395" i="1"/>
  <c r="S339" i="1"/>
  <c r="T269" i="1"/>
  <c r="V269" i="1"/>
  <c r="T236" i="1"/>
  <c r="V236" i="1"/>
  <c r="T231" i="1"/>
  <c r="V231" i="1" s="1"/>
  <c r="S430" i="1"/>
  <c r="S404" i="1"/>
  <c r="V394" i="1"/>
  <c r="S301" i="1"/>
  <c r="T284" i="1"/>
  <c r="V284" i="1"/>
  <c r="T260" i="1"/>
  <c r="V260" i="1" s="1"/>
  <c r="S498" i="1"/>
  <c r="S489" i="1"/>
  <c r="S480" i="1"/>
  <c r="S458" i="1"/>
  <c r="V432" i="1"/>
  <c r="T421" i="1"/>
  <c r="V421" i="1"/>
  <c r="S417" i="1"/>
  <c r="S390" i="1"/>
  <c r="V380" i="1"/>
  <c r="T376" i="1"/>
  <c r="V376" i="1"/>
  <c r="T329" i="1"/>
  <c r="V329" i="1" s="1"/>
  <c r="T303" i="1"/>
  <c r="V303" i="1" s="1"/>
  <c r="S256" i="1"/>
  <c r="T239" i="1"/>
  <c r="V239" i="1"/>
  <c r="V453" i="1"/>
  <c r="S456" i="1"/>
  <c r="S419" i="1"/>
  <c r="S406" i="1"/>
  <c r="S341" i="1"/>
  <c r="V333" i="1"/>
  <c r="S281" i="1"/>
  <c r="S354" i="1"/>
  <c r="S336" i="1"/>
  <c r="S318" i="1"/>
  <c r="S288" i="1"/>
  <c r="S286" i="1"/>
  <c r="S282" i="1"/>
  <c r="T245" i="1"/>
  <c r="V245" i="1" s="1"/>
  <c r="T190" i="1"/>
  <c r="V190" i="1" s="1"/>
  <c r="T161" i="1"/>
  <c r="V161" i="1"/>
  <c r="V154" i="1"/>
  <c r="T154" i="1"/>
  <c r="S352" i="1"/>
  <c r="S334" i="1"/>
  <c r="S272" i="1"/>
  <c r="S270" i="1"/>
  <c r="S266" i="1"/>
  <c r="V182" i="1"/>
  <c r="T182" i="1"/>
  <c r="T113" i="1"/>
  <c r="V113" i="1" s="1"/>
  <c r="S330" i="1"/>
  <c r="S247" i="1"/>
  <c r="V338" i="1"/>
  <c r="S310" i="1"/>
  <c r="S295" i="1"/>
  <c r="V224" i="1"/>
  <c r="S166" i="1"/>
  <c r="S346" i="1"/>
  <c r="S328" i="1"/>
  <c r="V292" i="1"/>
  <c r="S287" i="1"/>
  <c r="S253" i="1"/>
  <c r="S158" i="1"/>
  <c r="V145" i="1"/>
  <c r="S110" i="1"/>
  <c r="T102" i="1"/>
  <c r="V102" i="1" s="1"/>
  <c r="V65" i="1"/>
  <c r="S362" i="1"/>
  <c r="S279" i="1"/>
  <c r="S255" i="1"/>
  <c r="S238" i="1"/>
  <c r="T212" i="1"/>
  <c r="V212" i="1"/>
  <c r="T70" i="1"/>
  <c r="V70" i="1"/>
  <c r="T62" i="1"/>
  <c r="V62" i="1"/>
  <c r="S344" i="1"/>
  <c r="S326" i="1"/>
  <c r="S306" i="1"/>
  <c r="S271" i="1"/>
  <c r="T261" i="1"/>
  <c r="V261" i="1"/>
  <c r="S240" i="1"/>
  <c r="T201" i="1"/>
  <c r="V201" i="1"/>
  <c r="T196" i="1"/>
  <c r="V196" i="1"/>
  <c r="T193" i="1"/>
  <c r="V193" i="1"/>
  <c r="S304" i="1"/>
  <c r="S263" i="1"/>
  <c r="S228" i="1"/>
  <c r="S204" i="1"/>
  <c r="T150" i="1"/>
  <c r="V150" i="1" s="1"/>
  <c r="S360" i="1"/>
  <c r="S342" i="1"/>
  <c r="S302" i="1"/>
  <c r="S242" i="1"/>
  <c r="S237" i="1"/>
  <c r="T209" i="1"/>
  <c r="V209" i="1" s="1"/>
  <c r="T142" i="1"/>
  <c r="V142" i="1" s="1"/>
  <c r="S83" i="1"/>
  <c r="S322" i="1"/>
  <c r="T216" i="1"/>
  <c r="V216" i="1" s="1"/>
  <c r="T214" i="1"/>
  <c r="V214" i="1" s="1"/>
  <c r="S188" i="1"/>
  <c r="T177" i="1"/>
  <c r="V177" i="1"/>
  <c r="T152" i="1"/>
  <c r="V152" i="1" s="1"/>
  <c r="T88" i="1"/>
  <c r="V88" i="1" s="1"/>
  <c r="S358" i="1"/>
  <c r="S246" i="1"/>
  <c r="S241" i="1"/>
  <c r="S235" i="1"/>
  <c r="S230" i="1"/>
  <c r="S223" i="1"/>
  <c r="T220" i="1"/>
  <c r="V220" i="1"/>
  <c r="T134" i="1"/>
  <c r="V134" i="1" s="1"/>
  <c r="S320" i="1"/>
  <c r="S298" i="1"/>
  <c r="S248" i="1"/>
  <c r="T206" i="1"/>
  <c r="V206" i="1" s="1"/>
  <c r="S180" i="1"/>
  <c r="T129" i="1"/>
  <c r="V129" i="1"/>
  <c r="T126" i="1"/>
  <c r="V126" i="1" s="1"/>
  <c r="T118" i="1"/>
  <c r="V118" i="1" s="1"/>
  <c r="S368" i="1"/>
  <c r="S296" i="1"/>
  <c r="S294" i="1"/>
  <c r="S290" i="1"/>
  <c r="S250" i="1"/>
  <c r="V215" i="1"/>
  <c r="S198" i="1"/>
  <c r="S185" i="1"/>
  <c r="S137" i="1"/>
  <c r="S208" i="1"/>
  <c r="V202" i="1"/>
  <c r="S125" i="1"/>
  <c r="S123" i="1"/>
  <c r="T90" i="1"/>
  <c r="V90" i="1"/>
  <c r="T68" i="1"/>
  <c r="V68" i="1"/>
  <c r="T56" i="1"/>
  <c r="V56" i="1"/>
  <c r="T36" i="1"/>
  <c r="V36" i="1"/>
  <c r="T31" i="1"/>
  <c r="V31" i="1"/>
  <c r="T26" i="1"/>
  <c r="V26" i="1" s="1"/>
  <c r="T24" i="1"/>
  <c r="V24" i="1"/>
  <c r="S221" i="1"/>
  <c r="S200" i="1"/>
  <c r="S194" i="1"/>
  <c r="S162" i="1"/>
  <c r="S160" i="1"/>
  <c r="S106" i="1"/>
  <c r="T63" i="1"/>
  <c r="V63" i="1"/>
  <c r="T51" i="1"/>
  <c r="V51" i="1"/>
  <c r="T19" i="1"/>
  <c r="V19" i="1"/>
  <c r="S192" i="1"/>
  <c r="S186" i="1"/>
  <c r="S164" i="1"/>
  <c r="S135" i="1"/>
  <c r="S133" i="1"/>
  <c r="S131" i="1"/>
  <c r="S108" i="1"/>
  <c r="S85" i="1"/>
  <c r="T58" i="1"/>
  <c r="V58" i="1"/>
  <c r="S184" i="1"/>
  <c r="S178" i="1"/>
  <c r="S170" i="1"/>
  <c r="S168" i="1"/>
  <c r="S92" i="1"/>
  <c r="S80" i="1"/>
  <c r="S75" i="1"/>
  <c r="S28" i="1"/>
  <c r="S219" i="1"/>
  <c r="S176" i="1"/>
  <c r="S172" i="1"/>
  <c r="V169" i="1"/>
  <c r="S143" i="1"/>
  <c r="S141" i="1"/>
  <c r="S139" i="1"/>
  <c r="S99" i="1"/>
  <c r="S53" i="1"/>
  <c r="T48" i="1"/>
  <c r="V48" i="1"/>
  <c r="S43" i="1"/>
  <c r="S21" i="1"/>
  <c r="S226" i="1"/>
  <c r="S114" i="1"/>
  <c r="S112" i="1"/>
  <c r="S101" i="1"/>
  <c r="S87" i="1"/>
  <c r="S82" i="1"/>
  <c r="S60" i="1"/>
  <c r="V151" i="1"/>
  <c r="V149" i="1"/>
  <c r="S147" i="1"/>
  <c r="S116" i="1"/>
  <c r="S89" i="1"/>
  <c r="T86" i="1"/>
  <c r="V86" i="1"/>
  <c r="T77" i="1"/>
  <c r="V77" i="1"/>
  <c r="T55" i="1"/>
  <c r="V55" i="1"/>
  <c r="S23" i="1"/>
  <c r="T20" i="1"/>
  <c r="V20" i="1"/>
  <c r="S213" i="1"/>
  <c r="S122" i="1"/>
  <c r="S120" i="1"/>
  <c r="S103" i="1"/>
  <c r="S72" i="1"/>
  <c r="S67" i="1"/>
  <c r="T54" i="1"/>
  <c r="V54" i="1"/>
  <c r="S50" i="1"/>
  <c r="S45" i="1"/>
  <c r="S40" i="1"/>
  <c r="S35" i="1"/>
  <c r="T22" i="1"/>
  <c r="V22" i="1" s="1"/>
  <c r="S18" i="1"/>
  <c r="S16" i="1"/>
  <c r="S211" i="1"/>
  <c r="S207" i="1"/>
  <c r="S205" i="1"/>
  <c r="S159" i="1"/>
  <c r="S157" i="1"/>
  <c r="S155" i="1"/>
  <c r="S124" i="1"/>
  <c r="S84" i="1"/>
  <c r="V49" i="1"/>
  <c r="S11" i="1"/>
  <c r="S203" i="1"/>
  <c r="S199" i="1"/>
  <c r="S197" i="1"/>
  <c r="V156" i="1"/>
  <c r="S130" i="1"/>
  <c r="S128" i="1"/>
  <c r="S105" i="1"/>
  <c r="S96" i="1"/>
  <c r="S79" i="1"/>
  <c r="S74" i="1"/>
  <c r="S229" i="1"/>
  <c r="T202" i="1"/>
  <c r="S195" i="1"/>
  <c r="S191" i="1"/>
  <c r="S189" i="1"/>
  <c r="S167" i="1"/>
  <c r="S165" i="1"/>
  <c r="S163" i="1"/>
  <c r="S132" i="1"/>
  <c r="T127" i="1"/>
  <c r="V127" i="1" s="1"/>
  <c r="S107" i="1"/>
  <c r="T104" i="1"/>
  <c r="V104" i="1" s="1"/>
  <c r="S98" i="1"/>
  <c r="T95" i="1"/>
  <c r="V95" i="1" s="1"/>
  <c r="S91" i="1"/>
  <c r="T78" i="1"/>
  <c r="V78" i="1"/>
  <c r="S69" i="1"/>
  <c r="S52" i="1"/>
  <c r="S47" i="1"/>
  <c r="S42" i="1"/>
  <c r="S37" i="1"/>
  <c r="S32" i="1"/>
  <c r="S27" i="1"/>
  <c r="S187" i="1"/>
  <c r="S183" i="1"/>
  <c r="S181" i="1"/>
  <c r="S138" i="1"/>
  <c r="S136" i="1"/>
  <c r="S109" i="1"/>
  <c r="V97" i="1"/>
  <c r="S64" i="1"/>
  <c r="T46" i="1"/>
  <c r="V46" i="1"/>
  <c r="S13" i="1"/>
  <c r="S179" i="1"/>
  <c r="V173" i="1"/>
  <c r="S171" i="1"/>
  <c r="S111" i="1"/>
  <c r="S100" i="1"/>
  <c r="S76" i="1"/>
  <c r="S59" i="1"/>
  <c r="S227" i="1"/>
  <c r="S146" i="1"/>
  <c r="S144" i="1"/>
  <c r="S93" i="1"/>
  <c r="S71" i="1"/>
  <c r="S66" i="1"/>
  <c r="S44" i="1"/>
  <c r="S39" i="1"/>
  <c r="S34" i="1"/>
  <c r="S29" i="1"/>
  <c r="S15" i="1"/>
  <c r="T12" i="1"/>
  <c r="V12" i="1"/>
  <c r="S234" i="1"/>
  <c r="S148" i="1"/>
  <c r="S119" i="1"/>
  <c r="S117" i="1"/>
  <c r="S115" i="1"/>
  <c r="V33" i="1"/>
  <c r="T14" i="1"/>
  <c r="V14" i="1" s="1"/>
  <c r="S10" i="1"/>
  <c r="Q9" i="1" a="1"/>
  <c r="Q9" i="1" s="1"/>
  <c r="Q6" i="1" a="1"/>
  <c r="Q6" i="1" s="1"/>
  <c r="S6" i="1" s="1"/>
  <c r="T6" i="1" s="1"/>
  <c r="Q5" i="1" a="1"/>
  <c r="Q5" i="1" s="1"/>
  <c r="S5" i="1" s="1"/>
  <c r="Q8" i="1" a="1"/>
  <c r="Q8" i="1" s="1"/>
  <c r="S8" i="1" s="1"/>
  <c r="T8" i="1" s="1"/>
  <c r="V8" i="1" s="1"/>
  <c r="Q7" i="1" a="1"/>
  <c r="Q7" i="1" s="1"/>
  <c r="S7" i="1" s="1"/>
  <c r="T7" i="1" s="1"/>
  <c r="S9" i="1"/>
  <c r="T9" i="1" s="1"/>
  <c r="V9" i="1" s="1"/>
  <c r="S4" i="1"/>
  <c r="T4" i="1" s="1"/>
  <c r="V4" i="1" s="1"/>
  <c r="T785" i="1" l="1"/>
  <c r="V785" i="1"/>
  <c r="T817" i="1"/>
  <c r="V817" i="1"/>
  <c r="T722" i="1"/>
  <c r="V722" i="1"/>
  <c r="T753" i="1"/>
  <c r="V753" i="1"/>
  <c r="T791" i="1"/>
  <c r="V791" i="1"/>
  <c r="T697" i="1"/>
  <c r="V697" i="1"/>
  <c r="T712" i="1"/>
  <c r="V712" i="1"/>
  <c r="T705" i="1"/>
  <c r="V705" i="1" s="1"/>
  <c r="T831" i="1"/>
  <c r="V831" i="1"/>
  <c r="T755" i="1"/>
  <c r="V755" i="1"/>
  <c r="T723" i="1"/>
  <c r="V723" i="1"/>
  <c r="T823" i="1"/>
  <c r="V823" i="1"/>
  <c r="T742" i="1"/>
  <c r="V742" i="1"/>
  <c r="T752" i="1"/>
  <c r="V752" i="1"/>
  <c r="T643" i="1"/>
  <c r="V643" i="1"/>
  <c r="T792" i="1"/>
  <c r="V792" i="1" s="1"/>
  <c r="T738" i="1"/>
  <c r="V738" i="1" s="1"/>
  <c r="T840" i="1"/>
  <c r="V840" i="1"/>
  <c r="T735" i="1"/>
  <c r="V735" i="1"/>
  <c r="T648" i="1"/>
  <c r="V648" i="1"/>
  <c r="T819" i="1"/>
  <c r="V819" i="1"/>
  <c r="T743" i="1"/>
  <c r="V743" i="1"/>
  <c r="T641" i="1"/>
  <c r="V641" i="1"/>
  <c r="T824" i="1"/>
  <c r="V824" i="1" s="1"/>
  <c r="T765" i="1"/>
  <c r="V765" i="1"/>
  <c r="T827" i="1"/>
  <c r="V827" i="1"/>
  <c r="T728" i="1"/>
  <c r="V728" i="1"/>
  <c r="T818" i="1"/>
  <c r="V818" i="1" s="1"/>
  <c r="T714" i="1"/>
  <c r="V714" i="1"/>
  <c r="T727" i="1"/>
  <c r="V727" i="1"/>
  <c r="T774" i="1"/>
  <c r="V774" i="1"/>
  <c r="T779" i="1"/>
  <c r="V779" i="1" s="1"/>
  <c r="T646" i="1"/>
  <c r="V646" i="1"/>
  <c r="T770" i="1"/>
  <c r="V770" i="1" s="1"/>
  <c r="T661" i="1"/>
  <c r="V661" i="1"/>
  <c r="T665" i="1"/>
  <c r="V665" i="1"/>
  <c r="T795" i="1"/>
  <c r="V795" i="1"/>
  <c r="T739" i="1"/>
  <c r="V739" i="1"/>
  <c r="T737" i="1"/>
  <c r="V737" i="1"/>
  <c r="T784" i="1"/>
  <c r="V784" i="1" s="1"/>
  <c r="T675" i="1"/>
  <c r="V675" i="1"/>
  <c r="T775" i="1"/>
  <c r="V775" i="1"/>
  <c r="T787" i="1"/>
  <c r="V787" i="1"/>
  <c r="T744" i="1"/>
  <c r="V744" i="1"/>
  <c r="T769" i="1"/>
  <c r="V769" i="1"/>
  <c r="T811" i="1"/>
  <c r="V811" i="1"/>
  <c r="T767" i="1"/>
  <c r="V767" i="1"/>
  <c r="T680" i="1"/>
  <c r="V680" i="1" s="1"/>
  <c r="T653" i="1"/>
  <c r="V653" i="1"/>
  <c r="T797" i="1"/>
  <c r="V797" i="1"/>
  <c r="T659" i="1"/>
  <c r="V659" i="1"/>
  <c r="T843" i="1"/>
  <c r="V843" i="1"/>
  <c r="T747" i="1"/>
  <c r="V747" i="1"/>
  <c r="T709" i="1"/>
  <c r="V709" i="1"/>
  <c r="T771" i="1"/>
  <c r="V771" i="1"/>
  <c r="T662" i="1"/>
  <c r="V662" i="1" s="1"/>
  <c r="T640" i="1"/>
  <c r="V640" i="1"/>
  <c r="T801" i="1"/>
  <c r="V801" i="1"/>
  <c r="T806" i="1"/>
  <c r="V806" i="1"/>
  <c r="T816" i="1"/>
  <c r="V816" i="1"/>
  <c r="T685" i="1"/>
  <c r="V685" i="1"/>
  <c r="T750" i="1"/>
  <c r="V750" i="1"/>
  <c r="T678" i="1"/>
  <c r="V678" i="1"/>
  <c r="V802" i="1"/>
  <c r="T802" i="1"/>
  <c r="T686" i="1"/>
  <c r="V686" i="1"/>
  <c r="T776" i="1"/>
  <c r="V776" i="1"/>
  <c r="T690" i="1"/>
  <c r="V690" i="1"/>
  <c r="T782" i="1"/>
  <c r="V782" i="1"/>
  <c r="T683" i="1"/>
  <c r="V683" i="1"/>
  <c r="T807" i="1"/>
  <c r="V807" i="1"/>
  <c r="T721" i="1"/>
  <c r="V721" i="1"/>
  <c r="T760" i="1"/>
  <c r="V760" i="1" s="1"/>
  <c r="T803" i="1"/>
  <c r="V803" i="1"/>
  <c r="T749" i="1"/>
  <c r="V749" i="1"/>
  <c r="T710" i="1"/>
  <c r="V710" i="1"/>
  <c r="T814" i="1"/>
  <c r="V814" i="1"/>
  <c r="T688" i="1"/>
  <c r="V688" i="1"/>
  <c r="T829" i="1"/>
  <c r="V829" i="1"/>
  <c r="T758" i="1"/>
  <c r="V758" i="1"/>
  <c r="T726" i="1"/>
  <c r="V726" i="1" s="1"/>
  <c r="T813" i="1"/>
  <c r="V813" i="1"/>
  <c r="T808" i="1"/>
  <c r="V808" i="1"/>
  <c r="T754" i="1"/>
  <c r="V754" i="1" s="1"/>
  <c r="T667" i="1"/>
  <c r="V667" i="1"/>
  <c r="T645" i="1"/>
  <c r="V645" i="1"/>
  <c r="T838" i="1"/>
  <c r="V838" i="1"/>
  <c r="T799" i="1"/>
  <c r="V799" i="1"/>
  <c r="T715" i="1"/>
  <c r="V715" i="1" s="1"/>
  <c r="T841" i="1"/>
  <c r="V841" i="1"/>
  <c r="T693" i="1"/>
  <c r="V693" i="1"/>
  <c r="T834" i="1"/>
  <c r="V834" i="1" s="1"/>
  <c r="T790" i="1"/>
  <c r="V790" i="1"/>
  <c r="T731" i="1"/>
  <c r="V731" i="1"/>
  <c r="T717" i="1"/>
  <c r="V717" i="1"/>
  <c r="T657" i="1"/>
  <c r="V657" i="1"/>
  <c r="T835" i="1"/>
  <c r="V835" i="1" s="1"/>
  <c r="T759" i="1"/>
  <c r="V759" i="1"/>
  <c r="T672" i="1"/>
  <c r="V672" i="1"/>
  <c r="T677" i="1"/>
  <c r="V677" i="1"/>
  <c r="T670" i="1"/>
  <c r="V670" i="1"/>
  <c r="T720" i="1"/>
  <c r="V720" i="1"/>
  <c r="T673" i="1"/>
  <c r="V673" i="1"/>
  <c r="T698" i="1"/>
  <c r="V698" i="1"/>
  <c r="V839" i="1"/>
  <c r="T839" i="1"/>
  <c r="T822" i="1"/>
  <c r="V822" i="1"/>
  <c r="T733" i="1"/>
  <c r="V733" i="1"/>
  <c r="T781" i="1"/>
  <c r="V781" i="1"/>
  <c r="T682" i="1"/>
  <c r="V682" i="1"/>
  <c r="T725" i="1"/>
  <c r="V725" i="1"/>
  <c r="T713" i="1"/>
  <c r="V713" i="1"/>
  <c r="T702" i="1"/>
  <c r="V702" i="1"/>
  <c r="V786" i="1"/>
  <c r="T786" i="1"/>
  <c r="T707" i="1"/>
  <c r="V707" i="1"/>
  <c r="T730" i="1"/>
  <c r="V730" i="1"/>
  <c r="T718" i="1"/>
  <c r="V718" i="1"/>
  <c r="T763" i="1"/>
  <c r="V763" i="1"/>
  <c r="T75" i="1"/>
  <c r="V75" i="1"/>
  <c r="T35" i="1"/>
  <c r="V35" i="1"/>
  <c r="T40" i="1"/>
  <c r="V40" i="1"/>
  <c r="T456" i="1"/>
  <c r="V456" i="1"/>
  <c r="T11" i="1"/>
  <c r="V11" i="1"/>
  <c r="T248" i="1"/>
  <c r="V248" i="1"/>
  <c r="T247" i="1"/>
  <c r="V247" i="1"/>
  <c r="T382" i="1"/>
  <c r="V382" i="1"/>
  <c r="T600" i="1"/>
  <c r="V600" i="1" s="1"/>
  <c r="T584" i="1"/>
  <c r="V584" i="1" s="1"/>
  <c r="T50" i="1"/>
  <c r="V50" i="1"/>
  <c r="T198" i="1"/>
  <c r="V198" i="1" s="1"/>
  <c r="T330" i="1"/>
  <c r="V330" i="1"/>
  <c r="T480" i="1"/>
  <c r="V480" i="1"/>
  <c r="T396" i="1"/>
  <c r="V396" i="1" s="1"/>
  <c r="T530" i="1"/>
  <c r="V530" i="1"/>
  <c r="T474" i="1"/>
  <c r="V474" i="1"/>
  <c r="T627" i="1"/>
  <c r="V627" i="1"/>
  <c r="T535" i="1"/>
  <c r="V535" i="1"/>
  <c r="T436" i="1"/>
  <c r="V436" i="1" s="1"/>
  <c r="T599" i="1"/>
  <c r="V599" i="1"/>
  <c r="T636" i="1"/>
  <c r="V636" i="1"/>
  <c r="T187" i="1"/>
  <c r="V187" i="1" s="1"/>
  <c r="T255" i="1"/>
  <c r="V255" i="1"/>
  <c r="T409" i="1"/>
  <c r="V409" i="1"/>
  <c r="T100" i="1"/>
  <c r="V100" i="1" s="1"/>
  <c r="T310" i="1"/>
  <c r="V310" i="1"/>
  <c r="T316" i="1"/>
  <c r="V316" i="1"/>
  <c r="T540" i="1"/>
  <c r="V540" i="1"/>
  <c r="T111" i="1"/>
  <c r="V111" i="1" s="1"/>
  <c r="T362" i="1"/>
  <c r="V362" i="1" s="1"/>
  <c r="T628" i="1"/>
  <c r="V628" i="1"/>
  <c r="T251" i="1"/>
  <c r="V251" i="1" s="1"/>
  <c r="T567" i="1"/>
  <c r="V567" i="1"/>
  <c r="T47" i="1"/>
  <c r="V47" i="1"/>
  <c r="T320" i="1"/>
  <c r="V320" i="1"/>
  <c r="T360" i="1"/>
  <c r="V360" i="1"/>
  <c r="T271" i="1"/>
  <c r="V271" i="1"/>
  <c r="T489" i="1"/>
  <c r="V489" i="1"/>
  <c r="T339" i="1"/>
  <c r="V339" i="1" s="1"/>
  <c r="T280" i="1"/>
  <c r="V280" i="1"/>
  <c r="T464" i="1"/>
  <c r="V464" i="1" s="1"/>
  <c r="T441" i="1"/>
  <c r="V441" i="1"/>
  <c r="V416" i="1"/>
  <c r="T416" i="1"/>
  <c r="T583" i="1"/>
  <c r="V583" i="1"/>
  <c r="T638" i="1"/>
  <c r="V638" i="1"/>
  <c r="T249" i="1"/>
  <c r="V249" i="1"/>
  <c r="T582" i="1"/>
  <c r="V582" i="1"/>
  <c r="T237" i="1"/>
  <c r="V237" i="1"/>
  <c r="T321" i="1"/>
  <c r="V321" i="1" s="1"/>
  <c r="T608" i="1"/>
  <c r="V608" i="1" s="1"/>
  <c r="T242" i="1"/>
  <c r="V242" i="1" s="1"/>
  <c r="T609" i="1"/>
  <c r="V609" i="1"/>
  <c r="T37" i="1"/>
  <c r="V37" i="1"/>
  <c r="T429" i="1"/>
  <c r="V429" i="1" s="1"/>
  <c r="T110" i="1"/>
  <c r="V110" i="1" s="1"/>
  <c r="T256" i="1"/>
  <c r="V256" i="1"/>
  <c r="T498" i="1"/>
  <c r="V498" i="1"/>
  <c r="T472" i="1"/>
  <c r="V472" i="1"/>
  <c r="T615" i="1"/>
  <c r="V615" i="1" s="1"/>
  <c r="T545" i="1"/>
  <c r="V545" i="1"/>
  <c r="T577" i="1"/>
  <c r="V577" i="1"/>
  <c r="T180" i="1"/>
  <c r="V180" i="1"/>
  <c r="T556" i="1"/>
  <c r="V556" i="1"/>
  <c r="T601" i="1"/>
  <c r="V601" i="1"/>
  <c r="T476" i="1"/>
  <c r="V476" i="1" s="1"/>
  <c r="T42" i="1"/>
  <c r="V42" i="1"/>
  <c r="V170" i="1"/>
  <c r="T170" i="1"/>
  <c r="T53" i="1"/>
  <c r="V53" i="1"/>
  <c r="T39" i="1"/>
  <c r="V39" i="1"/>
  <c r="T99" i="1"/>
  <c r="V99" i="1" s="1"/>
  <c r="T106" i="1"/>
  <c r="V106" i="1" s="1"/>
  <c r="T290" i="1"/>
  <c r="V290" i="1" s="1"/>
  <c r="T326" i="1"/>
  <c r="V326" i="1"/>
  <c r="T282" i="1"/>
  <c r="V282" i="1" s="1"/>
  <c r="T374" i="1"/>
  <c r="V374" i="1" s="1"/>
  <c r="T435" i="1"/>
  <c r="V435" i="1"/>
  <c r="T323" i="1"/>
  <c r="V323" i="1" s="1"/>
  <c r="T481" i="1"/>
  <c r="V481" i="1"/>
  <c r="T632" i="1"/>
  <c r="V632" i="1" s="1"/>
  <c r="T561" i="1"/>
  <c r="V561" i="1"/>
  <c r="T552" i="1"/>
  <c r="V552" i="1" s="1"/>
  <c r="V461" i="1"/>
  <c r="T461" i="1"/>
  <c r="V452" i="1"/>
  <c r="T452" i="1"/>
  <c r="T585" i="1"/>
  <c r="V585" i="1"/>
  <c r="T132" i="1"/>
  <c r="V132" i="1"/>
  <c r="T222" i="1"/>
  <c r="V222" i="1" s="1"/>
  <c r="T572" i="1"/>
  <c r="V572" i="1"/>
  <c r="T27" i="1"/>
  <c r="V27" i="1"/>
  <c r="T465" i="1"/>
  <c r="V465" i="1"/>
  <c r="T21" i="1"/>
  <c r="V21" i="1" s="1"/>
  <c r="T43" i="1"/>
  <c r="V43" i="1" s="1"/>
  <c r="T139" i="1"/>
  <c r="V139" i="1" s="1"/>
  <c r="T158" i="1"/>
  <c r="V158" i="1" s="1"/>
  <c r="T397" i="1"/>
  <c r="V397" i="1"/>
  <c r="T449" i="1"/>
  <c r="V449" i="1"/>
  <c r="T445" i="1"/>
  <c r="V445" i="1" s="1"/>
  <c r="T337" i="1"/>
  <c r="V337" i="1" s="1"/>
  <c r="T490" i="1"/>
  <c r="V490" i="1" s="1"/>
  <c r="T588" i="1"/>
  <c r="V588" i="1" s="1"/>
  <c r="T620" i="1"/>
  <c r="V620" i="1"/>
  <c r="T446" i="1"/>
  <c r="V446" i="1" s="1"/>
  <c r="T564" i="1"/>
  <c r="V564" i="1"/>
  <c r="T485" i="1"/>
  <c r="V485" i="1" s="1"/>
  <c r="T505" i="1"/>
  <c r="V505" i="1"/>
  <c r="T633" i="1"/>
  <c r="V633" i="1"/>
  <c r="T234" i="1"/>
  <c r="V234" i="1" s="1"/>
  <c r="V226" i="1"/>
  <c r="T226" i="1"/>
  <c r="T264" i="1"/>
  <c r="V264" i="1"/>
  <c r="T568" i="1"/>
  <c r="V568" i="1" s="1"/>
  <c r="T92" i="1"/>
  <c r="V92" i="1"/>
  <c r="T85" i="1"/>
  <c r="V85" i="1"/>
  <c r="T288" i="1"/>
  <c r="V288" i="1"/>
  <c r="T353" i="1"/>
  <c r="V353" i="1" s="1"/>
  <c r="V466" i="1"/>
  <c r="T466" i="1"/>
  <c r="T451" i="1"/>
  <c r="V451" i="1" s="1"/>
  <c r="T359" i="1"/>
  <c r="V359" i="1"/>
  <c r="T457" i="1"/>
  <c r="V457" i="1"/>
  <c r="T438" i="1"/>
  <c r="V438" i="1" s="1"/>
  <c r="T547" i="1"/>
  <c r="V547" i="1"/>
  <c r="T591" i="1"/>
  <c r="V591" i="1"/>
  <c r="T631" i="1"/>
  <c r="V631" i="1"/>
  <c r="T148" i="1"/>
  <c r="V148" i="1" s="1"/>
  <c r="T550" i="1"/>
  <c r="V550" i="1" s="1"/>
  <c r="T411" i="1"/>
  <c r="V411" i="1"/>
  <c r="T45" i="1"/>
  <c r="V45" i="1"/>
  <c r="T84" i="1"/>
  <c r="V84" i="1"/>
  <c r="T124" i="1"/>
  <c r="V124" i="1"/>
  <c r="T67" i="1"/>
  <c r="V67" i="1"/>
  <c r="T44" i="1"/>
  <c r="V44" i="1"/>
  <c r="V147" i="1"/>
  <c r="T147" i="1"/>
  <c r="T294" i="1"/>
  <c r="V294" i="1" s="1"/>
  <c r="T159" i="1"/>
  <c r="V159" i="1" s="1"/>
  <c r="T296" i="1"/>
  <c r="V296" i="1"/>
  <c r="T266" i="1"/>
  <c r="V266" i="1" s="1"/>
  <c r="T71" i="1"/>
  <c r="V71" i="1"/>
  <c r="T91" i="1"/>
  <c r="V91" i="1"/>
  <c r="T79" i="1"/>
  <c r="V79" i="1"/>
  <c r="V205" i="1"/>
  <c r="T205" i="1"/>
  <c r="V120" i="1"/>
  <c r="T120" i="1"/>
  <c r="T143" i="1"/>
  <c r="V143" i="1" s="1"/>
  <c r="T108" i="1"/>
  <c r="V108" i="1" s="1"/>
  <c r="T194" i="1"/>
  <c r="V194" i="1" s="1"/>
  <c r="T368" i="1"/>
  <c r="V368" i="1"/>
  <c r="T223" i="1"/>
  <c r="V223" i="1"/>
  <c r="T263" i="1"/>
  <c r="V263" i="1"/>
  <c r="T287" i="1"/>
  <c r="V287" i="1" s="1"/>
  <c r="T270" i="1"/>
  <c r="V270" i="1" s="1"/>
  <c r="T318" i="1"/>
  <c r="V318" i="1"/>
  <c r="T426" i="1"/>
  <c r="V426" i="1"/>
  <c r="T488" i="1"/>
  <c r="V488" i="1" s="1"/>
  <c r="T377" i="1"/>
  <c r="V377" i="1"/>
  <c r="T314" i="1"/>
  <c r="V314" i="1"/>
  <c r="T463" i="1"/>
  <c r="V463" i="1"/>
  <c r="T623" i="1"/>
  <c r="V623" i="1" s="1"/>
  <c r="T574" i="1"/>
  <c r="V574" i="1" s="1"/>
  <c r="T114" i="1"/>
  <c r="V114" i="1" s="1"/>
  <c r="T406" i="1"/>
  <c r="V406" i="1"/>
  <c r="T387" i="1"/>
  <c r="V387" i="1"/>
  <c r="T279" i="1"/>
  <c r="V279" i="1"/>
  <c r="T450" i="1"/>
  <c r="V450" i="1"/>
  <c r="T137" i="1"/>
  <c r="V137" i="1"/>
  <c r="T595" i="1"/>
  <c r="V595" i="1" s="1"/>
  <c r="V302" i="1"/>
  <c r="T302" i="1"/>
  <c r="T458" i="1"/>
  <c r="V458" i="1"/>
  <c r="T297" i="1"/>
  <c r="V297" i="1" s="1"/>
  <c r="T52" i="1"/>
  <c r="V52" i="1"/>
  <c r="T306" i="1"/>
  <c r="V306" i="1"/>
  <c r="T286" i="1"/>
  <c r="V286" i="1"/>
  <c r="T64" i="1"/>
  <c r="V64" i="1"/>
  <c r="T304" i="1"/>
  <c r="V304" i="1" s="1"/>
  <c r="T336" i="1"/>
  <c r="V336" i="1" s="1"/>
  <c r="T520" i="1"/>
  <c r="V520" i="1"/>
  <c r="T504" i="1"/>
  <c r="V504" i="1"/>
  <c r="T497" i="1"/>
  <c r="V497" i="1" s="1"/>
  <c r="T364" i="1"/>
  <c r="V364" i="1"/>
  <c r="T603" i="1"/>
  <c r="V603" i="1"/>
  <c r="T635" i="1"/>
  <c r="V635" i="1"/>
  <c r="T519" i="1"/>
  <c r="V519" i="1" s="1"/>
  <c r="V197" i="1"/>
  <c r="T197" i="1"/>
  <c r="T528" i="1"/>
  <c r="V528" i="1"/>
  <c r="T208" i="1"/>
  <c r="V208" i="1" s="1"/>
  <c r="T437" i="1"/>
  <c r="V437" i="1" s="1"/>
  <c r="T604" i="1"/>
  <c r="V604" i="1"/>
  <c r="T165" i="1"/>
  <c r="V165" i="1" s="1"/>
  <c r="T424" i="1"/>
  <c r="V424" i="1" s="1"/>
  <c r="T340" i="1"/>
  <c r="V340" i="1" s="1"/>
  <c r="V171" i="1"/>
  <c r="T171" i="1"/>
  <c r="T185" i="1"/>
  <c r="V185" i="1"/>
  <c r="T298" i="1"/>
  <c r="V298" i="1"/>
  <c r="T13" i="1"/>
  <c r="V13" i="1"/>
  <c r="T116" i="1"/>
  <c r="V116" i="1"/>
  <c r="T157" i="1"/>
  <c r="V157" i="1" s="1"/>
  <c r="T204" i="1"/>
  <c r="V204" i="1"/>
  <c r="V141" i="1"/>
  <c r="T141" i="1"/>
  <c r="T93" i="1"/>
  <c r="V93" i="1" s="1"/>
  <c r="T207" i="1"/>
  <c r="V207" i="1"/>
  <c r="T272" i="1"/>
  <c r="V272" i="1"/>
  <c r="T98" i="1"/>
  <c r="V98" i="1"/>
  <c r="T105" i="1"/>
  <c r="V105" i="1"/>
  <c r="T211" i="1"/>
  <c r="V211" i="1" s="1"/>
  <c r="T213" i="1"/>
  <c r="V213" i="1" s="1"/>
  <c r="T82" i="1"/>
  <c r="V82" i="1" s="1"/>
  <c r="T172" i="1"/>
  <c r="V172" i="1" s="1"/>
  <c r="T133" i="1"/>
  <c r="V133" i="1" s="1"/>
  <c r="T221" i="1"/>
  <c r="V221" i="1" s="1"/>
  <c r="T235" i="1"/>
  <c r="V235" i="1" s="1"/>
  <c r="T83" i="1"/>
  <c r="V83" i="1"/>
  <c r="T328" i="1"/>
  <c r="V328" i="1" s="1"/>
  <c r="T334" i="1"/>
  <c r="V334" i="1"/>
  <c r="T354" i="1"/>
  <c r="V354" i="1" s="1"/>
  <c r="T482" i="1"/>
  <c r="V482" i="1" s="1"/>
  <c r="T529" i="1"/>
  <c r="V529" i="1"/>
  <c r="T367" i="1"/>
  <c r="V367" i="1" s="1"/>
  <c r="T513" i="1"/>
  <c r="V513" i="1" s="1"/>
  <c r="T506" i="1"/>
  <c r="V506" i="1" s="1"/>
  <c r="T403" i="1"/>
  <c r="V403" i="1"/>
  <c r="T508" i="1"/>
  <c r="V508" i="1" s="1"/>
  <c r="T571" i="1"/>
  <c r="V571" i="1" s="1"/>
  <c r="T514" i="1"/>
  <c r="V514" i="1" s="1"/>
  <c r="T433" i="1"/>
  <c r="V433" i="1"/>
  <c r="T537" i="1"/>
  <c r="V537" i="1"/>
  <c r="T80" i="1"/>
  <c r="V80" i="1"/>
  <c r="T203" i="1"/>
  <c r="V203" i="1" s="1"/>
  <c r="T278" i="1"/>
  <c r="V278" i="1"/>
  <c r="T168" i="1"/>
  <c r="V168" i="1" s="1"/>
  <c r="T15" i="1"/>
  <c r="V15" i="1" s="1"/>
  <c r="T191" i="1"/>
  <c r="V191" i="1" s="1"/>
  <c r="T34" i="1"/>
  <c r="V34" i="1"/>
  <c r="T250" i="1"/>
  <c r="V250" i="1"/>
  <c r="T155" i="1"/>
  <c r="V155" i="1" s="1"/>
  <c r="T160" i="1"/>
  <c r="V160" i="1" s="1"/>
  <c r="T344" i="1"/>
  <c r="V344" i="1"/>
  <c r="T74" i="1"/>
  <c r="V74" i="1"/>
  <c r="V162" i="1"/>
  <c r="T162" i="1"/>
  <c r="T402" i="1"/>
  <c r="V402" i="1" s="1"/>
  <c r="T96" i="1"/>
  <c r="V96" i="1" s="1"/>
  <c r="T131" i="1"/>
  <c r="V131" i="1" s="1"/>
  <c r="T322" i="1"/>
  <c r="V322" i="1"/>
  <c r="T138" i="1"/>
  <c r="V138" i="1" s="1"/>
  <c r="T128" i="1"/>
  <c r="V128" i="1" s="1"/>
  <c r="T16" i="1"/>
  <c r="V16" i="1" s="1"/>
  <c r="T87" i="1"/>
  <c r="V87" i="1" s="1"/>
  <c r="V176" i="1"/>
  <c r="T176" i="1"/>
  <c r="T135" i="1"/>
  <c r="V135" i="1" s="1"/>
  <c r="T123" i="1"/>
  <c r="V123" i="1" s="1"/>
  <c r="T241" i="1"/>
  <c r="V241" i="1"/>
  <c r="T346" i="1"/>
  <c r="V346" i="1" s="1"/>
  <c r="T352" i="1"/>
  <c r="V352" i="1"/>
  <c r="T281" i="1"/>
  <c r="V281" i="1" s="1"/>
  <c r="V404" i="1"/>
  <c r="T404" i="1"/>
  <c r="T521" i="1"/>
  <c r="V521" i="1"/>
  <c r="T379" i="1"/>
  <c r="V379" i="1"/>
  <c r="T522" i="1"/>
  <c r="V522" i="1"/>
  <c r="T388" i="1"/>
  <c r="V388" i="1" s="1"/>
  <c r="T405" i="1"/>
  <c r="V405" i="1"/>
  <c r="T616" i="1"/>
  <c r="V616" i="1" s="1"/>
  <c r="T494" i="1"/>
  <c r="V494" i="1" s="1"/>
  <c r="T569" i="1"/>
  <c r="V569" i="1" s="1"/>
  <c r="T606" i="1"/>
  <c r="V606" i="1"/>
  <c r="T459" i="1"/>
  <c r="V459" i="1"/>
  <c r="T536" i="1"/>
  <c r="V536" i="1"/>
  <c r="T76" i="1"/>
  <c r="V76" i="1"/>
  <c r="T192" i="1"/>
  <c r="V192" i="1" s="1"/>
  <c r="T163" i="1"/>
  <c r="V163" i="1" s="1"/>
  <c r="T32" i="1"/>
  <c r="V32" i="1" s="1"/>
  <c r="T240" i="1"/>
  <c r="V240" i="1" s="1"/>
  <c r="T425" i="1"/>
  <c r="V425" i="1"/>
  <c r="T579" i="1"/>
  <c r="V579" i="1"/>
  <c r="T167" i="1"/>
  <c r="V167" i="1" s="1"/>
  <c r="T189" i="1"/>
  <c r="V189" i="1" s="1"/>
  <c r="T342" i="1"/>
  <c r="V342" i="1" s="1"/>
  <c r="T179" i="1"/>
  <c r="V179" i="1" s="1"/>
  <c r="T195" i="1"/>
  <c r="V195" i="1" s="1"/>
  <c r="T188" i="1"/>
  <c r="V188" i="1" s="1"/>
  <c r="T72" i="1"/>
  <c r="V72" i="1"/>
  <c r="T66" i="1"/>
  <c r="V66" i="1"/>
  <c r="T103" i="1"/>
  <c r="V103" i="1" s="1"/>
  <c r="T253" i="1"/>
  <c r="V253" i="1"/>
  <c r="T109" i="1"/>
  <c r="V109" i="1" s="1"/>
  <c r="T60" i="1"/>
  <c r="V60" i="1"/>
  <c r="T230" i="1"/>
  <c r="V230" i="1" s="1"/>
  <c r="V301" i="1"/>
  <c r="T301" i="1"/>
  <c r="T136" i="1"/>
  <c r="V136" i="1" s="1"/>
  <c r="T227" i="1"/>
  <c r="V227" i="1" s="1"/>
  <c r="T130" i="1"/>
  <c r="V130" i="1" s="1"/>
  <c r="T101" i="1"/>
  <c r="V101" i="1"/>
  <c r="T219" i="1"/>
  <c r="V219" i="1"/>
  <c r="T164" i="1"/>
  <c r="V164" i="1"/>
  <c r="T125" i="1"/>
  <c r="V125" i="1" s="1"/>
  <c r="T246" i="1"/>
  <c r="V246" i="1" s="1"/>
  <c r="T166" i="1"/>
  <c r="V166" i="1" s="1"/>
  <c r="T390" i="1"/>
  <c r="V390" i="1"/>
  <c r="T430" i="1"/>
  <c r="V430" i="1"/>
  <c r="T371" i="1"/>
  <c r="V371" i="1" s="1"/>
  <c r="T512" i="1"/>
  <c r="V512" i="1"/>
  <c r="T381" i="1"/>
  <c r="V381" i="1"/>
  <c r="T398" i="1"/>
  <c r="V398" i="1"/>
  <c r="T414" i="1"/>
  <c r="V414" i="1" s="1"/>
  <c r="T350" i="1"/>
  <c r="V350" i="1"/>
  <c r="T611" i="1"/>
  <c r="V611" i="1"/>
  <c r="T501" i="1"/>
  <c r="V501" i="1" s="1"/>
  <c r="T543" i="1"/>
  <c r="V543" i="1"/>
  <c r="T548" i="1"/>
  <c r="V548" i="1"/>
  <c r="T553" i="1"/>
  <c r="V553" i="1"/>
  <c r="T295" i="1"/>
  <c r="V295" i="1"/>
  <c r="T312" i="1"/>
  <c r="V312" i="1"/>
  <c r="T199" i="1"/>
  <c r="V199" i="1"/>
  <c r="T419" i="1"/>
  <c r="V419" i="1"/>
  <c r="T389" i="1"/>
  <c r="V389" i="1"/>
  <c r="T630" i="1"/>
  <c r="V630" i="1"/>
  <c r="T614" i="1"/>
  <c r="V614" i="1"/>
  <c r="T29" i="1"/>
  <c r="V29" i="1"/>
  <c r="T178" i="1"/>
  <c r="V178" i="1" s="1"/>
  <c r="T89" i="1"/>
  <c r="V89" i="1" s="1"/>
  <c r="T184" i="1"/>
  <c r="V184" i="1" s="1"/>
  <c r="T69" i="1"/>
  <c r="V69" i="1"/>
  <c r="T229" i="1"/>
  <c r="V229" i="1" s="1"/>
  <c r="T10" i="1"/>
  <c r="V10" i="1"/>
  <c r="T228" i="1"/>
  <c r="V228" i="1"/>
  <c r="T122" i="1"/>
  <c r="V122" i="1" s="1"/>
  <c r="T200" i="1"/>
  <c r="V200" i="1" s="1"/>
  <c r="T473" i="1"/>
  <c r="V473" i="1"/>
  <c r="T144" i="1"/>
  <c r="V144" i="1" s="1"/>
  <c r="T115" i="1"/>
  <c r="V115" i="1" s="1"/>
  <c r="T146" i="1"/>
  <c r="V146" i="1" s="1"/>
  <c r="T117" i="1"/>
  <c r="V117" i="1" s="1"/>
  <c r="T181" i="1"/>
  <c r="V181" i="1" s="1"/>
  <c r="T107" i="1"/>
  <c r="V107" i="1" s="1"/>
  <c r="T18" i="1"/>
  <c r="V18" i="1"/>
  <c r="T119" i="1"/>
  <c r="V119" i="1" s="1"/>
  <c r="T59" i="1"/>
  <c r="V59" i="1"/>
  <c r="T183" i="1"/>
  <c r="V183" i="1"/>
  <c r="T23" i="1"/>
  <c r="V23" i="1"/>
  <c r="T112" i="1"/>
  <c r="V112" i="1" s="1"/>
  <c r="T28" i="1"/>
  <c r="V28" i="1"/>
  <c r="T186" i="1"/>
  <c r="V186" i="1" s="1"/>
  <c r="T358" i="1"/>
  <c r="V358" i="1"/>
  <c r="T238" i="1"/>
  <c r="V238" i="1"/>
  <c r="V341" i="1"/>
  <c r="T341" i="1"/>
  <c r="T417" i="1"/>
  <c r="V417" i="1"/>
  <c r="T283" i="1"/>
  <c r="V283" i="1" s="1"/>
  <c r="T386" i="1"/>
  <c r="V386" i="1"/>
  <c r="T418" i="1"/>
  <c r="V418" i="1"/>
  <c r="T427" i="1"/>
  <c r="V427" i="1"/>
  <c r="T357" i="1"/>
  <c r="V357" i="1" s="1"/>
  <c r="V444" i="1"/>
  <c r="T444" i="1"/>
  <c r="T596" i="1"/>
  <c r="V596" i="1"/>
  <c r="T617" i="1"/>
  <c r="V617" i="1"/>
  <c r="T555" i="1"/>
  <c r="V555" i="1"/>
  <c r="T560" i="1"/>
  <c r="V560" i="1" s="1"/>
  <c r="T5" i="1"/>
  <c r="V5" i="1"/>
  <c r="V6" i="1"/>
  <c r="V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<sst xmlns="http://schemas.openxmlformats.org/spreadsheetml/2006/main" count="5483" uniqueCount="274">
  <si>
    <t>Mes</t>
  </si>
  <si>
    <t>N° Mes</t>
  </si>
  <si>
    <t>Ubicación</t>
  </si>
  <si>
    <t>ID Medidor</t>
  </si>
  <si>
    <t>Tipo Local</t>
  </si>
  <si>
    <t>Nombre Local</t>
  </si>
  <si>
    <t>Fase</t>
  </si>
  <si>
    <t>Consumo Mensual
(kWh)</t>
  </si>
  <si>
    <t>Peak Mensual
(kW)</t>
  </si>
  <si>
    <t>Demanda Hora
Punta (kWh)</t>
  </si>
  <si>
    <t>% Punta /
Consumo Total</t>
  </si>
  <si>
    <t>Promedio
Diario (kWh)</t>
  </si>
  <si>
    <t>Enero</t>
  </si>
  <si>
    <t>SC53-001</t>
  </si>
  <si>
    <t>SSCC</t>
  </si>
  <si>
    <t>Servicios comunes</t>
  </si>
  <si>
    <t>3P</t>
  </si>
  <si>
    <t>SC53-002</t>
  </si>
  <si>
    <t>Retail</t>
  </si>
  <si>
    <t>Supermercado</t>
  </si>
  <si>
    <t>SC53-003</t>
  </si>
  <si>
    <t>supermercado2</t>
  </si>
  <si>
    <t>SC53-004</t>
  </si>
  <si>
    <t>Ripley</t>
  </si>
  <si>
    <t>SC53-005</t>
  </si>
  <si>
    <t>Paris</t>
  </si>
  <si>
    <t>SC53-006</t>
  </si>
  <si>
    <t>La Polar</t>
  </si>
  <si>
    <t>SC53-007</t>
  </si>
  <si>
    <t>Tricot</t>
  </si>
  <si>
    <t>1P</t>
  </si>
  <si>
    <t>SC53-008</t>
  </si>
  <si>
    <t>Easy</t>
  </si>
  <si>
    <t>SC53-009</t>
  </si>
  <si>
    <t>Ropa</t>
  </si>
  <si>
    <t>H&amp;M</t>
  </si>
  <si>
    <t>SC53-010</t>
  </si>
  <si>
    <t>Adidas</t>
  </si>
  <si>
    <t>SC53-011</t>
  </si>
  <si>
    <t>Nike</t>
  </si>
  <si>
    <t>SC53-012</t>
  </si>
  <si>
    <t>Puma</t>
  </si>
  <si>
    <t>SC53-013</t>
  </si>
  <si>
    <t>Everlast</t>
  </si>
  <si>
    <t>SC53-014</t>
  </si>
  <si>
    <t>Arrow</t>
  </si>
  <si>
    <t>SC53-015</t>
  </si>
  <si>
    <t>Calzado</t>
  </si>
  <si>
    <t>Merrell</t>
  </si>
  <si>
    <t>SC53-016</t>
  </si>
  <si>
    <t>Skechers</t>
  </si>
  <si>
    <t>SC53-017</t>
  </si>
  <si>
    <t>Ropa interior</t>
  </si>
  <si>
    <t>Kayser</t>
  </si>
  <si>
    <t>SC53-018</t>
  </si>
  <si>
    <t>Cosmética</t>
  </si>
  <si>
    <t>Lush</t>
  </si>
  <si>
    <t>SC53-019</t>
  </si>
  <si>
    <t>Joyería</t>
  </si>
  <si>
    <t>Jewelry A</t>
  </si>
  <si>
    <t>SC53-020</t>
  </si>
  <si>
    <t>Accesorios</t>
  </si>
  <si>
    <t>Umbale</t>
  </si>
  <si>
    <t>SC53-021</t>
  </si>
  <si>
    <t>Wrangler</t>
  </si>
  <si>
    <t>SC53-022</t>
  </si>
  <si>
    <t>Tip Top</t>
  </si>
  <si>
    <t>SC53-023</t>
  </si>
  <si>
    <t>Lacoste</t>
  </si>
  <si>
    <t>SC53-024</t>
  </si>
  <si>
    <t>Hogar / decoración</t>
  </si>
  <si>
    <t>Casa Ideas</t>
  </si>
  <si>
    <t>SC53-025</t>
  </si>
  <si>
    <t>Café</t>
  </si>
  <si>
    <t>Starbucks</t>
  </si>
  <si>
    <t>SC53-026</t>
  </si>
  <si>
    <t>Juan Valdez</t>
  </si>
  <si>
    <t>SC53-027</t>
  </si>
  <si>
    <t>Comida rápida</t>
  </si>
  <si>
    <t>Pizza Hut</t>
  </si>
  <si>
    <t>SC53-028</t>
  </si>
  <si>
    <t>Pollo Stop</t>
  </si>
  <si>
    <t>SC53-029</t>
  </si>
  <si>
    <t>Chicken Love You</t>
  </si>
  <si>
    <t>SC53-030</t>
  </si>
  <si>
    <t>Doggis</t>
  </si>
  <si>
    <t>SC53-031</t>
  </si>
  <si>
    <t>Burger King</t>
  </si>
  <si>
    <t>SC53-032</t>
  </si>
  <si>
    <t>McDonald’s</t>
  </si>
  <si>
    <t>SC53-033</t>
  </si>
  <si>
    <t>Comida</t>
  </si>
  <si>
    <t>Juan Maestro</t>
  </si>
  <si>
    <t>SC53-034</t>
  </si>
  <si>
    <t>Heladería</t>
  </si>
  <si>
    <t>Emporio La Rosa</t>
  </si>
  <si>
    <t>SC53-035</t>
  </si>
  <si>
    <t>Savory</t>
  </si>
  <si>
    <t>SC53-036</t>
  </si>
  <si>
    <t>Cine / entretenimiento</t>
  </si>
  <si>
    <t>Cine Hoyts</t>
  </si>
  <si>
    <t>SC53-037</t>
  </si>
  <si>
    <t>Entretenimiento</t>
  </si>
  <si>
    <t>Happyland</t>
  </si>
  <si>
    <t>SC53-038</t>
  </si>
  <si>
    <t>Farmacia</t>
  </si>
  <si>
    <t>Salcobrand</t>
  </si>
  <si>
    <t>SC53-039</t>
  </si>
  <si>
    <t>Farmacias Ahumada</t>
  </si>
  <si>
    <t>SC53-040</t>
  </si>
  <si>
    <t>Óptica</t>
  </si>
  <si>
    <t>Óptica Schilling</t>
  </si>
  <si>
    <t>SC53-041</t>
  </si>
  <si>
    <t>Librería</t>
  </si>
  <si>
    <t>Antártica Libros</t>
  </si>
  <si>
    <t>SC53-042</t>
  </si>
  <si>
    <t>Banco</t>
  </si>
  <si>
    <t>Banco Bci</t>
  </si>
  <si>
    <t>SC53-043</t>
  </si>
  <si>
    <t>Banco BBVA</t>
  </si>
  <si>
    <t>SC53-044</t>
  </si>
  <si>
    <t>Local no sensado</t>
  </si>
  <si>
    <t>Local no sensado 1</t>
  </si>
  <si>
    <t>SC53-045</t>
  </si>
  <si>
    <t>Local no sensado 2</t>
  </si>
  <si>
    <t>SC53-046</t>
  </si>
  <si>
    <t>Local no sensado 3</t>
  </si>
  <si>
    <t>SC53-047</t>
  </si>
  <si>
    <t>Local no sensado 4</t>
  </si>
  <si>
    <t>SC53-048</t>
  </si>
  <si>
    <t>Local no sensado 5</t>
  </si>
  <si>
    <t>SC53-049</t>
  </si>
  <si>
    <t>Local no sensado 6</t>
  </si>
  <si>
    <t>SC53-050</t>
  </si>
  <si>
    <t>Local no sensado 7</t>
  </si>
  <si>
    <t>SC53-051</t>
  </si>
  <si>
    <t>Local no sensado 8</t>
  </si>
  <si>
    <t>SC53-052</t>
  </si>
  <si>
    <t>Local no sensado 9</t>
  </si>
  <si>
    <t>SC53-053</t>
  </si>
  <si>
    <t>Local no sensado 10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</si>
  <si>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</si>
  <si>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</si>
  <si>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</si>
  <si>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</si>
  <si>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</si>
  <si>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</si>
  <si>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</si>
  <si>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</si>
  <si>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</si>
  <si>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</si>
  <si>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</si>
  <si>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POWER Digital® — Arauco Express El Carmen de Huechuraba — Resumen Anual por Local 2025</t>
  </si>
  <si>
    <t>① CONSUMO MENSUAL POR LOCAL (kWh)</t>
  </si>
  <si>
    <t>TOTAL ANUAL</t>
  </si>
  <si>
    <t>TOTAL CENTRO</t>
  </si>
  <si>
    <t>Todos los locales</t>
  </si>
  <si>
    <t>② PEAK MENSUAL POR LOCAL (kW)</t>
  </si>
  <si>
    <t>③ DEMANDA HORA PUNTA 18:00–22:00 POR LOCAL (kWh)</t>
  </si>
  <si>
    <t>POWER Digital® — Resumen Ejecutivo Mensual — Strip Center 53</t>
  </si>
  <si>
    <t>Arauco Express El Carmen de Huechuraba  |  2025  |  53 medidores</t>
  </si>
  <si>
    <t>Consumo Total
Centro (kWh)</t>
  </si>
  <si>
    <t>Peak Máx
Centro (kW)</t>
  </si>
  <si>
    <t>Demanda Punta
Total (kWh)</t>
  </si>
  <si>
    <t>% Punta</t>
  </si>
  <si>
    <t>Promedio Diario
Centro (kWh)</t>
  </si>
  <si>
    <t>Local con Mayor
Consumo</t>
  </si>
  <si>
    <t>SC53-001 — Servicios comunes</t>
  </si>
  <si>
    <t>Consumo Energía (kWh)</t>
  </si>
  <si>
    <t>Dda. Máx. Suministrada(kW)</t>
  </si>
  <si>
    <t>Dda. Máx. Hora Punta(kW)</t>
  </si>
  <si>
    <t>KWH para Sistema Troncal</t>
  </si>
  <si>
    <t>Cargo Fijo ($)</t>
  </si>
  <si>
    <t>Consumo Energía ($kWh)</t>
  </si>
  <si>
    <t>KWH para Serv. Público IVA 1</t>
  </si>
  <si>
    <t>KWH para Serv. Público IVA 2</t>
  </si>
  <si>
    <t>KWH para Serv. Público IVA 3</t>
  </si>
  <si>
    <t>KWH para Serv. Público IVA 4</t>
  </si>
  <si>
    <t>KWH para Serv. Público IVA 5</t>
  </si>
  <si>
    <t>KWH para Serv. Público Neto</t>
  </si>
  <si>
    <t>Total Neto($)</t>
  </si>
  <si>
    <t>IVA ($)</t>
  </si>
  <si>
    <t>Monto Exento</t>
  </si>
  <si>
    <t>Total con IVA ($)</t>
  </si>
  <si>
    <t>POWER Digital® — Arauco Premium Outlet Buenaventura — Consumo por Local y Mes</t>
  </si>
  <si>
    <t>Outlet 70 medidores | 70 medidores | Año 2025 | Peak Hora Punta: 18:00 – 22:00</t>
  </si>
  <si>
    <t>Arauco Premium Outlet Buenaventura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</si>
  <si>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</si>
  <si>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</si>
  <si>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</si>
  <si>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</si>
  <si>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</si>
  <si>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</si>
  <si>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</si>
  <si>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</si>
  <si>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OT-009</t>
  </si>
  <si>
    <t>OT-010</t>
  </si>
  <si>
    <t>OT-011</t>
  </si>
  <si>
    <t>OT-012</t>
  </si>
  <si>
    <t>OT-013</t>
  </si>
  <si>
    <t>OT-014</t>
  </si>
  <si>
    <t>OT-015</t>
  </si>
  <si>
    <t>OT-016</t>
  </si>
  <si>
    <t>OT-017</t>
  </si>
  <si>
    <t>OT-018</t>
  </si>
  <si>
    <t>OT-019</t>
  </si>
  <si>
    <t>OT-020</t>
  </si>
  <si>
    <t>OT-021</t>
  </si>
  <si>
    <t>OT-022</t>
  </si>
  <si>
    <t>OT-023</t>
  </si>
  <si>
    <t>OT-024</t>
  </si>
  <si>
    <t>OT-025</t>
  </si>
  <si>
    <t>OT-026</t>
  </si>
  <si>
    <t>OT-027</t>
  </si>
  <si>
    <t>OT-028</t>
  </si>
  <si>
    <t>OT-029</t>
  </si>
  <si>
    <t>OT-030</t>
  </si>
  <si>
    <t>OT-031</t>
  </si>
  <si>
    <t>OT-032</t>
  </si>
  <si>
    <t>OT-033</t>
  </si>
  <si>
    <t>OT-034</t>
  </si>
  <si>
    <t>OT-035</t>
  </si>
  <si>
    <t>OT-036</t>
  </si>
  <si>
    <t>OT-037</t>
  </si>
  <si>
    <t>OT-038</t>
  </si>
  <si>
    <t>OT-039</t>
  </si>
  <si>
    <t>OT-040</t>
  </si>
  <si>
    <t>OT-041</t>
  </si>
  <si>
    <t>OT-042</t>
  </si>
  <si>
    <t>OT-043</t>
  </si>
  <si>
    <t>OT-044</t>
  </si>
  <si>
    <t>OT-045</t>
  </si>
  <si>
    <t>OT-046</t>
  </si>
  <si>
    <t>OT-047</t>
  </si>
  <si>
    <t>OT-048</t>
  </si>
  <si>
    <t>OT-049</t>
  </si>
  <si>
    <t>OT-050</t>
  </si>
  <si>
    <t>OT-051</t>
  </si>
  <si>
    <t>OT-052</t>
  </si>
  <si>
    <t>OT-053</t>
  </si>
  <si>
    <t>OT-054</t>
  </si>
  <si>
    <t>Local no sensado 11</t>
  </si>
  <si>
    <t>OT-055</t>
  </si>
  <si>
    <t>Local no sensado 12</t>
  </si>
  <si>
    <t>OT-056</t>
  </si>
  <si>
    <t>Local no sensado 13</t>
  </si>
  <si>
    <t>OT-057</t>
  </si>
  <si>
    <t>Local no sensado 14</t>
  </si>
  <si>
    <t>OT-058</t>
  </si>
  <si>
    <t>Local no sensado 15</t>
  </si>
  <si>
    <t>OT-059</t>
  </si>
  <si>
    <t>Local no sensado 16</t>
  </si>
  <si>
    <t>OT-060</t>
  </si>
  <si>
    <t>Local no sensado 17</t>
  </si>
  <si>
    <t>OT-061</t>
  </si>
  <si>
    <t>Local no sensado 18</t>
  </si>
  <si>
    <t>OT-062</t>
  </si>
  <si>
    <t>Local no sensado 19</t>
  </si>
  <si>
    <t>OT-063</t>
  </si>
  <si>
    <t>Local no sensado 20</t>
  </si>
  <si>
    <t>OT-064</t>
  </si>
  <si>
    <t>Local no sensado 21</t>
  </si>
  <si>
    <t>OT-065</t>
  </si>
  <si>
    <t>Local no sensado 22</t>
  </si>
  <si>
    <t>OT-066</t>
  </si>
  <si>
    <t>Local no sensado 23</t>
  </si>
  <si>
    <t>OT-067</t>
  </si>
  <si>
    <t>Local no sensado 24</t>
  </si>
  <si>
    <t>OT-068</t>
  </si>
  <si>
    <t>Local no sensado 25</t>
  </si>
  <si>
    <t>OT-069</t>
  </si>
  <si>
    <t>Local no sensado 26</t>
  </si>
  <si>
    <t>OT-070</t>
  </si>
  <si>
    <t>Local no sensado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</si>
</sst>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42" fontId="0" fillId="0" borderId="0" xfId="1" applyFont="1"/>
    <xf numFmtId="42" fontId="9" fillId="9" borderId="2" xfId="1" applyFont="1" applyFill="1" applyBorder="1" applyAlignment="1">
      <alignment horizontal="center" vertical="center" wrapText="1"/>
    </xf>
    <xf numFmtId="42" fontId="0" fillId="0" borderId="0" xfId="0" applyNumberFormat="1"/>
    <xf numFmtId="0" fontId="0" fillId="10" borderId="2" xfId="0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19B9B3-E05D-49DC-9877-228F08659F32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3"/>
  <sheetViews>
    <sheetView tabSelected="1" workbookViewId="0">
      <selection activeCell="M11" sqref="M11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32" customWidth="1"/>
    <col min="4" max="4" width="12" customWidth="1"/>
    <col min="5" max="5" width="14" customWidth="1"/>
    <col min="6" max="6" width="24" customWidth="1"/>
    <col min="7" max="7" width="7" customWidth="1"/>
    <col min="8" max="8" width="18" customWidth="1"/>
    <col min="9" max="9" width="15" customWidth="1"/>
    <col min="10" max="10" width="18" customWidth="1"/>
    <col min="11" max="11" width="15" customWidth="1"/>
    <col min="12" max="12" width="16" customWidth="1"/>
    <col min="13" max="13" width="14.109375" bestFit="1" customWidth="1"/>
    <col min="14" max="14" width="16.6640625" bestFit="1" customWidth="1"/>
    <col min="15" max="15" width="14" bestFit="1" customWidth="1"/>
    <col min="16" max="16" width="14.44140625" bestFit="1" customWidth="1"/>
    <col min="17" max="17" width="14.5546875" style="19" bestFit="1" customWidth="1"/>
    <col min="18" max="18" width="6.88671875" bestFit="1" customWidth="1"/>
    <col min="19" max="19" width="11" bestFit="1" customWidth="1"/>
    <col min="20" max="20" width="9.44140625" bestFit="1" customWidth="1"/>
    <col min="22" max="22" width="11" bestFit="1" customWidth="1"/>
  </cols>
  <sheetData>
    <row r="1" spans="1:22" ht="28.05" customHeight="1" x14ac:dyDescent="0.3">
      <c r="A1" s="25" t="s">
        <v>184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22" ht="18" customHeight="1" x14ac:dyDescent="0.3">
      <c r="A2" s="23" t="s">
        <v>185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22" ht="36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7" t="s">
        <v>173</v>
      </c>
      <c r="N3" s="17" t="s">
        <v>169</v>
      </c>
      <c r="O3" s="17" t="s">
        <v>170</v>
      </c>
      <c r="P3" s="17" t="s">
        <v>171</v>
      </c>
      <c r="Q3" s="20" t="s">
        <v>179</v>
      </c>
      <c r="R3" s="18" t="s">
        <v>172</v>
      </c>
      <c r="S3" s="18" t="s">
        <v>180</v>
      </c>
      <c r="T3" s="22" t="s">
        <v>181</v>
      </c>
      <c r="U3" s="22" t="s">
        <v>182</v>
      </c>
      <c r="V3" s="18" t="s">
        <v>183</v>
      </c>
    </row>
    <row r="4" spans="1:22" x14ac:dyDescent="0.3">
      <c r="A4" s="3" t="s">
        <v>12</v>
      </c>
      <c r="B4" s="3">
        <v>1</v>
      </c>
      <c r="C4" s="4" t="s">
        <v>186</v>
      </c>
      <c r="D4" s="3" t="s">
        <v>187</v>
      </c>
      <c r="E4" s="3" t="s">
        <v>14</v>
      </c>
      <c r="F4" s="4" t="s">
        <v>15</v>
      </c>
      <c r="G4" s="3" t="s">
        <v>16</v>
      </c>
      <c r="H4" s="5">
        <v>12723.735500000001</v>
      </c>
      <c r="I4" s="5">
        <v>34.090400000000002</v>
      </c>
      <c r="J4" s="5">
        <v>34.090400000000002</v>
      </c>
      <c r="K4" s="6">
        <v>1</v>
      </c>
      <c r="L4" s="5">
        <v>410.44</v>
      </c>
      <c r="M4" s="19">
        <f>H4*INDEX('Pliegos Tarifarios (Quilicura)'!$B:$B,MATCH($B4,'Pliegos Tarifarios (Quilicura)'!$A:$A,0))</f>
        <v>1512063.279349</v>
      </c>
      <c r="N4" s="19">
        <f>I4*INDEX('Pliegos Tarifarios (Quilicura)'!$C:$C,MATCH($B4,'Pliegos Tarifarios (Quilicura)'!$A:$A,0))</f>
        <v>116422.43185360001</v>
      </c>
      <c r="O4" s="19">
        <f>J4*INDEX('Pliegos Tarifarios (Quilicura)'!$D:$D,MATCH($B4,'Pliegos Tarifarios (Quilicura)'!$A:$A,0))</f>
        <v>480899.80709200003</v>
      </c>
      <c r="P4" s="19">
        <f>H4*INDEX('Pliegos Tarifarios (Quilicura)'!$E:$E,MATCH($B4,'Pliegos Tarifarios (Quilicura)'!$A:$A,0))</f>
        <v>164543.34748600001</v>
      </c>
      <c r="Q4" s="19" cm="1">
        <f t="array" ref="Q4">H4*_xlfn.IFS(H4&lt;=350,INDEX('Pliegos Tarifarios (Quilicura)'!$F:$F,MATCH($B4,'Pliegos Tarifarios (Quilicura)'!$A:$A,0)),H4&lt;=500,INDEX('Pliegos Tarifarios (Quilicura)'!$G:$G,MATCH($B4,'Pliegos Tarifarios (Quilicura)'!$A:$A,0)),H4&lt;=1000,INDEX('Pliegos Tarifarios (Quilicura)'!$H:$H,MATCH($B4,'Pliegos Tarifarios (Quilicura)'!$A:$A,0)),H4&lt;=5000,INDEX('Pliegos Tarifarios (Quilicura)'!$I:$I,MATCH($B4,'Pliegos Tarifarios (Quilicura)'!$A:$A,0)),H4&gt;5000,INDEX('Pliegos Tarifarios (Quilicura)'!$J:$J,MATCH($B4,'Pliegos Tarifarios (Quilicura)'!$A:$A,0)))/1.19</f>
        <v>41753.098426470598</v>
      </c>
      <c r="R4" s="19">
        <f>INDEX('Pliegos Tarifarios (Quilicura)'!$K:$K,MATCH($B4,'Pliegos Tarifarios (Quilicura)'!$A:$A,0))</f>
        <v>710.78200000000004</v>
      </c>
      <c r="S4" s="21">
        <f>SUM(M4:R4)</f>
        <v>2316392.7462070705</v>
      </c>
      <c r="T4" s="21">
        <f>S4*0.19</f>
        <v>440114.6217793434</v>
      </c>
      <c r="U4" s="19">
        <v>0</v>
      </c>
      <c r="V4" s="21">
        <f>SUM(S4:T4)</f>
        <v>2756507.3679864141</v>
      </c>
    </row>
    <row r="5" spans="1:22" x14ac:dyDescent="0.3">
      <c r="A5" s="3" t="s">
        <v>12</v>
      </c>
      <c r="B5" s="3">
        <v>1</v>
      </c>
      <c r="C5" s="4" t="s">
        <v>186</v>
      </c>
      <c r="D5" s="3" t="s">
        <v>188</v>
      </c>
      <c r="E5" s="3" t="s">
        <v>18</v>
      </c>
      <c r="F5" s="4" t="s">
        <v>19</v>
      </c>
      <c r="G5" s="3" t="s">
        <v>16</v>
      </c>
      <c r="H5" s="5">
        <v>6360.7311</v>
      </c>
      <c r="I5" s="5">
        <v>16.951499999999999</v>
      </c>
      <c r="J5" s="5">
        <v>16.9315</v>
      </c>
      <c r="K5" s="6">
        <v>0.99882016340736812</v>
      </c>
      <c r="L5" s="5">
        <v>205.18</v>
      </c>
      <c r="M5" s="19">
        <f>H5*INDEX('Pliegos Tarifarios (Quilicura)'!$B:$B,MATCH($B5,'Pliegos Tarifarios (Quilicura)'!$A:$A,0))</f>
        <v>755896.56246179994</v>
      </c>
      <c r="N5" s="19">
        <f>I5*INDEX('Pliegos Tarifarios (Quilicura)'!$C:$C,MATCH($B5,'Pliegos Tarifarios (Quilicura)'!$A:$A,0))</f>
        <v>57891.220213499997</v>
      </c>
      <c r="O5" s="19">
        <f>J5*INDEX('Pliegos Tarifarios (Quilicura)'!$D:$D,MATCH($B5,'Pliegos Tarifarios (Quilicura)'!$A:$A,0))</f>
        <v>238845.98255749998</v>
      </c>
      <c r="P5" s="19">
        <f>H5*INDEX('Pliegos Tarifarios (Quilicura)'!$E:$E,MATCH($B5,'Pliegos Tarifarios (Quilicura)'!$A:$A,0))</f>
        <v>82256.974585200005</v>
      </c>
      <c r="Q5" s="19" cm="1">
        <f t="array" ref="Q5">H5*_xlfn.IFS(H5&lt;=350,INDEX('Pliegos Tarifarios (Quilicura)'!$F:$F,MATCH($B5,'Pliegos Tarifarios (Quilicura)'!$A:$A,0)),H5&lt;=500,INDEX('Pliegos Tarifarios (Quilicura)'!$G:$G,MATCH($B5,'Pliegos Tarifarios (Quilicura)'!$A:$A,0)),H5&lt;=1000,INDEX('Pliegos Tarifarios (Quilicura)'!$H:$H,MATCH($B5,'Pliegos Tarifarios (Quilicura)'!$A:$A,0)),H5&lt;=5000,INDEX('Pliegos Tarifarios (Quilicura)'!$I:$I,MATCH($B5,'Pliegos Tarifarios (Quilicura)'!$A:$A,0)),H5&gt;5000,INDEX('Pliegos Tarifarios (Quilicura)'!$J:$J,MATCH($B5,'Pliegos Tarifarios (Quilicura)'!$A:$A,0)))/1.19</f>
        <v>20872.819281932774</v>
      </c>
      <c r="R5" s="19">
        <f>INDEX('Pliegos Tarifarios (Quilicura)'!$K:$K,MATCH($B5,'Pliegos Tarifarios (Quilicura)'!$A:$A,0))</f>
        <v>710.78200000000004</v>
      </c>
      <c r="S5" s="21">
        <f t="shared" ref="S5:S10" si="0">SUM(M5:R5)</f>
        <v>1156474.3410999323</v>
      </c>
      <c r="T5" s="21">
        <f t="shared" ref="T5:T10" si="1">S5*0.19</f>
        <v>219730.12480898714</v>
      </c>
      <c r="U5" s="19">
        <v>0</v>
      </c>
      <c r="V5" s="21">
        <f t="shared" ref="V5:V10" si="2">SUM(S5:T5)</f>
        <v>1376204.4659089195</v>
      </c>
    </row>
    <row r="6" spans="1:22" x14ac:dyDescent="0.3">
      <c r="A6" s="3" t="s">
        <v>12</v>
      </c>
      <c r="B6" s="3">
        <v>1</v>
      </c>
      <c r="C6" s="4" t="s">
        <v>186</v>
      </c>
      <c r="D6" s="3" t="s">
        <v>189</v>
      </c>
      <c r="E6" s="3" t="s">
        <v>18</v>
      </c>
      <c r="F6" s="4" t="s">
        <v>21</v>
      </c>
      <c r="G6" s="3" t="s">
        <v>16</v>
      </c>
      <c r="H6" s="5">
        <v>5082.9562999999998</v>
      </c>
      <c r="I6" s="5">
        <v>13.451700000000001</v>
      </c>
      <c r="J6" s="5">
        <v>13.451700000000001</v>
      </c>
      <c r="K6" s="6">
        <v>1</v>
      </c>
      <c r="L6" s="5">
        <v>163.97</v>
      </c>
      <c r="M6" s="19">
        <f>H6*INDEX('Pliegos Tarifarios (Quilicura)'!$B:$B,MATCH($B6,'Pliegos Tarifarios (Quilicura)'!$A:$A,0))</f>
        <v>604048.36077939998</v>
      </c>
      <c r="N6" s="19">
        <f>I6*INDEX('Pliegos Tarifarios (Quilicura)'!$C:$C,MATCH($B6,'Pliegos Tarifarios (Quilicura)'!$A:$A,0))</f>
        <v>45939.021735300004</v>
      </c>
      <c r="O6" s="19">
        <f>J6*INDEX('Pliegos Tarifarios (Quilicura)'!$D:$D,MATCH($B6,'Pliegos Tarifarios (Quilicura)'!$A:$A,0))</f>
        <v>189757.8184785</v>
      </c>
      <c r="P6" s="19">
        <f>H6*INDEX('Pliegos Tarifarios (Quilicura)'!$E:$E,MATCH($B6,'Pliegos Tarifarios (Quilicura)'!$A:$A,0))</f>
        <v>65732.790871599995</v>
      </c>
      <c r="Q6" s="19" cm="1">
        <f t="array" ref="Q6">H6*_xlfn.IFS(H6&lt;=350,INDEX('Pliegos Tarifarios (Quilicura)'!$F:$F,MATCH($B6,'Pliegos Tarifarios (Quilicura)'!$A:$A,0)),H6&lt;=500,INDEX('Pliegos Tarifarios (Quilicura)'!$G:$G,MATCH($B6,'Pliegos Tarifarios (Quilicura)'!$A:$A,0)),H6&lt;=1000,INDEX('Pliegos Tarifarios (Quilicura)'!$H:$H,MATCH($B6,'Pliegos Tarifarios (Quilicura)'!$A:$A,0)),H6&lt;=5000,INDEX('Pliegos Tarifarios (Quilicura)'!$I:$I,MATCH($B6,'Pliegos Tarifarios (Quilicura)'!$A:$A,0)),H6&gt;5000,INDEX('Pliegos Tarifarios (Quilicura)'!$J:$J,MATCH($B6,'Pliegos Tarifarios (Quilicura)'!$A:$A,0)))/1.19</f>
        <v>16679.785169327733</v>
      </c>
      <c r="R6" s="19">
        <f>INDEX('Pliegos Tarifarios (Quilicura)'!$K:$K,MATCH($B6,'Pliegos Tarifarios (Quilicura)'!$A:$A,0))</f>
        <v>710.78200000000004</v>
      </c>
      <c r="S6" s="21">
        <f t="shared" si="0"/>
        <v>922868.55903412774</v>
      </c>
      <c r="T6" s="21">
        <f t="shared" si="1"/>
        <v>175345.02621648429</v>
      </c>
      <c r="U6" s="19">
        <v>0</v>
      </c>
      <c r="V6" s="21">
        <f t="shared" si="2"/>
        <v>1098213.5852506121</v>
      </c>
    </row>
    <row r="7" spans="1:22" x14ac:dyDescent="0.3">
      <c r="A7" s="3" t="s">
        <v>12</v>
      </c>
      <c r="B7" s="3">
        <v>1</v>
      </c>
      <c r="C7" s="4" t="s">
        <v>186</v>
      </c>
      <c r="D7" s="3" t="s">
        <v>190</v>
      </c>
      <c r="E7" s="3" t="s">
        <v>18</v>
      </c>
      <c r="F7" s="4" t="s">
        <v>23</v>
      </c>
      <c r="G7" s="3" t="s">
        <v>16</v>
      </c>
      <c r="H7" s="5">
        <v>4242.5761000000002</v>
      </c>
      <c r="I7" s="5">
        <v>11.14</v>
      </c>
      <c r="J7" s="5">
        <v>11.0703</v>
      </c>
      <c r="K7" s="6">
        <v>0.99374326750448827</v>
      </c>
      <c r="L7" s="5">
        <v>136.86000000000001</v>
      </c>
      <c r="M7" s="19">
        <f>H7*INDEX('Pliegos Tarifarios (Quilicura)'!$B:$B,MATCH($B7,'Pliegos Tarifarios (Quilicura)'!$A:$A,0))</f>
        <v>504179.25857180002</v>
      </c>
      <c r="N7" s="19">
        <f>I7*INDEX('Pliegos Tarifarios (Quilicura)'!$C:$C,MATCH($B7,'Pliegos Tarifarios (Quilicura)'!$A:$A,0))</f>
        <v>38044.314259999999</v>
      </c>
      <c r="O7" s="19">
        <f>J7*INDEX('Pliegos Tarifarios (Quilicura)'!$D:$D,MATCH($B7,'Pliegos Tarifarios (Quilicura)'!$A:$A,0))</f>
        <v>156164.34933149998</v>
      </c>
      <c r="P7" s="19">
        <f>H7*INDEX('Pliegos Tarifarios (Quilicura)'!$E:$E,MATCH($B7,'Pliegos Tarifarios (Quilicura)'!$A:$A,0))</f>
        <v>54864.994125200006</v>
      </c>
      <c r="Q7" s="19" cm="1">
        <f t="array" ref="Q7">H7*_xlfn.IFS(H7&lt;=350,INDEX('Pliegos Tarifarios (Quilicura)'!$F:$F,MATCH($B7,'Pliegos Tarifarios (Quilicura)'!$A:$A,0)),H7&lt;=500,INDEX('Pliegos Tarifarios (Quilicura)'!$G:$G,MATCH($B7,'Pliegos Tarifarios (Quilicura)'!$A:$A,0)),H7&lt;=1000,INDEX('Pliegos Tarifarios (Quilicura)'!$H:$H,MATCH($B7,'Pliegos Tarifarios (Quilicura)'!$A:$A,0)),H7&lt;=5000,INDEX('Pliegos Tarifarios (Quilicura)'!$I:$I,MATCH($B7,'Pliegos Tarifarios (Quilicura)'!$A:$A,0)),H7&gt;5000,INDEX('Pliegos Tarifarios (Quilicura)'!$J:$J,MATCH($B7,'Pliegos Tarifarios (Quilicura)'!$A:$A,0)))/1.19</f>
        <v>12731.293490000002</v>
      </c>
      <c r="R7" s="19">
        <f>INDEX('Pliegos Tarifarios (Quilicura)'!$K:$K,MATCH($B7,'Pliegos Tarifarios (Quilicura)'!$A:$A,0))</f>
        <v>710.78200000000004</v>
      </c>
      <c r="S7" s="21">
        <f t="shared" si="0"/>
        <v>766694.99177849991</v>
      </c>
      <c r="T7" s="21">
        <f t="shared" si="1"/>
        <v>145672.04843791499</v>
      </c>
      <c r="U7" s="19">
        <v>0</v>
      </c>
      <c r="V7" s="21">
        <f t="shared" si="2"/>
        <v>912367.04021641496</v>
      </c>
    </row>
    <row r="8" spans="1:22" x14ac:dyDescent="0.3">
      <c r="A8" s="3" t="s">
        <v>12</v>
      </c>
      <c r="B8" s="3">
        <v>1</v>
      </c>
      <c r="C8" s="4" t="s">
        <v>186</v>
      </c>
      <c r="D8" s="3" t="s">
        <v>191</v>
      </c>
      <c r="E8" s="3" t="s">
        <v>18</v>
      </c>
      <c r="F8" s="4" t="s">
        <v>25</v>
      </c>
      <c r="G8" s="3" t="s">
        <v>16</v>
      </c>
      <c r="H8" s="5">
        <v>4582.2554</v>
      </c>
      <c r="I8" s="5">
        <v>12.5481</v>
      </c>
      <c r="J8" s="5">
        <v>11.9749</v>
      </c>
      <c r="K8" s="6">
        <v>0.95431977749619468</v>
      </c>
      <c r="L8" s="5">
        <v>147.81</v>
      </c>
      <c r="M8" s="19">
        <f>H8*INDEX('Pliegos Tarifarios (Quilicura)'!$B:$B,MATCH($B8,'Pliegos Tarifarios (Quilicura)'!$A:$A,0))</f>
        <v>544546.06722520001</v>
      </c>
      <c r="N8" s="19">
        <f>I8*INDEX('Pliegos Tarifarios (Quilicura)'!$C:$C,MATCH($B8,'Pliegos Tarifarios (Quilicura)'!$A:$A,0))</f>
        <v>42853.129242899995</v>
      </c>
      <c r="O8" s="19">
        <f>J8*INDEX('Pliegos Tarifarios (Quilicura)'!$D:$D,MATCH($B8,'Pliegos Tarifarios (Quilicura)'!$A:$A,0))</f>
        <v>168925.18421449998</v>
      </c>
      <c r="P8" s="19">
        <f>H8*INDEX('Pliegos Tarifarios (Quilicura)'!$E:$E,MATCH($B8,'Pliegos Tarifarios (Quilicura)'!$A:$A,0))</f>
        <v>59257.726832799999</v>
      </c>
      <c r="Q8" s="19" cm="1">
        <f t="array" ref="Q8">H8*_xlfn.IFS(H8&lt;=350,INDEX('Pliegos Tarifarios (Quilicura)'!$F:$F,MATCH($B8,'Pliegos Tarifarios (Quilicura)'!$A:$A,0)),H8&lt;=500,INDEX('Pliegos Tarifarios (Quilicura)'!$G:$G,MATCH($B8,'Pliegos Tarifarios (Quilicura)'!$A:$A,0)),H8&lt;=1000,INDEX('Pliegos Tarifarios (Quilicura)'!$H:$H,MATCH($B8,'Pliegos Tarifarios (Quilicura)'!$A:$A,0)),H8&lt;=5000,INDEX('Pliegos Tarifarios (Quilicura)'!$I:$I,MATCH($B8,'Pliegos Tarifarios (Quilicura)'!$A:$A,0)),H8&gt;5000,INDEX('Pliegos Tarifarios (Quilicura)'!$J:$J,MATCH($B8,'Pliegos Tarifarios (Quilicura)'!$A:$A,0)))/1.19</f>
        <v>13750.616834789915</v>
      </c>
      <c r="R8" s="19">
        <f>INDEX('Pliegos Tarifarios (Quilicura)'!$K:$K,MATCH($B8,'Pliegos Tarifarios (Quilicura)'!$A:$A,0))</f>
        <v>710.78200000000004</v>
      </c>
      <c r="S8" s="21">
        <f t="shared" si="0"/>
        <v>830043.5063501898</v>
      </c>
      <c r="T8" s="21">
        <f t="shared" si="1"/>
        <v>157708.26620653606</v>
      </c>
      <c r="U8" s="19">
        <v>0</v>
      </c>
      <c r="V8" s="21">
        <f t="shared" si="2"/>
        <v>987751.77255672589</v>
      </c>
    </row>
    <row r="9" spans="1:22" x14ac:dyDescent="0.3">
      <c r="A9" s="3" t="s">
        <v>12</v>
      </c>
      <c r="B9" s="3">
        <v>1</v>
      </c>
      <c r="C9" s="4" t="s">
        <v>186</v>
      </c>
      <c r="D9" s="3" t="s">
        <v>192</v>
      </c>
      <c r="E9" s="3" t="s">
        <v>18</v>
      </c>
      <c r="F9" s="4" t="s">
        <v>27</v>
      </c>
      <c r="G9" s="3" t="s">
        <v>16</v>
      </c>
      <c r="H9" s="5">
        <v>3049.8305</v>
      </c>
      <c r="I9" s="5">
        <v>7.9973999999999998</v>
      </c>
      <c r="J9" s="5">
        <v>7.9973999999999998</v>
      </c>
      <c r="K9" s="6">
        <v>1</v>
      </c>
      <c r="L9" s="5">
        <v>98.38</v>
      </c>
      <c r="M9" s="19">
        <f>H9*INDEX('Pliegos Tarifarios (Quilicura)'!$B:$B,MATCH($B9,'Pliegos Tarifarios (Quilicura)'!$A:$A,0))</f>
        <v>362435.75695899996</v>
      </c>
      <c r="N9" s="19">
        <f>I9*INDEX('Pliegos Tarifarios (Quilicura)'!$C:$C,MATCH($B9,'Pliegos Tarifarios (Quilicura)'!$A:$A,0))</f>
        <v>27311.992716599998</v>
      </c>
      <c r="O9" s="19">
        <f>J9*INDEX('Pliegos Tarifarios (Quilicura)'!$D:$D,MATCH($B9,'Pliegos Tarifarios (Quilicura)'!$A:$A,0))</f>
        <v>112816.16282699999</v>
      </c>
      <c r="P9" s="19">
        <f>H9*INDEX('Pliegos Tarifarios (Quilicura)'!$E:$E,MATCH($B9,'Pliegos Tarifarios (Quilicura)'!$A:$A,0))</f>
        <v>39440.408026000005</v>
      </c>
      <c r="Q9" s="19" cm="1">
        <f t="array" ref="Q9">H9*_xlfn.IFS(H9&lt;=350,INDEX('Pliegos Tarifarios (Quilicura)'!$F:$F,MATCH($B9,'Pliegos Tarifarios (Quilicura)'!$A:$A,0)),H9&lt;=500,INDEX('Pliegos Tarifarios (Quilicura)'!$G:$G,MATCH($B9,'Pliegos Tarifarios (Quilicura)'!$A:$A,0)),H9&lt;=1000,INDEX('Pliegos Tarifarios (Quilicura)'!$H:$H,MATCH($B9,'Pliegos Tarifarios (Quilicura)'!$A:$A,0)),H9&lt;=5000,INDEX('Pliegos Tarifarios (Quilicura)'!$I:$I,MATCH($B9,'Pliegos Tarifarios (Quilicura)'!$A:$A,0)),H9&gt;5000,INDEX('Pliegos Tarifarios (Quilicura)'!$J:$J,MATCH($B9,'Pliegos Tarifarios (Quilicura)'!$A:$A,0)))/1.19</f>
        <v>9152.054382773109</v>
      </c>
      <c r="R9" s="19">
        <f>INDEX('Pliegos Tarifarios (Quilicura)'!$K:$K,MATCH($B9,'Pliegos Tarifarios (Quilicura)'!$A:$A,0))</f>
        <v>710.78200000000004</v>
      </c>
      <c r="S9" s="21">
        <f t="shared" si="0"/>
        <v>551867.15691137314</v>
      </c>
      <c r="T9" s="21">
        <f t="shared" si="1"/>
        <v>104854.7598131609</v>
      </c>
      <c r="U9" s="19">
        <v>0</v>
      </c>
      <c r="V9" s="21">
        <f t="shared" si="2"/>
        <v>656721.91672453401</v>
      </c>
    </row>
    <row r="10" spans="1:22" x14ac:dyDescent="0.3">
      <c r="A10" s="3" t="s">
        <v>12</v>
      </c>
      <c r="B10" s="3">
        <v>1</v>
      </c>
      <c r="C10" s="4" t="s">
        <v>186</v>
      </c>
      <c r="D10" s="3" t="s">
        <v>193</v>
      </c>
      <c r="E10" s="3" t="s">
        <v>18</v>
      </c>
      <c r="F10" s="4" t="s">
        <v>29</v>
      </c>
      <c r="G10" s="3" t="s">
        <v>30</v>
      </c>
      <c r="H10" s="5">
        <v>1020.5297</v>
      </c>
      <c r="I10" s="5">
        <v>2.7044999999999999</v>
      </c>
      <c r="J10" s="5">
        <v>2.6648000000000001</v>
      </c>
      <c r="K10" s="6">
        <v>0.98532076169347393</v>
      </c>
      <c r="L10" s="5">
        <v>32.92</v>
      </c>
      <c r="M10" s="19">
        <f>H10*INDEX('Pliegos Tarifarios (Quilicura)'!$B:$B,MATCH($B10,'Pliegos Tarifarios (Quilicura)'!$A:$A,0))</f>
        <v>121277.70848859999</v>
      </c>
      <c r="N10" s="19">
        <f>I10*INDEX('Pliegos Tarifarios (Quilicura)'!$C:$C,MATCH($B10,'Pliegos Tarifarios (Quilicura)'!$A:$A,0))</f>
        <v>9236.1622904999986</v>
      </c>
      <c r="O10" s="19">
        <f>J10*INDEX('Pliegos Tarifarios (Quilicura)'!$D:$D,MATCH($B10,'Pliegos Tarifarios (Quilicura)'!$A:$A,0))</f>
        <v>37591.281003999997</v>
      </c>
      <c r="P10" s="19">
        <f>H10*INDEX('Pliegos Tarifarios (Quilicura)'!$E:$E,MATCH($B10,'Pliegos Tarifarios (Quilicura)'!$A:$A,0))</f>
        <v>13197.490080400001</v>
      </c>
      <c r="Q10" s="19" cm="1">
        <f t="array" ref="Q10">H10*_xlfn.IFS(H10&lt;=350,INDEX('Pliegos Tarifarios (Quilicura)'!$F:$F,MATCH($B10,'Pliegos Tarifarios (Quilicura)'!$A:$A,0)),H10&lt;=500,INDEX('Pliegos Tarifarios (Quilicura)'!$G:$G,MATCH($B10,'Pliegos Tarifarios (Quilicura)'!$A:$A,0)),H10&lt;=1000,INDEX('Pliegos Tarifarios (Quilicura)'!$H:$H,MATCH($B10,'Pliegos Tarifarios (Quilicura)'!$A:$A,0)),H10&lt;=5000,INDEX('Pliegos Tarifarios (Quilicura)'!$I:$I,MATCH($B10,'Pliegos Tarifarios (Quilicura)'!$A:$A,0)),H10&gt;5000,INDEX('Pliegos Tarifarios (Quilicura)'!$J:$J,MATCH($B10,'Pliegos Tarifarios (Quilicura)'!$A:$A,0)))/1.19</f>
        <v>3062.446687983193</v>
      </c>
      <c r="R10" s="19">
        <f>INDEX('Pliegos Tarifarios (Quilicura)'!$K:$K,MATCH($B10,'Pliegos Tarifarios (Quilicura)'!$A:$A,0))</f>
        <v>710.78200000000004</v>
      </c>
      <c r="S10" s="21">
        <f t="shared" si="0"/>
        <v>185075.87055148318</v>
      </c>
      <c r="T10" s="21">
        <f t="shared" si="1"/>
        <v>35164.415404781808</v>
      </c>
      <c r="U10" s="19">
        <v>0</v>
      </c>
      <c r="V10" s="21">
        <f t="shared" si="2"/>
        <v>220240.285956265</v>
      </c>
    </row>
    <row r="11" spans="1:22" x14ac:dyDescent="0.3">
      <c r="A11" s="3" t="s">
        <v>12</v>
      </c>
      <c r="B11" s="3">
        <v>1</v>
      </c>
      <c r="C11" s="4" t="s">
        <v>186</v>
      </c>
      <c r="D11" s="3" t="s">
        <v>194</v>
      </c>
      <c r="E11" s="3" t="s">
        <v>18</v>
      </c>
      <c r="F11" s="4" t="s">
        <v>32</v>
      </c>
      <c r="G11" s="3" t="s">
        <v>16</v>
      </c>
      <c r="H11" s="5">
        <v>3054.2882</v>
      </c>
      <c r="I11" s="5">
        <v>8.2843</v>
      </c>
      <c r="J11" s="5">
        <v>8.0113000000000003</v>
      </c>
      <c r="K11" s="6">
        <v>0.96704609924797513</v>
      </c>
      <c r="L11" s="5">
        <v>98.53</v>
      </c>
      <c r="M11" s="19">
        <f>H11*INDEX('Pliegos Tarifarios (Quilicura)'!$B:$B,MATCH($B11,'Pliegos Tarifarios (Quilicura)'!$A:$A,0))</f>
        <v>362965.50111159997</v>
      </c>
      <c r="N11" s="19">
        <f>I11*INDEX('Pliegos Tarifarios (Quilicura)'!$C:$C,MATCH($B11,'Pliegos Tarifarios (Quilicura)'!$A:$A,0))</f>
        <v>28291.7874887</v>
      </c>
      <c r="O11" s="19">
        <f>J11*INDEX('Pliegos Tarifarios (Quilicura)'!$D:$D,MATCH($B11,'Pliegos Tarifarios (Quilicura)'!$A:$A,0))</f>
        <v>113012.24463650001</v>
      </c>
      <c r="P11" s="19">
        <f>H11*INDEX('Pliegos Tarifarios (Quilicura)'!$E:$E,MATCH($B11,'Pliegos Tarifarios (Quilicura)'!$A:$A,0))</f>
        <v>39498.055002400004</v>
      </c>
      <c r="Q11" s="19" cm="1">
        <f t="array" ref="Q11">H11*_xlfn.IFS(H11&lt;=350,INDEX('Pliegos Tarifarios (Quilicura)'!$F:$F,MATCH($B11,'Pliegos Tarifarios (Quilicura)'!$A:$A,0)),H11&lt;=500,INDEX('Pliegos Tarifarios (Quilicura)'!$G:$G,MATCH($B11,'Pliegos Tarifarios (Quilicura)'!$A:$A,0)),H11&lt;=1000,INDEX('Pliegos Tarifarios (Quilicura)'!$H:$H,MATCH($B11,'Pliegos Tarifarios (Quilicura)'!$A:$A,0)),H11&lt;=5000,INDEX('Pliegos Tarifarios (Quilicura)'!$I:$I,MATCH($B11,'Pliegos Tarifarios (Quilicura)'!$A:$A,0)),H11&gt;5000,INDEX('Pliegos Tarifarios (Quilicura)'!$J:$J,MATCH($B11,'Pliegos Tarifarios (Quilicura)'!$A:$A,0)))/1.19</f>
        <v>9165.4312287394951</v>
      </c>
      <c r="R11" s="19">
        <f>INDEX('Pliegos Tarifarios (Quilicura)'!$K:$K,MATCH($B11,'Pliegos Tarifarios (Quilicura)'!$A:$A,0))</f>
        <v>710.78200000000004</v>
      </c>
      <c r="S11" s="21">
        <f t="shared" ref="S11:S74" si="3">SUM(M11:R11)</f>
        <v>553643.8014679394</v>
      </c>
      <c r="T11" s="21">
        <f t="shared" ref="T11:T74" si="4">S11*0.19</f>
        <v>105192.32227890848</v>
      </c>
      <c r="U11" s="19">
        <v>0</v>
      </c>
      <c r="V11" s="21">
        <f t="shared" ref="V11:V74" si="5">SUM(S11:T11)</f>
        <v>658836.12374684785</v>
      </c>
    </row>
    <row r="12" spans="1:22" x14ac:dyDescent="0.3">
      <c r="A12" s="3" t="s">
        <v>12</v>
      </c>
      <c r="B12" s="3">
        <v>1</v>
      </c>
      <c r="C12" s="4" t="s">
        <v>186</v>
      </c>
      <c r="D12" s="3" t="s">
        <v>195</v>
      </c>
      <c r="E12" s="3" t="s">
        <v>34</v>
      </c>
      <c r="F12" s="4" t="s">
        <v>35</v>
      </c>
      <c r="G12" s="3" t="s">
        <v>30</v>
      </c>
      <c r="H12" s="5">
        <v>1271.0168000000001</v>
      </c>
      <c r="I12" s="5">
        <v>3.3972000000000002</v>
      </c>
      <c r="J12" s="5">
        <v>3.3338999999999999</v>
      </c>
      <c r="K12" s="6">
        <v>0.98136700812433764</v>
      </c>
      <c r="L12" s="5">
        <v>41</v>
      </c>
      <c r="M12" s="19">
        <f>H12*INDEX('Pliegos Tarifarios (Quilicura)'!$B:$B,MATCH($B12,'Pliegos Tarifarios (Quilicura)'!$A:$A,0))</f>
        <v>151045.09447840002</v>
      </c>
      <c r="N12" s="19">
        <f>I12*INDEX('Pliegos Tarifarios (Quilicura)'!$C:$C,MATCH($B12,'Pliegos Tarifarios (Quilicura)'!$A:$A,0))</f>
        <v>11601.808294800001</v>
      </c>
      <c r="O12" s="19">
        <f>J12*INDEX('Pliegos Tarifarios (Quilicura)'!$D:$D,MATCH($B12,'Pliegos Tarifarios (Quilicura)'!$A:$A,0))</f>
        <v>47030.010409499999</v>
      </c>
      <c r="P12" s="19">
        <f>H12*INDEX('Pliegos Tarifarios (Quilicura)'!$E:$E,MATCH($B12,'Pliegos Tarifarios (Quilicura)'!$A:$A,0))</f>
        <v>16436.789257600001</v>
      </c>
      <c r="Q12" s="19" cm="1">
        <f t="array" ref="Q12">H12*_xlfn.IFS(H12&lt;=350,INDEX('Pliegos Tarifarios (Quilicura)'!$F:$F,MATCH($B12,'Pliegos Tarifarios (Quilicura)'!$A:$A,0)),H12&lt;=500,INDEX('Pliegos Tarifarios (Quilicura)'!$G:$G,MATCH($B12,'Pliegos Tarifarios (Quilicura)'!$A:$A,0)),H12&lt;=1000,INDEX('Pliegos Tarifarios (Quilicura)'!$H:$H,MATCH($B12,'Pliegos Tarifarios (Quilicura)'!$A:$A,0)),H12&lt;=5000,INDEX('Pliegos Tarifarios (Quilicura)'!$I:$I,MATCH($B12,'Pliegos Tarifarios (Quilicura)'!$A:$A,0)),H12&gt;5000,INDEX('Pliegos Tarifarios (Quilicura)'!$J:$J,MATCH($B12,'Pliegos Tarifarios (Quilicura)'!$A:$A,0)))/1.19</f>
        <v>3814.1184813445379</v>
      </c>
      <c r="R12" s="19">
        <f>INDEX('Pliegos Tarifarios (Quilicura)'!$K:$K,MATCH($B12,'Pliegos Tarifarios (Quilicura)'!$A:$A,0))</f>
        <v>710.78200000000004</v>
      </c>
      <c r="S12" s="21">
        <f t="shared" si="3"/>
        <v>230638.60292164455</v>
      </c>
      <c r="T12" s="21">
        <f t="shared" si="4"/>
        <v>43821.334555112466</v>
      </c>
      <c r="U12" s="19">
        <v>0</v>
      </c>
      <c r="V12" s="21">
        <f t="shared" si="5"/>
        <v>274459.93747675698</v>
      </c>
    </row>
    <row r="13" spans="1:22" x14ac:dyDescent="0.3">
      <c r="A13" s="3" t="s">
        <v>12</v>
      </c>
      <c r="B13" s="3">
        <v>1</v>
      </c>
      <c r="C13" s="4" t="s">
        <v>186</v>
      </c>
      <c r="D13" s="3" t="s">
        <v>196</v>
      </c>
      <c r="E13" s="3" t="s">
        <v>34</v>
      </c>
      <c r="F13" s="4" t="s">
        <v>37</v>
      </c>
      <c r="G13" s="3" t="s">
        <v>30</v>
      </c>
      <c r="H13" s="5">
        <v>1016.7444</v>
      </c>
      <c r="I13" s="5">
        <v>2.7021000000000002</v>
      </c>
      <c r="J13" s="5">
        <v>2.6640999999999999</v>
      </c>
      <c r="K13" s="6">
        <v>0.98593686392065416</v>
      </c>
      <c r="L13" s="5">
        <v>32.799999999999997</v>
      </c>
      <c r="M13" s="19">
        <f>H13*INDEX('Pliegos Tarifarios (Quilicura)'!$B:$B,MATCH($B13,'Pliegos Tarifarios (Quilicura)'!$A:$A,0))</f>
        <v>120827.8710072</v>
      </c>
      <c r="N13" s="19">
        <f>I13*INDEX('Pliegos Tarifarios (Quilicura)'!$C:$C,MATCH($B13,'Pliegos Tarifarios (Quilicura)'!$A:$A,0))</f>
        <v>9227.9660289000003</v>
      </c>
      <c r="O13" s="19">
        <f>J13*INDEX('Pliegos Tarifarios (Quilicura)'!$D:$D,MATCH($B13,'Pliegos Tarifarios (Quilicura)'!$A:$A,0))</f>
        <v>37581.406380499997</v>
      </c>
      <c r="P13" s="19">
        <f>H13*INDEX('Pliegos Tarifarios (Quilicura)'!$E:$E,MATCH($B13,'Pliegos Tarifarios (Quilicura)'!$A:$A,0))</f>
        <v>13148.538580800001</v>
      </c>
      <c r="Q13" s="19" cm="1">
        <f t="array" ref="Q13">H13*_xlfn.IFS(H13&lt;=350,INDEX('Pliegos Tarifarios (Quilicura)'!$F:$F,MATCH($B13,'Pliegos Tarifarios (Quilicura)'!$A:$A,0)),H13&lt;=500,INDEX('Pliegos Tarifarios (Quilicura)'!$G:$G,MATCH($B13,'Pliegos Tarifarios (Quilicura)'!$A:$A,0)),H13&lt;=1000,INDEX('Pliegos Tarifarios (Quilicura)'!$H:$H,MATCH($B13,'Pliegos Tarifarios (Quilicura)'!$A:$A,0)),H13&lt;=5000,INDEX('Pliegos Tarifarios (Quilicura)'!$I:$I,MATCH($B13,'Pliegos Tarifarios (Quilicura)'!$A:$A,0)),H13&gt;5000,INDEX('Pliegos Tarifarios (Quilicura)'!$J:$J,MATCH($B13,'Pliegos Tarifarios (Quilicura)'!$A:$A,0)))/1.19</f>
        <v>3051.0876070588238</v>
      </c>
      <c r="R13" s="19">
        <f>INDEX('Pliegos Tarifarios (Quilicura)'!$K:$K,MATCH($B13,'Pliegos Tarifarios (Quilicura)'!$A:$A,0))</f>
        <v>710.78200000000004</v>
      </c>
      <c r="S13" s="21">
        <f t="shared" si="3"/>
        <v>184547.65160445881</v>
      </c>
      <c r="T13" s="21">
        <f t="shared" si="4"/>
        <v>35064.053804847172</v>
      </c>
      <c r="U13" s="19">
        <v>0</v>
      </c>
      <c r="V13" s="21">
        <f t="shared" si="5"/>
        <v>219611.70540930599</v>
      </c>
    </row>
    <row r="14" spans="1:22" x14ac:dyDescent="0.3">
      <c r="A14" s="3" t="s">
        <v>12</v>
      </c>
      <c r="B14" s="3">
        <v>1</v>
      </c>
      <c r="C14" s="4" t="s">
        <v>186</v>
      </c>
      <c r="D14" s="3" t="s">
        <v>197</v>
      </c>
      <c r="E14" s="3" t="s">
        <v>34</v>
      </c>
      <c r="F14" s="4" t="s">
        <v>39</v>
      </c>
      <c r="G14" s="3" t="s">
        <v>30</v>
      </c>
      <c r="H14" s="5">
        <v>1016.8202</v>
      </c>
      <c r="I14" s="5">
        <v>2.6934</v>
      </c>
      <c r="J14" s="5">
        <v>2.6674000000000002</v>
      </c>
      <c r="K14" s="6">
        <v>0.99034677359471313</v>
      </c>
      <c r="L14" s="5">
        <v>32.799999999999997</v>
      </c>
      <c r="M14" s="19">
        <f>H14*INDEX('Pliegos Tarifarios (Quilicura)'!$B:$B,MATCH($B14,'Pliegos Tarifarios (Quilicura)'!$A:$A,0))</f>
        <v>120836.87892759999</v>
      </c>
      <c r="N14" s="19">
        <f>I14*INDEX('Pliegos Tarifarios (Quilicura)'!$C:$C,MATCH($B14,'Pliegos Tarifarios (Quilicura)'!$A:$A,0))</f>
        <v>9198.2545805999998</v>
      </c>
      <c r="O14" s="19">
        <f>J14*INDEX('Pliegos Tarifarios (Quilicura)'!$D:$D,MATCH($B14,'Pliegos Tarifarios (Quilicura)'!$A:$A,0))</f>
        <v>37627.958177</v>
      </c>
      <c r="P14" s="19">
        <f>H14*INDEX('Pliegos Tarifarios (Quilicura)'!$E:$E,MATCH($B14,'Pliegos Tarifarios (Quilicura)'!$A:$A,0))</f>
        <v>13149.518826400001</v>
      </c>
      <c r="Q14" s="19" cm="1">
        <f t="array" ref="Q14">H14*_xlfn.IFS(H14&lt;=350,INDEX('Pliegos Tarifarios (Quilicura)'!$F:$F,MATCH($B14,'Pliegos Tarifarios (Quilicura)'!$A:$A,0)),H14&lt;=500,INDEX('Pliegos Tarifarios (Quilicura)'!$G:$G,MATCH($B14,'Pliegos Tarifarios (Quilicura)'!$A:$A,0)),H14&lt;=1000,INDEX('Pliegos Tarifarios (Quilicura)'!$H:$H,MATCH($B14,'Pliegos Tarifarios (Quilicura)'!$A:$A,0)),H14&lt;=5000,INDEX('Pliegos Tarifarios (Quilicura)'!$I:$I,MATCH($B14,'Pliegos Tarifarios (Quilicura)'!$A:$A,0)),H14&gt;5000,INDEX('Pliegos Tarifarios (Quilicura)'!$J:$J,MATCH($B14,'Pliegos Tarifarios (Quilicura)'!$A:$A,0)))/1.19</f>
        <v>3051.3150707563022</v>
      </c>
      <c r="R14" s="19">
        <f>INDEX('Pliegos Tarifarios (Quilicura)'!$K:$K,MATCH($B14,'Pliegos Tarifarios (Quilicura)'!$A:$A,0))</f>
        <v>710.78200000000004</v>
      </c>
      <c r="S14" s="21">
        <f t="shared" si="3"/>
        <v>184574.70758235629</v>
      </c>
      <c r="T14" s="21">
        <f t="shared" si="4"/>
        <v>35069.194440647698</v>
      </c>
      <c r="U14" s="19">
        <v>0</v>
      </c>
      <c r="V14" s="21">
        <f t="shared" si="5"/>
        <v>219643.90202300399</v>
      </c>
    </row>
    <row r="15" spans="1:22" x14ac:dyDescent="0.3">
      <c r="A15" s="3" t="s">
        <v>12</v>
      </c>
      <c r="B15" s="3">
        <v>1</v>
      </c>
      <c r="C15" s="4" t="s">
        <v>186</v>
      </c>
      <c r="D15" s="3" t="s">
        <v>198</v>
      </c>
      <c r="E15" s="3" t="s">
        <v>34</v>
      </c>
      <c r="F15" s="4" t="s">
        <v>41</v>
      </c>
      <c r="G15" s="3" t="s">
        <v>30</v>
      </c>
      <c r="H15" s="5">
        <v>764.14769999999999</v>
      </c>
      <c r="I15" s="5">
        <v>2.0596000000000001</v>
      </c>
      <c r="J15" s="5">
        <v>1.9894000000000001</v>
      </c>
      <c r="K15" s="6">
        <v>0.96591571178869684</v>
      </c>
      <c r="L15" s="5">
        <v>24.65</v>
      </c>
      <c r="M15" s="19">
        <f>H15*INDEX('Pliegos Tarifarios (Quilicura)'!$B:$B,MATCH($B15,'Pliegos Tarifarios (Quilicura)'!$A:$A,0))</f>
        <v>90809.784372599999</v>
      </c>
      <c r="N15" s="19">
        <f>I15*INDEX('Pliegos Tarifarios (Quilicura)'!$C:$C,MATCH($B15,'Pliegos Tarifarios (Quilicura)'!$A:$A,0))</f>
        <v>7033.7584963999998</v>
      </c>
      <c r="O15" s="19">
        <f>J15*INDEX('Pliegos Tarifarios (Quilicura)'!$D:$D,MATCH($B15,'Pliegos Tarifarios (Quilicura)'!$A:$A,0))</f>
        <v>28063.679987</v>
      </c>
      <c r="P15" s="19">
        <f>H15*INDEX('Pliegos Tarifarios (Quilicura)'!$E:$E,MATCH($B15,'Pliegos Tarifarios (Quilicura)'!$A:$A,0))</f>
        <v>9881.9580564000007</v>
      </c>
      <c r="Q15" s="19" cm="1">
        <f t="array" ref="Q15">H15*_xlfn.IFS(H15&lt;=350,INDEX('Pliegos Tarifarios (Quilicura)'!$F:$F,MATCH($B15,'Pliegos Tarifarios (Quilicura)'!$A:$A,0)),H15&lt;=500,INDEX('Pliegos Tarifarios (Quilicura)'!$G:$G,MATCH($B15,'Pliegos Tarifarios (Quilicura)'!$A:$A,0)),H15&lt;=1000,INDEX('Pliegos Tarifarios (Quilicura)'!$H:$H,MATCH($B15,'Pliegos Tarifarios (Quilicura)'!$A:$A,0)),H15&lt;=5000,INDEX('Pliegos Tarifarios (Quilicura)'!$I:$I,MATCH($B15,'Pliegos Tarifarios (Quilicura)'!$A:$A,0)),H15&gt;5000,INDEX('Pliegos Tarifarios (Quilicura)'!$J:$J,MATCH($B15,'Pliegos Tarifarios (Quilicura)'!$A:$A,0)))/1.19</f>
        <v>1792.2153199159668</v>
      </c>
      <c r="R15" s="19">
        <f>INDEX('Pliegos Tarifarios (Quilicura)'!$K:$K,MATCH($B15,'Pliegos Tarifarios (Quilicura)'!$A:$A,0))</f>
        <v>710.78200000000004</v>
      </c>
      <c r="S15" s="21">
        <f t="shared" si="3"/>
        <v>138292.17823231596</v>
      </c>
      <c r="T15" s="21">
        <f t="shared" si="4"/>
        <v>26275.513864140034</v>
      </c>
      <c r="U15" s="19">
        <v>0</v>
      </c>
      <c r="V15" s="21">
        <f t="shared" si="5"/>
        <v>164567.69209645598</v>
      </c>
    </row>
    <row r="16" spans="1:22" x14ac:dyDescent="0.3">
      <c r="A16" s="3" t="s">
        <v>12</v>
      </c>
      <c r="B16" s="3">
        <v>1</v>
      </c>
      <c r="C16" s="4" t="s">
        <v>186</v>
      </c>
      <c r="D16" s="3" t="s">
        <v>199</v>
      </c>
      <c r="E16" s="3" t="s">
        <v>34</v>
      </c>
      <c r="F16" s="4" t="s">
        <v>43</v>
      </c>
      <c r="G16" s="3" t="s">
        <v>30</v>
      </c>
      <c r="H16" s="5">
        <v>764.01679999999999</v>
      </c>
      <c r="I16" s="5">
        <v>2.0668000000000002</v>
      </c>
      <c r="J16" s="5">
        <v>2.0015000000000001</v>
      </c>
      <c r="K16" s="6">
        <v>0.96840526417650463</v>
      </c>
      <c r="L16" s="5">
        <v>24.65</v>
      </c>
      <c r="M16" s="19">
        <f>H16*INDEX('Pliegos Tarifarios (Quilicura)'!$B:$B,MATCH($B16,'Pliegos Tarifarios (Quilicura)'!$A:$A,0))</f>
        <v>90794.228478399993</v>
      </c>
      <c r="N16" s="19">
        <f>I16*INDEX('Pliegos Tarifarios (Quilicura)'!$C:$C,MATCH($B16,'Pliegos Tarifarios (Quilicura)'!$A:$A,0))</f>
        <v>7058.3472812000009</v>
      </c>
      <c r="O16" s="19">
        <f>J16*INDEX('Pliegos Tarifarios (Quilicura)'!$D:$D,MATCH($B16,'Pliegos Tarifarios (Quilicura)'!$A:$A,0))</f>
        <v>28234.3699075</v>
      </c>
      <c r="P16" s="19">
        <f>H16*INDEX('Pliegos Tarifarios (Quilicura)'!$E:$E,MATCH($B16,'Pliegos Tarifarios (Quilicura)'!$A:$A,0))</f>
        <v>9880.2652576</v>
      </c>
      <c r="Q16" s="19" cm="1">
        <f t="array" ref="Q16">H16*_xlfn.IFS(H16&lt;=350,INDEX('Pliegos Tarifarios (Quilicura)'!$F:$F,MATCH($B16,'Pliegos Tarifarios (Quilicura)'!$A:$A,0)),H16&lt;=500,INDEX('Pliegos Tarifarios (Quilicura)'!$G:$G,MATCH($B16,'Pliegos Tarifarios (Quilicura)'!$A:$A,0)),H16&lt;=1000,INDEX('Pliegos Tarifarios (Quilicura)'!$H:$H,MATCH($B16,'Pliegos Tarifarios (Quilicura)'!$A:$A,0)),H16&lt;=5000,INDEX('Pliegos Tarifarios (Quilicura)'!$I:$I,MATCH($B16,'Pliegos Tarifarios (Quilicura)'!$A:$A,0)),H16&gt;5000,INDEX('Pliegos Tarifarios (Quilicura)'!$J:$J,MATCH($B16,'Pliegos Tarifarios (Quilicura)'!$A:$A,0)))/1.19</f>
        <v>1791.9083099159666</v>
      </c>
      <c r="R16" s="19">
        <f>INDEX('Pliegos Tarifarios (Quilicura)'!$K:$K,MATCH($B16,'Pliegos Tarifarios (Quilicura)'!$A:$A,0))</f>
        <v>710.78200000000004</v>
      </c>
      <c r="S16" s="21">
        <f t="shared" si="3"/>
        <v>138469.90123461597</v>
      </c>
      <c r="T16" s="21">
        <f t="shared" si="4"/>
        <v>26309.281234577036</v>
      </c>
      <c r="U16" s="19">
        <v>0</v>
      </c>
      <c r="V16" s="21">
        <f t="shared" si="5"/>
        <v>164779.18246919301</v>
      </c>
    </row>
    <row r="17" spans="1:22" x14ac:dyDescent="0.3">
      <c r="A17" s="3" t="s">
        <v>12</v>
      </c>
      <c r="B17" s="3">
        <v>1</v>
      </c>
      <c r="C17" s="4" t="s">
        <v>186</v>
      </c>
      <c r="D17" s="3" t="s">
        <v>200</v>
      </c>
      <c r="E17" s="3" t="s">
        <v>34</v>
      </c>
      <c r="F17" s="4" t="s">
        <v>45</v>
      </c>
      <c r="G17" s="3" t="s">
        <v>30</v>
      </c>
      <c r="H17" s="5">
        <v>763.81859999999995</v>
      </c>
      <c r="I17" s="5">
        <v>2.0074000000000001</v>
      </c>
      <c r="J17" s="5">
        <v>2.0074000000000001</v>
      </c>
      <c r="K17" s="6">
        <v>1</v>
      </c>
      <c r="L17" s="5">
        <v>24.64</v>
      </c>
      <c r="M17" s="19">
        <f>H17*INDEX('Pliegos Tarifarios (Quilicura)'!$B:$B,MATCH($B17,'Pliegos Tarifarios (Quilicura)'!$A:$A,0))</f>
        <v>90770.674786799995</v>
      </c>
      <c r="N17" s="19">
        <f>I17*INDEX('Pliegos Tarifarios (Quilicura)'!$C:$C,MATCH($B17,'Pliegos Tarifarios (Quilicura)'!$A:$A,0))</f>
        <v>6855.4898066000005</v>
      </c>
      <c r="O17" s="19">
        <f>J17*INDEX('Pliegos Tarifarios (Quilicura)'!$D:$D,MATCH($B17,'Pliegos Tarifarios (Quilicura)'!$A:$A,0))</f>
        <v>28317.598877</v>
      </c>
      <c r="P17" s="19">
        <f>H17*INDEX('Pliegos Tarifarios (Quilicura)'!$E:$E,MATCH($B17,'Pliegos Tarifarios (Quilicura)'!$A:$A,0))</f>
        <v>9877.7021351999992</v>
      </c>
      <c r="Q17" s="19" cm="1">
        <f t="array" ref="Q17">H17*_xlfn.IFS(H17&lt;=350,INDEX('Pliegos Tarifarios (Quilicura)'!$F:$F,MATCH($B17,'Pliegos Tarifarios (Quilicura)'!$A:$A,0)),H17&lt;=500,INDEX('Pliegos Tarifarios (Quilicura)'!$G:$G,MATCH($B17,'Pliegos Tarifarios (Quilicura)'!$A:$A,0)),H17&lt;=1000,INDEX('Pliegos Tarifarios (Quilicura)'!$H:$H,MATCH($B17,'Pliegos Tarifarios (Quilicura)'!$A:$A,0)),H17&lt;=5000,INDEX('Pliegos Tarifarios (Quilicura)'!$I:$I,MATCH($B17,'Pliegos Tarifarios (Quilicura)'!$A:$A,0)),H17&gt;5000,INDEX('Pliegos Tarifarios (Quilicura)'!$J:$J,MATCH($B17,'Pliegos Tarifarios (Quilicura)'!$A:$A,0)))/1.19</f>
        <v>1791.4434559663866</v>
      </c>
      <c r="R17" s="19">
        <f>INDEX('Pliegos Tarifarios (Quilicura)'!$K:$K,MATCH($B17,'Pliegos Tarifarios (Quilicura)'!$A:$A,0))</f>
        <v>710.78200000000004</v>
      </c>
      <c r="S17" s="21">
        <f t="shared" si="3"/>
        <v>138323.69106156638</v>
      </c>
      <c r="T17" s="21">
        <f t="shared" si="4"/>
        <v>26281.501301697612</v>
      </c>
      <c r="U17" s="19">
        <v>0</v>
      </c>
      <c r="V17" s="21">
        <f t="shared" si="5"/>
        <v>164605.19236326398</v>
      </c>
    </row>
    <row r="18" spans="1:22" x14ac:dyDescent="0.3">
      <c r="A18" s="3" t="s">
        <v>12</v>
      </c>
      <c r="B18" s="3">
        <v>1</v>
      </c>
      <c r="C18" s="4" t="s">
        <v>186</v>
      </c>
      <c r="D18" s="3" t="s">
        <v>201</v>
      </c>
      <c r="E18" s="3" t="s">
        <v>47</v>
      </c>
      <c r="F18" s="4" t="s">
        <v>48</v>
      </c>
      <c r="G18" s="3" t="s">
        <v>30</v>
      </c>
      <c r="H18" s="5">
        <v>763.73789999999997</v>
      </c>
      <c r="I18" s="5">
        <v>2.0329000000000002</v>
      </c>
      <c r="J18" s="5">
        <v>2.0329000000000002</v>
      </c>
      <c r="K18" s="6">
        <v>1</v>
      </c>
      <c r="L18" s="5">
        <v>24.64</v>
      </c>
      <c r="M18" s="19">
        <f>H18*INDEX('Pliegos Tarifarios (Quilicura)'!$B:$B,MATCH($B18,'Pliegos Tarifarios (Quilicura)'!$A:$A,0))</f>
        <v>90761.08456019999</v>
      </c>
      <c r="N18" s="19">
        <f>I18*INDEX('Pliegos Tarifarios (Quilicura)'!$C:$C,MATCH($B18,'Pliegos Tarifarios (Quilicura)'!$A:$A,0))</f>
        <v>6942.5750861000006</v>
      </c>
      <c r="O18" s="19">
        <f>J18*INDEX('Pliegos Tarifarios (Quilicura)'!$D:$D,MATCH($B18,'Pliegos Tarifarios (Quilicura)'!$A:$A,0))</f>
        <v>28677.3173045</v>
      </c>
      <c r="P18" s="19">
        <f>H18*INDEX('Pliegos Tarifarios (Quilicura)'!$E:$E,MATCH($B18,'Pliegos Tarifarios (Quilicura)'!$A:$A,0))</f>
        <v>9876.6585228000004</v>
      </c>
      <c r="Q18" s="19" cm="1">
        <f t="array" ref="Q18">H18*_xlfn.IFS(H18&lt;=350,INDEX('Pliegos Tarifarios (Quilicura)'!$F:$F,MATCH($B18,'Pliegos Tarifarios (Quilicura)'!$A:$A,0)),H18&lt;=500,INDEX('Pliegos Tarifarios (Quilicura)'!$G:$G,MATCH($B18,'Pliegos Tarifarios (Quilicura)'!$A:$A,0)),H18&lt;=1000,INDEX('Pliegos Tarifarios (Quilicura)'!$H:$H,MATCH($B18,'Pliegos Tarifarios (Quilicura)'!$A:$A,0)),H18&lt;=5000,INDEX('Pliegos Tarifarios (Quilicura)'!$I:$I,MATCH($B18,'Pliegos Tarifarios (Quilicura)'!$A:$A,0)),H18&gt;5000,INDEX('Pliegos Tarifarios (Quilicura)'!$J:$J,MATCH($B18,'Pliegos Tarifarios (Quilicura)'!$A:$A,0)))/1.19</f>
        <v>1791.25418394958</v>
      </c>
      <c r="R18" s="19">
        <f>INDEX('Pliegos Tarifarios (Quilicura)'!$K:$K,MATCH($B18,'Pliegos Tarifarios (Quilicura)'!$A:$A,0))</f>
        <v>710.78200000000004</v>
      </c>
      <c r="S18" s="21">
        <f t="shared" si="3"/>
        <v>138759.67165754957</v>
      </c>
      <c r="T18" s="21">
        <f t="shared" si="4"/>
        <v>26364.337614934419</v>
      </c>
      <c r="U18" s="19">
        <v>0</v>
      </c>
      <c r="V18" s="21">
        <f t="shared" si="5"/>
        <v>165124.00927248399</v>
      </c>
    </row>
    <row r="19" spans="1:22" x14ac:dyDescent="0.3">
      <c r="A19" s="3" t="s">
        <v>12</v>
      </c>
      <c r="B19" s="3">
        <v>1</v>
      </c>
      <c r="C19" s="4" t="s">
        <v>186</v>
      </c>
      <c r="D19" s="3" t="s">
        <v>202</v>
      </c>
      <c r="E19" s="3" t="s">
        <v>47</v>
      </c>
      <c r="F19" s="4" t="s">
        <v>50</v>
      </c>
      <c r="G19" s="3" t="s">
        <v>30</v>
      </c>
      <c r="H19" s="5">
        <v>763.67639999999994</v>
      </c>
      <c r="I19" s="5">
        <v>2.0649999999999999</v>
      </c>
      <c r="J19" s="5">
        <v>2.0497000000000001</v>
      </c>
      <c r="K19" s="6">
        <v>0.99259079903147707</v>
      </c>
      <c r="L19" s="5">
        <v>24.63</v>
      </c>
      <c r="M19" s="19">
        <f>H19*INDEX('Pliegos Tarifarios (Quilicura)'!$B:$B,MATCH($B19,'Pliegos Tarifarios (Quilicura)'!$A:$A,0))</f>
        <v>90753.776023199986</v>
      </c>
      <c r="N19" s="19">
        <f>I19*INDEX('Pliegos Tarifarios (Quilicura)'!$C:$C,MATCH($B19,'Pliegos Tarifarios (Quilicura)'!$A:$A,0))</f>
        <v>7052.2000849999995</v>
      </c>
      <c r="O19" s="19">
        <f>J19*INDEX('Pliegos Tarifarios (Quilicura)'!$D:$D,MATCH($B19,'Pliegos Tarifarios (Quilicura)'!$A:$A,0))</f>
        <v>28914.308268500001</v>
      </c>
      <c r="P19" s="19">
        <f>H19*INDEX('Pliegos Tarifarios (Quilicura)'!$E:$E,MATCH($B19,'Pliegos Tarifarios (Quilicura)'!$A:$A,0))</f>
        <v>9875.8632047999999</v>
      </c>
      <c r="Q19" s="19" cm="1">
        <f t="array" ref="Q19">H19*_xlfn.IFS(H19&lt;=350,INDEX('Pliegos Tarifarios (Quilicura)'!$F:$F,MATCH($B19,'Pliegos Tarifarios (Quilicura)'!$A:$A,0)),H19&lt;=500,INDEX('Pliegos Tarifarios (Quilicura)'!$G:$G,MATCH($B19,'Pliegos Tarifarios (Quilicura)'!$A:$A,0)),H19&lt;=1000,INDEX('Pliegos Tarifarios (Quilicura)'!$H:$H,MATCH($B19,'Pliegos Tarifarios (Quilicura)'!$A:$A,0)),H19&lt;=5000,INDEX('Pliegos Tarifarios (Quilicura)'!$I:$I,MATCH($B19,'Pliegos Tarifarios (Quilicura)'!$A:$A,0)),H19&gt;5000,INDEX('Pliegos Tarifarios (Quilicura)'!$J:$J,MATCH($B19,'Pliegos Tarifarios (Quilicura)'!$A:$A,0)))/1.19</f>
        <v>1791.1099431932776</v>
      </c>
      <c r="R19" s="19">
        <f>INDEX('Pliegos Tarifarios (Quilicura)'!$K:$K,MATCH($B19,'Pliegos Tarifarios (Quilicura)'!$A:$A,0))</f>
        <v>710.78200000000004</v>
      </c>
      <c r="S19" s="21">
        <f t="shared" si="3"/>
        <v>139098.03952469327</v>
      </c>
      <c r="T19" s="21">
        <f t="shared" si="4"/>
        <v>26428.627509691723</v>
      </c>
      <c r="U19" s="19">
        <v>0</v>
      </c>
      <c r="V19" s="21">
        <f t="shared" si="5"/>
        <v>165526.667034385</v>
      </c>
    </row>
    <row r="20" spans="1:22" x14ac:dyDescent="0.3">
      <c r="A20" s="3" t="s">
        <v>12</v>
      </c>
      <c r="B20" s="3">
        <v>1</v>
      </c>
      <c r="C20" s="4" t="s">
        <v>186</v>
      </c>
      <c r="D20" s="3" t="s">
        <v>203</v>
      </c>
      <c r="E20" s="3" t="s">
        <v>52</v>
      </c>
      <c r="F20" s="4" t="s">
        <v>53</v>
      </c>
      <c r="G20" s="3" t="s">
        <v>30</v>
      </c>
      <c r="H20" s="5">
        <v>763.30859999999996</v>
      </c>
      <c r="I20" s="5">
        <v>2.1122999999999998</v>
      </c>
      <c r="J20" s="5">
        <v>2.0263</v>
      </c>
      <c r="K20" s="6">
        <v>0.9592860862566871</v>
      </c>
      <c r="L20" s="5">
        <v>24.62</v>
      </c>
      <c r="M20" s="19">
        <f>H20*INDEX('Pliegos Tarifarios (Quilicura)'!$B:$B,MATCH($B20,'Pliegos Tarifarios (Quilicura)'!$A:$A,0))</f>
        <v>90710.067406799993</v>
      </c>
      <c r="N20" s="19">
        <f>I20*INDEX('Pliegos Tarifarios (Quilicura)'!$C:$C,MATCH($B20,'Pliegos Tarifarios (Quilicura)'!$A:$A,0))</f>
        <v>7213.7347406999997</v>
      </c>
      <c r="O20" s="19">
        <f>J20*INDEX('Pliegos Tarifarios (Quilicura)'!$D:$D,MATCH($B20,'Pliegos Tarifarios (Quilicura)'!$A:$A,0))</f>
        <v>28584.2137115</v>
      </c>
      <c r="P20" s="19">
        <f>H20*INDEX('Pliegos Tarifarios (Quilicura)'!$E:$E,MATCH($B20,'Pliegos Tarifarios (Quilicura)'!$A:$A,0))</f>
        <v>9871.1068151999989</v>
      </c>
      <c r="Q20" s="19" cm="1">
        <f t="array" ref="Q20">H20*_xlfn.IFS(H20&lt;=350,INDEX('Pliegos Tarifarios (Quilicura)'!$F:$F,MATCH($B20,'Pliegos Tarifarios (Quilicura)'!$A:$A,0)),H20&lt;=500,INDEX('Pliegos Tarifarios (Quilicura)'!$G:$G,MATCH($B20,'Pliegos Tarifarios (Quilicura)'!$A:$A,0)),H20&lt;=1000,INDEX('Pliegos Tarifarios (Quilicura)'!$H:$H,MATCH($B20,'Pliegos Tarifarios (Quilicura)'!$A:$A,0)),H20&lt;=5000,INDEX('Pliegos Tarifarios (Quilicura)'!$I:$I,MATCH($B20,'Pliegos Tarifarios (Quilicura)'!$A:$A,0)),H20&gt;5000,INDEX('Pliegos Tarifarios (Quilicura)'!$J:$J,MATCH($B20,'Pliegos Tarifarios (Quilicura)'!$A:$A,0)))/1.19</f>
        <v>1790.247313109244</v>
      </c>
      <c r="R20" s="19">
        <f>INDEX('Pliegos Tarifarios (Quilicura)'!$K:$K,MATCH($B20,'Pliegos Tarifarios (Quilicura)'!$A:$A,0))</f>
        <v>710.78200000000004</v>
      </c>
      <c r="S20" s="21">
        <f t="shared" si="3"/>
        <v>138880.15198730928</v>
      </c>
      <c r="T20" s="21">
        <f t="shared" si="4"/>
        <v>26387.228877588765</v>
      </c>
      <c r="U20" s="19">
        <v>0</v>
      </c>
      <c r="V20" s="21">
        <f t="shared" si="5"/>
        <v>165267.38086489803</v>
      </c>
    </row>
    <row r="21" spans="1:22" x14ac:dyDescent="0.3">
      <c r="A21" s="3" t="s">
        <v>12</v>
      </c>
      <c r="B21" s="3">
        <v>1</v>
      </c>
      <c r="C21" s="4" t="s">
        <v>186</v>
      </c>
      <c r="D21" s="3" t="s">
        <v>204</v>
      </c>
      <c r="E21" s="3" t="s">
        <v>55</v>
      </c>
      <c r="F21" s="4" t="s">
        <v>56</v>
      </c>
      <c r="G21" s="3" t="s">
        <v>30</v>
      </c>
      <c r="H21" s="5">
        <v>508.62869999999998</v>
      </c>
      <c r="I21" s="5">
        <v>1.3432999999999999</v>
      </c>
      <c r="J21" s="5">
        <v>1.3357000000000001</v>
      </c>
      <c r="K21" s="6">
        <v>0.99434229137199448</v>
      </c>
      <c r="L21" s="5">
        <v>16.41</v>
      </c>
      <c r="M21" s="19">
        <f>H21*INDEX('Pliegos Tarifarios (Quilicura)'!$B:$B,MATCH($B21,'Pliegos Tarifarios (Quilicura)'!$A:$A,0))</f>
        <v>60444.417450599998</v>
      </c>
      <c r="N21" s="19">
        <f>I21*INDEX('Pliegos Tarifarios (Quilicura)'!$C:$C,MATCH($B21,'Pliegos Tarifarios (Quilicura)'!$A:$A,0))</f>
        <v>4587.5159196999994</v>
      </c>
      <c r="O21" s="19">
        <f>J21*INDEX('Pliegos Tarifarios (Quilicura)'!$D:$D,MATCH($B21,'Pliegos Tarifarios (Quilicura)'!$A:$A,0))</f>
        <v>18842.192298500002</v>
      </c>
      <c r="P21" s="19">
        <f>H21*INDEX('Pliegos Tarifarios (Quilicura)'!$E:$E,MATCH($B21,'Pliegos Tarifarios (Quilicura)'!$A:$A,0))</f>
        <v>6577.5863484000001</v>
      </c>
      <c r="Q21" s="19" cm="1">
        <f t="array" ref="Q21">H21*_xlfn.IFS(H21&lt;=350,INDEX('Pliegos Tarifarios (Quilicura)'!$F:$F,MATCH($B21,'Pliegos Tarifarios (Quilicura)'!$A:$A,0)),H21&lt;=500,INDEX('Pliegos Tarifarios (Quilicura)'!$G:$G,MATCH($B21,'Pliegos Tarifarios (Quilicura)'!$A:$A,0)),H21&lt;=1000,INDEX('Pliegos Tarifarios (Quilicura)'!$H:$H,MATCH($B21,'Pliegos Tarifarios (Quilicura)'!$A:$A,0)),H21&lt;=5000,INDEX('Pliegos Tarifarios (Quilicura)'!$I:$I,MATCH($B21,'Pliegos Tarifarios (Quilicura)'!$A:$A,0)),H21&gt;5000,INDEX('Pliegos Tarifarios (Quilicura)'!$J:$J,MATCH($B21,'Pliegos Tarifarios (Quilicura)'!$A:$A,0)))/1.19</f>
        <v>1192.9266400840338</v>
      </c>
      <c r="R21" s="19">
        <f>INDEX('Pliegos Tarifarios (Quilicura)'!$K:$K,MATCH($B21,'Pliegos Tarifarios (Quilicura)'!$A:$A,0))</f>
        <v>710.78200000000004</v>
      </c>
      <c r="S21" s="21">
        <f t="shared" si="3"/>
        <v>92355.420657284034</v>
      </c>
      <c r="T21" s="21">
        <f t="shared" si="4"/>
        <v>17547.529924883966</v>
      </c>
      <c r="U21" s="19">
        <v>0</v>
      </c>
      <c r="V21" s="21">
        <f t="shared" si="5"/>
        <v>109902.95058216801</v>
      </c>
    </row>
    <row r="22" spans="1:22" x14ac:dyDescent="0.3">
      <c r="A22" s="3" t="s">
        <v>12</v>
      </c>
      <c r="B22" s="3">
        <v>1</v>
      </c>
      <c r="C22" s="4" t="s">
        <v>186</v>
      </c>
      <c r="D22" s="3" t="s">
        <v>205</v>
      </c>
      <c r="E22" s="3" t="s">
        <v>58</v>
      </c>
      <c r="F22" s="4" t="s">
        <v>59</v>
      </c>
      <c r="G22" s="3" t="s">
        <v>30</v>
      </c>
      <c r="H22" s="5">
        <v>508.06509999999997</v>
      </c>
      <c r="I22" s="5">
        <v>1.3687</v>
      </c>
      <c r="J22" s="5">
        <v>1.3687</v>
      </c>
      <c r="K22" s="6">
        <v>1</v>
      </c>
      <c r="L22" s="5">
        <v>16.39</v>
      </c>
      <c r="M22" s="19">
        <f>H22*INDEX('Pliegos Tarifarios (Quilicura)'!$B:$B,MATCH($B22,'Pliegos Tarifarios (Quilicura)'!$A:$A,0))</f>
        <v>60377.440353799997</v>
      </c>
      <c r="N22" s="19">
        <f>I22*INDEX('Pliegos Tarifarios (Quilicura)'!$C:$C,MATCH($B22,'Pliegos Tarifarios (Quilicura)'!$A:$A,0))</f>
        <v>4674.2596882999997</v>
      </c>
      <c r="O22" s="19">
        <f>J22*INDEX('Pliegos Tarifarios (Quilicura)'!$D:$D,MATCH($B22,'Pliegos Tarifarios (Quilicura)'!$A:$A,0))</f>
        <v>19307.710263500001</v>
      </c>
      <c r="P22" s="19">
        <f>H22*INDEX('Pliegos Tarifarios (Quilicura)'!$E:$E,MATCH($B22,'Pliegos Tarifarios (Quilicura)'!$A:$A,0))</f>
        <v>6570.2978732000001</v>
      </c>
      <c r="Q22" s="19" cm="1">
        <f t="array" ref="Q22">H22*_xlfn.IFS(H22&lt;=350,INDEX('Pliegos Tarifarios (Quilicura)'!$F:$F,MATCH($B22,'Pliegos Tarifarios (Quilicura)'!$A:$A,0)),H22&lt;=500,INDEX('Pliegos Tarifarios (Quilicura)'!$G:$G,MATCH($B22,'Pliegos Tarifarios (Quilicura)'!$A:$A,0)),H22&lt;=1000,INDEX('Pliegos Tarifarios (Quilicura)'!$H:$H,MATCH($B22,'Pliegos Tarifarios (Quilicura)'!$A:$A,0)),H22&lt;=5000,INDEX('Pliegos Tarifarios (Quilicura)'!$I:$I,MATCH($B22,'Pliegos Tarifarios (Quilicura)'!$A:$A,0)),H22&gt;5000,INDEX('Pliegos Tarifarios (Quilicura)'!$J:$J,MATCH($B22,'Pliegos Tarifarios (Quilicura)'!$A:$A,0)))/1.19</f>
        <v>1191.6047849579834</v>
      </c>
      <c r="R22" s="19">
        <f>INDEX('Pliegos Tarifarios (Quilicura)'!$K:$K,MATCH($B22,'Pliegos Tarifarios (Quilicura)'!$A:$A,0))</f>
        <v>710.78200000000004</v>
      </c>
      <c r="S22" s="21">
        <f t="shared" si="3"/>
        <v>92832.094963757991</v>
      </c>
      <c r="T22" s="21">
        <f t="shared" si="4"/>
        <v>17638.09804311402</v>
      </c>
      <c r="U22" s="19">
        <v>0</v>
      </c>
      <c r="V22" s="21">
        <f t="shared" si="5"/>
        <v>110470.19300687201</v>
      </c>
    </row>
    <row r="23" spans="1:22" x14ac:dyDescent="0.3">
      <c r="A23" s="3" t="s">
        <v>12</v>
      </c>
      <c r="B23" s="3">
        <v>1</v>
      </c>
      <c r="C23" s="4" t="s">
        <v>186</v>
      </c>
      <c r="D23" s="3" t="s">
        <v>206</v>
      </c>
      <c r="E23" s="3" t="s">
        <v>61</v>
      </c>
      <c r="F23" s="4" t="s">
        <v>62</v>
      </c>
      <c r="G23" s="3" t="s">
        <v>30</v>
      </c>
      <c r="H23" s="5">
        <v>508.40269999999998</v>
      </c>
      <c r="I23" s="5">
        <v>1.3642000000000001</v>
      </c>
      <c r="J23" s="5">
        <v>1.3562000000000001</v>
      </c>
      <c r="K23" s="6">
        <v>0.99413575722034897</v>
      </c>
      <c r="L23" s="5">
        <v>16.399999999999999</v>
      </c>
      <c r="M23" s="19">
        <f>H23*INDEX('Pliegos Tarifarios (Quilicura)'!$B:$B,MATCH($B23,'Pliegos Tarifarios (Quilicura)'!$A:$A,0))</f>
        <v>60417.560062599994</v>
      </c>
      <c r="N23" s="19">
        <f>I23*INDEX('Pliegos Tarifarios (Quilicura)'!$C:$C,MATCH($B23,'Pliegos Tarifarios (Quilicura)'!$A:$A,0))</f>
        <v>4658.8916977999997</v>
      </c>
      <c r="O23" s="19">
        <f>J23*INDEX('Pliegos Tarifarios (Quilicura)'!$D:$D,MATCH($B23,'Pliegos Tarifarios (Quilicura)'!$A:$A,0))</f>
        <v>19131.377701000001</v>
      </c>
      <c r="P23" s="19">
        <f>H23*INDEX('Pliegos Tarifarios (Quilicura)'!$E:$E,MATCH($B23,'Pliegos Tarifarios (Quilicura)'!$A:$A,0))</f>
        <v>6574.6637164000003</v>
      </c>
      <c r="Q23" s="19" cm="1">
        <f t="array" ref="Q23">H23*_xlfn.IFS(H23&lt;=350,INDEX('Pliegos Tarifarios (Quilicura)'!$F:$F,MATCH($B23,'Pliegos Tarifarios (Quilicura)'!$A:$A,0)),H23&lt;=500,INDEX('Pliegos Tarifarios (Quilicura)'!$G:$G,MATCH($B23,'Pliegos Tarifarios (Quilicura)'!$A:$A,0)),H23&lt;=1000,INDEX('Pliegos Tarifarios (Quilicura)'!$H:$H,MATCH($B23,'Pliegos Tarifarios (Quilicura)'!$A:$A,0)),H23&lt;=5000,INDEX('Pliegos Tarifarios (Quilicura)'!$I:$I,MATCH($B23,'Pliegos Tarifarios (Quilicura)'!$A:$A,0)),H23&gt;5000,INDEX('Pliegos Tarifarios (Quilicura)'!$J:$J,MATCH($B23,'Pliegos Tarifarios (Quilicura)'!$A:$A,0)))/1.19</f>
        <v>1192.3965846218489</v>
      </c>
      <c r="R23" s="19">
        <f>INDEX('Pliegos Tarifarios (Quilicura)'!$K:$K,MATCH($B23,'Pliegos Tarifarios (Quilicura)'!$A:$A,0))</f>
        <v>710.78200000000004</v>
      </c>
      <c r="S23" s="21">
        <f t="shared" si="3"/>
        <v>92685.671762421844</v>
      </c>
      <c r="T23" s="21">
        <f t="shared" si="4"/>
        <v>17610.277634860151</v>
      </c>
      <c r="U23" s="19">
        <v>0</v>
      </c>
      <c r="V23" s="21">
        <f t="shared" si="5"/>
        <v>110295.94939728199</v>
      </c>
    </row>
    <row r="24" spans="1:22" x14ac:dyDescent="0.3">
      <c r="A24" s="3" t="s">
        <v>12</v>
      </c>
      <c r="B24" s="3">
        <v>1</v>
      </c>
      <c r="C24" s="4" t="s">
        <v>186</v>
      </c>
      <c r="D24" s="3" t="s">
        <v>207</v>
      </c>
      <c r="E24" s="3" t="s">
        <v>34</v>
      </c>
      <c r="F24" s="4" t="s">
        <v>64</v>
      </c>
      <c r="G24" s="3" t="s">
        <v>30</v>
      </c>
      <c r="H24" s="5">
        <v>1016.9247</v>
      </c>
      <c r="I24" s="5">
        <v>2.7151999999999998</v>
      </c>
      <c r="J24" s="5">
        <v>2.7061999999999999</v>
      </c>
      <c r="K24" s="6">
        <v>0.99668532704773127</v>
      </c>
      <c r="L24" s="5">
        <v>32.799999999999997</v>
      </c>
      <c r="M24" s="19">
        <f>H24*INDEX('Pliegos Tarifarios (Quilicura)'!$B:$B,MATCH($B24,'Pliegos Tarifarios (Quilicura)'!$A:$A,0))</f>
        <v>120849.2974986</v>
      </c>
      <c r="N24" s="19">
        <f>I24*INDEX('Pliegos Tarifarios (Quilicura)'!$C:$C,MATCH($B24,'Pliegos Tarifarios (Quilicura)'!$A:$A,0))</f>
        <v>9272.7039568</v>
      </c>
      <c r="O24" s="19">
        <f>J24*INDEX('Pliegos Tarifarios (Quilicura)'!$D:$D,MATCH($B24,'Pliegos Tarifarios (Quilicura)'!$A:$A,0))</f>
        <v>38175.294451000002</v>
      </c>
      <c r="P24" s="19">
        <f>H24*INDEX('Pliegos Tarifarios (Quilicura)'!$E:$E,MATCH($B24,'Pliegos Tarifarios (Quilicura)'!$A:$A,0))</f>
        <v>13150.8702204</v>
      </c>
      <c r="Q24" s="19" cm="1">
        <f t="array" ref="Q24">H24*_xlfn.IFS(H24&lt;=350,INDEX('Pliegos Tarifarios (Quilicura)'!$F:$F,MATCH($B24,'Pliegos Tarifarios (Quilicura)'!$A:$A,0)),H24&lt;=500,INDEX('Pliegos Tarifarios (Quilicura)'!$G:$G,MATCH($B24,'Pliegos Tarifarios (Quilicura)'!$A:$A,0)),H24&lt;=1000,INDEX('Pliegos Tarifarios (Quilicura)'!$H:$H,MATCH($B24,'Pliegos Tarifarios (Quilicura)'!$A:$A,0)),H24&lt;=5000,INDEX('Pliegos Tarifarios (Quilicura)'!$I:$I,MATCH($B24,'Pliegos Tarifarios (Quilicura)'!$A:$A,0)),H24&gt;5000,INDEX('Pliegos Tarifarios (Quilicura)'!$J:$J,MATCH($B24,'Pliegos Tarifarios (Quilicura)'!$A:$A,0)))/1.19</f>
        <v>3051.6286585714288</v>
      </c>
      <c r="R24" s="19">
        <f>INDEX('Pliegos Tarifarios (Quilicura)'!$K:$K,MATCH($B24,'Pliegos Tarifarios (Quilicura)'!$A:$A,0))</f>
        <v>710.78200000000004</v>
      </c>
      <c r="S24" s="21">
        <f t="shared" si="3"/>
        <v>185210.57678537144</v>
      </c>
      <c r="T24" s="21">
        <f t="shared" si="4"/>
        <v>35190.009589220572</v>
      </c>
      <c r="U24" s="19">
        <v>0</v>
      </c>
      <c r="V24" s="21">
        <f t="shared" si="5"/>
        <v>220400.58637459201</v>
      </c>
    </row>
    <row r="25" spans="1:22" x14ac:dyDescent="0.3">
      <c r="A25" s="3" t="s">
        <v>12</v>
      </c>
      <c r="B25" s="3">
        <v>1</v>
      </c>
      <c r="C25" s="4" t="s">
        <v>186</v>
      </c>
      <c r="D25" s="3" t="s">
        <v>208</v>
      </c>
      <c r="E25" s="3" t="s">
        <v>34</v>
      </c>
      <c r="F25" s="4" t="s">
        <v>66</v>
      </c>
      <c r="G25" s="3" t="s">
        <v>30</v>
      </c>
      <c r="H25" s="5">
        <v>1020.6249</v>
      </c>
      <c r="I25" s="5">
        <v>2.7355</v>
      </c>
      <c r="J25" s="5">
        <v>2.6452</v>
      </c>
      <c r="K25" s="6">
        <v>0.96698958142935476</v>
      </c>
      <c r="L25" s="5">
        <v>32.92</v>
      </c>
      <c r="M25" s="19">
        <f>H25*INDEX('Pliegos Tarifarios (Quilicura)'!$B:$B,MATCH($B25,'Pliegos Tarifarios (Quilicura)'!$A:$A,0))</f>
        <v>121289.0218662</v>
      </c>
      <c r="N25" s="19">
        <f>I25*INDEX('Pliegos Tarifarios (Quilicura)'!$C:$C,MATCH($B25,'Pliegos Tarifarios (Quilicura)'!$A:$A,0))</f>
        <v>9342.0306694999999</v>
      </c>
      <c r="O25" s="19">
        <f>J25*INDEX('Pliegos Tarifarios (Quilicura)'!$D:$D,MATCH($B25,'Pliegos Tarifarios (Quilicura)'!$A:$A,0))</f>
        <v>37314.791546</v>
      </c>
      <c r="P25" s="19">
        <f>H25*INDEX('Pliegos Tarifarios (Quilicura)'!$E:$E,MATCH($B25,'Pliegos Tarifarios (Quilicura)'!$A:$A,0))</f>
        <v>13198.721206800001</v>
      </c>
      <c r="Q25" s="19" cm="1">
        <f t="array" ref="Q25">H25*_xlfn.IFS(H25&lt;=350,INDEX('Pliegos Tarifarios (Quilicura)'!$F:$F,MATCH($B25,'Pliegos Tarifarios (Quilicura)'!$A:$A,0)),H25&lt;=500,INDEX('Pliegos Tarifarios (Quilicura)'!$G:$G,MATCH($B25,'Pliegos Tarifarios (Quilicura)'!$A:$A,0)),H25&lt;=1000,INDEX('Pliegos Tarifarios (Quilicura)'!$H:$H,MATCH($B25,'Pliegos Tarifarios (Quilicura)'!$A:$A,0)),H25&lt;=5000,INDEX('Pliegos Tarifarios (Quilicura)'!$I:$I,MATCH($B25,'Pliegos Tarifarios (Quilicura)'!$A:$A,0)),H25&gt;5000,INDEX('Pliegos Tarifarios (Quilicura)'!$J:$J,MATCH($B25,'Pliegos Tarifarios (Quilicura)'!$A:$A,0)))/1.19</f>
        <v>3062.7323679831934</v>
      </c>
      <c r="R25" s="19">
        <f>INDEX('Pliegos Tarifarios (Quilicura)'!$K:$K,MATCH($B25,'Pliegos Tarifarios (Quilicura)'!$A:$A,0))</f>
        <v>710.78200000000004</v>
      </c>
      <c r="S25" s="21">
        <f t="shared" si="3"/>
        <v>184918.0796564832</v>
      </c>
      <c r="T25" s="21">
        <f t="shared" si="4"/>
        <v>35134.435134731808</v>
      </c>
      <c r="U25" s="19">
        <v>0</v>
      </c>
      <c r="V25" s="21">
        <f t="shared" si="5"/>
        <v>220052.51479121501</v>
      </c>
    </row>
    <row r="26" spans="1:22" x14ac:dyDescent="0.3">
      <c r="A26" s="3" t="s">
        <v>12</v>
      </c>
      <c r="B26" s="3">
        <v>1</v>
      </c>
      <c r="C26" s="4" t="s">
        <v>186</v>
      </c>
      <c r="D26" s="3" t="s">
        <v>209</v>
      </c>
      <c r="E26" s="3" t="s">
        <v>34</v>
      </c>
      <c r="F26" s="4" t="s">
        <v>68</v>
      </c>
      <c r="G26" s="3" t="s">
        <v>30</v>
      </c>
      <c r="H26" s="5">
        <v>1017.8213</v>
      </c>
      <c r="I26" s="5">
        <v>2.7153999999999998</v>
      </c>
      <c r="J26" s="5">
        <v>2.6577000000000002</v>
      </c>
      <c r="K26" s="6">
        <v>0.97875082860720353</v>
      </c>
      <c r="L26" s="5">
        <v>32.83</v>
      </c>
      <c r="M26" s="19">
        <f>H26*INDEX('Pliegos Tarifarios (Quilicura)'!$B:$B,MATCH($B26,'Pliegos Tarifarios (Quilicura)'!$A:$A,0))</f>
        <v>120955.84764939999</v>
      </c>
      <c r="N26" s="19">
        <f>I26*INDEX('Pliegos Tarifarios (Quilicura)'!$C:$C,MATCH($B26,'Pliegos Tarifarios (Quilicura)'!$A:$A,0))</f>
        <v>9273.3869785999996</v>
      </c>
      <c r="O26" s="19">
        <f>J26*INDEX('Pliegos Tarifarios (Quilicura)'!$D:$D,MATCH($B26,'Pliegos Tarifarios (Quilicura)'!$A:$A,0))</f>
        <v>37491.1241085</v>
      </c>
      <c r="P26" s="19">
        <f>H26*INDEX('Pliegos Tarifarios (Quilicura)'!$E:$E,MATCH($B26,'Pliegos Tarifarios (Quilicura)'!$A:$A,0))</f>
        <v>13162.4650516</v>
      </c>
      <c r="Q26" s="19" cm="1">
        <f t="array" ref="Q26">H26*_xlfn.IFS(H26&lt;=350,INDEX('Pliegos Tarifarios (Quilicura)'!$F:$F,MATCH($B26,'Pliegos Tarifarios (Quilicura)'!$A:$A,0)),H26&lt;=500,INDEX('Pliegos Tarifarios (Quilicura)'!$G:$G,MATCH($B26,'Pliegos Tarifarios (Quilicura)'!$A:$A,0)),H26&lt;=1000,INDEX('Pliegos Tarifarios (Quilicura)'!$H:$H,MATCH($B26,'Pliegos Tarifarios (Quilicura)'!$A:$A,0)),H26&lt;=5000,INDEX('Pliegos Tarifarios (Quilicura)'!$I:$I,MATCH($B26,'Pliegos Tarifarios (Quilicura)'!$A:$A,0)),H26&gt;5000,INDEX('Pliegos Tarifarios (Quilicura)'!$J:$J,MATCH($B26,'Pliegos Tarifarios (Quilicura)'!$A:$A,0)))/1.19</f>
        <v>3054.3192120168064</v>
      </c>
      <c r="R26" s="19">
        <f>INDEX('Pliegos Tarifarios (Quilicura)'!$K:$K,MATCH($B26,'Pliegos Tarifarios (Quilicura)'!$A:$A,0))</f>
        <v>710.78200000000004</v>
      </c>
      <c r="S26" s="21">
        <f t="shared" si="3"/>
        <v>184647.92500011681</v>
      </c>
      <c r="T26" s="21">
        <f t="shared" si="4"/>
        <v>35083.105750022194</v>
      </c>
      <c r="U26" s="19">
        <v>0</v>
      </c>
      <c r="V26" s="21">
        <f t="shared" si="5"/>
        <v>219731.03075013901</v>
      </c>
    </row>
    <row r="27" spans="1:22" x14ac:dyDescent="0.3">
      <c r="A27" s="3" t="s">
        <v>12</v>
      </c>
      <c r="B27" s="3">
        <v>1</v>
      </c>
      <c r="C27" s="4" t="s">
        <v>186</v>
      </c>
      <c r="D27" s="3" t="s">
        <v>210</v>
      </c>
      <c r="E27" s="3" t="s">
        <v>70</v>
      </c>
      <c r="F27" s="4" t="s">
        <v>71</v>
      </c>
      <c r="G27" s="3" t="s">
        <v>30</v>
      </c>
      <c r="H27" s="5">
        <v>1271.2025000000001</v>
      </c>
      <c r="I27" s="5">
        <v>3.3388</v>
      </c>
      <c r="J27" s="5">
        <v>3.2976999999999999</v>
      </c>
      <c r="K27" s="6">
        <v>0.98769018809152986</v>
      </c>
      <c r="L27" s="5">
        <v>41.01</v>
      </c>
      <c r="M27" s="19">
        <f>H27*INDEX('Pliegos Tarifarios (Quilicura)'!$B:$B,MATCH($B27,'Pliegos Tarifarios (Quilicura)'!$A:$A,0))</f>
        <v>151067.16269500001</v>
      </c>
      <c r="N27" s="19">
        <f>I27*INDEX('Pliegos Tarifarios (Quilicura)'!$C:$C,MATCH($B27,'Pliegos Tarifarios (Quilicura)'!$A:$A,0))</f>
        <v>11402.365929199999</v>
      </c>
      <c r="O27" s="19">
        <f>J27*INDEX('Pliegos Tarifarios (Quilicura)'!$D:$D,MATCH($B27,'Pliegos Tarifarios (Quilicura)'!$A:$A,0))</f>
        <v>46519.351308499994</v>
      </c>
      <c r="P27" s="19">
        <f>H27*INDEX('Pliegos Tarifarios (Quilicura)'!$E:$E,MATCH($B27,'Pliegos Tarifarios (Quilicura)'!$A:$A,0))</f>
        <v>16439.190730000002</v>
      </c>
      <c r="Q27" s="19" cm="1">
        <f t="array" ref="Q27">H27*_xlfn.IFS(H27&lt;=350,INDEX('Pliegos Tarifarios (Quilicura)'!$F:$F,MATCH($B27,'Pliegos Tarifarios (Quilicura)'!$A:$A,0)),H27&lt;=500,INDEX('Pliegos Tarifarios (Quilicura)'!$G:$G,MATCH($B27,'Pliegos Tarifarios (Quilicura)'!$A:$A,0)),H27&lt;=1000,INDEX('Pliegos Tarifarios (Quilicura)'!$H:$H,MATCH($B27,'Pliegos Tarifarios (Quilicura)'!$A:$A,0)),H27&lt;=5000,INDEX('Pliegos Tarifarios (Quilicura)'!$I:$I,MATCH($B27,'Pliegos Tarifarios (Quilicura)'!$A:$A,0)),H27&gt;5000,INDEX('Pliegos Tarifarios (Quilicura)'!$J:$J,MATCH($B27,'Pliegos Tarifarios (Quilicura)'!$A:$A,0)))/1.19</f>
        <v>3814.6757373949586</v>
      </c>
      <c r="R27" s="19">
        <f>INDEX('Pliegos Tarifarios (Quilicura)'!$K:$K,MATCH($B27,'Pliegos Tarifarios (Quilicura)'!$A:$A,0))</f>
        <v>710.78200000000004</v>
      </c>
      <c r="S27" s="21">
        <f t="shared" si="3"/>
        <v>229953.52840009495</v>
      </c>
      <c r="T27" s="21">
        <f t="shared" si="4"/>
        <v>43691.170396018038</v>
      </c>
      <c r="U27" s="19">
        <v>0</v>
      </c>
      <c r="V27" s="21">
        <f t="shared" si="5"/>
        <v>273644.69879611296</v>
      </c>
    </row>
    <row r="28" spans="1:22" x14ac:dyDescent="0.3">
      <c r="A28" s="3" t="s">
        <v>12</v>
      </c>
      <c r="B28" s="3">
        <v>1</v>
      </c>
      <c r="C28" s="4" t="s">
        <v>186</v>
      </c>
      <c r="D28" s="3" t="s">
        <v>211</v>
      </c>
      <c r="E28" s="3" t="s">
        <v>73</v>
      </c>
      <c r="F28" s="4" t="s">
        <v>74</v>
      </c>
      <c r="G28" s="3" t="s">
        <v>16</v>
      </c>
      <c r="H28" s="5">
        <v>2032.3885</v>
      </c>
      <c r="I28" s="5">
        <v>5.4897</v>
      </c>
      <c r="J28" s="5">
        <v>5.4348999999999998</v>
      </c>
      <c r="K28" s="6">
        <v>0.99001766945370417</v>
      </c>
      <c r="L28" s="5">
        <v>65.56</v>
      </c>
      <c r="M28" s="19">
        <f>H28*INDEX('Pliegos Tarifarios (Quilicura)'!$B:$B,MATCH($B28,'Pliegos Tarifarios (Quilicura)'!$A:$A,0))</f>
        <v>241524.98456299998</v>
      </c>
      <c r="N28" s="19">
        <f>I28*INDEX('Pliegos Tarifarios (Quilicura)'!$C:$C,MATCH($B28,'Pliegos Tarifarios (Quilicura)'!$A:$A,0))</f>
        <v>18747.9238773</v>
      </c>
      <c r="O28" s="19">
        <f>J28*INDEX('Pliegos Tarifarios (Quilicura)'!$D:$D,MATCH($B28,'Pliegos Tarifarios (Quilicura)'!$A:$A,0))</f>
        <v>76667.987514499997</v>
      </c>
      <c r="P28" s="19">
        <f>H28*INDEX('Pliegos Tarifarios (Quilicura)'!$E:$E,MATCH($B28,'Pliegos Tarifarios (Quilicura)'!$A:$A,0))</f>
        <v>26282.848082</v>
      </c>
      <c r="Q28" s="19" cm="1">
        <f t="array" ref="Q28">H28*_xlfn.IFS(H28&lt;=350,INDEX('Pliegos Tarifarios (Quilicura)'!$F:$F,MATCH($B28,'Pliegos Tarifarios (Quilicura)'!$A:$A,0)),H28&lt;=500,INDEX('Pliegos Tarifarios (Quilicura)'!$G:$G,MATCH($B28,'Pliegos Tarifarios (Quilicura)'!$A:$A,0)),H28&lt;=1000,INDEX('Pliegos Tarifarios (Quilicura)'!$H:$H,MATCH($B28,'Pliegos Tarifarios (Quilicura)'!$A:$A,0)),H28&lt;=5000,INDEX('Pliegos Tarifarios (Quilicura)'!$I:$I,MATCH($B28,'Pliegos Tarifarios (Quilicura)'!$A:$A,0)),H28&gt;5000,INDEX('Pliegos Tarifarios (Quilicura)'!$J:$J,MATCH($B28,'Pliegos Tarifarios (Quilicura)'!$A:$A,0)))/1.19</f>
        <v>6098.8733894957986</v>
      </c>
      <c r="R28" s="19">
        <f>INDEX('Pliegos Tarifarios (Quilicura)'!$K:$K,MATCH($B28,'Pliegos Tarifarios (Quilicura)'!$A:$A,0))</f>
        <v>710.78200000000004</v>
      </c>
      <c r="S28" s="21">
        <f t="shared" si="3"/>
        <v>370033.39942629577</v>
      </c>
      <c r="T28" s="21">
        <f t="shared" si="4"/>
        <v>70306.345890996192</v>
      </c>
      <c r="U28" s="19">
        <v>0</v>
      </c>
      <c r="V28" s="21">
        <f t="shared" si="5"/>
        <v>440339.74531729193</v>
      </c>
    </row>
    <row r="29" spans="1:22" x14ac:dyDescent="0.3">
      <c r="A29" s="3" t="s">
        <v>12</v>
      </c>
      <c r="B29" s="3">
        <v>1</v>
      </c>
      <c r="C29" s="4" t="s">
        <v>186</v>
      </c>
      <c r="D29" s="3" t="s">
        <v>212</v>
      </c>
      <c r="E29" s="3" t="s">
        <v>73</v>
      </c>
      <c r="F29" s="4" t="s">
        <v>76</v>
      </c>
      <c r="G29" s="3" t="s">
        <v>16</v>
      </c>
      <c r="H29" s="5">
        <v>1523.9313999999999</v>
      </c>
      <c r="I29" s="5">
        <v>4.2382999999999997</v>
      </c>
      <c r="J29" s="5">
        <v>3.9996999999999998</v>
      </c>
      <c r="K29" s="6">
        <v>0.94370384352216696</v>
      </c>
      <c r="L29" s="5">
        <v>49.16</v>
      </c>
      <c r="M29" s="19">
        <f>H29*INDEX('Pliegos Tarifarios (Quilicura)'!$B:$B,MATCH($B29,'Pliegos Tarifarios (Quilicura)'!$A:$A,0))</f>
        <v>181100.95971319999</v>
      </c>
      <c r="N29" s="19">
        <f>I29*INDEX('Pliegos Tarifarios (Quilicura)'!$C:$C,MATCH($B29,'Pliegos Tarifarios (Quilicura)'!$A:$A,0))</f>
        <v>14474.2564747</v>
      </c>
      <c r="O29" s="19">
        <f>J29*INDEX('Pliegos Tarifarios (Quilicura)'!$D:$D,MATCH($B29,'Pliegos Tarifarios (Quilicura)'!$A:$A,0))</f>
        <v>56422.188018499997</v>
      </c>
      <c r="P29" s="19">
        <f>H29*INDEX('Pliegos Tarifarios (Quilicura)'!$E:$E,MATCH($B29,'Pliegos Tarifarios (Quilicura)'!$A:$A,0))</f>
        <v>19707.4808648</v>
      </c>
      <c r="Q29" s="19" cm="1">
        <f t="array" ref="Q29">H29*_xlfn.IFS(H29&lt;=350,INDEX('Pliegos Tarifarios (Quilicura)'!$F:$F,MATCH($B29,'Pliegos Tarifarios (Quilicura)'!$A:$A,0)),H29&lt;=500,INDEX('Pliegos Tarifarios (Quilicura)'!$G:$G,MATCH($B29,'Pliegos Tarifarios (Quilicura)'!$A:$A,0)),H29&lt;=1000,INDEX('Pliegos Tarifarios (Quilicura)'!$H:$H,MATCH($B29,'Pliegos Tarifarios (Quilicura)'!$A:$A,0)),H29&lt;=5000,INDEX('Pliegos Tarifarios (Quilicura)'!$I:$I,MATCH($B29,'Pliegos Tarifarios (Quilicura)'!$A:$A,0)),H29&gt;5000,INDEX('Pliegos Tarifarios (Quilicura)'!$J:$J,MATCH($B29,'Pliegos Tarifarios (Quilicura)'!$A:$A,0)))/1.19</f>
        <v>4573.0748146218484</v>
      </c>
      <c r="R29" s="19">
        <f>INDEX('Pliegos Tarifarios (Quilicura)'!$K:$K,MATCH($B29,'Pliegos Tarifarios (Quilicura)'!$A:$A,0))</f>
        <v>710.78200000000004</v>
      </c>
      <c r="S29" s="21">
        <f t="shared" si="3"/>
        <v>276988.7418858218</v>
      </c>
      <c r="T29" s="21">
        <f t="shared" si="4"/>
        <v>52627.860958306141</v>
      </c>
      <c r="U29" s="19">
        <v>0</v>
      </c>
      <c r="V29" s="21">
        <f t="shared" si="5"/>
        <v>329616.60284412792</v>
      </c>
    </row>
    <row r="30" spans="1:22" x14ac:dyDescent="0.3">
      <c r="A30" s="3" t="s">
        <v>12</v>
      </c>
      <c r="B30" s="3">
        <v>1</v>
      </c>
      <c r="C30" s="4" t="s">
        <v>186</v>
      </c>
      <c r="D30" s="3" t="s">
        <v>213</v>
      </c>
      <c r="E30" s="3" t="s">
        <v>78</v>
      </c>
      <c r="F30" s="4" t="s">
        <v>79</v>
      </c>
      <c r="G30" s="3" t="s">
        <v>16</v>
      </c>
      <c r="H30" s="5">
        <v>1271.6791000000001</v>
      </c>
      <c r="I30" s="5">
        <v>3.3765000000000001</v>
      </c>
      <c r="J30" s="5">
        <v>3.2925</v>
      </c>
      <c r="K30" s="6">
        <v>0.97512216792536643</v>
      </c>
      <c r="L30" s="5">
        <v>41.02</v>
      </c>
      <c r="M30" s="19">
        <f>H30*INDEX('Pliegos Tarifarios (Quilicura)'!$B:$B,MATCH($B30,'Pliegos Tarifarios (Quilicura)'!$A:$A,0))</f>
        <v>151123.80088580001</v>
      </c>
      <c r="N30" s="19">
        <f>I30*INDEX('Pliegos Tarifarios (Quilicura)'!$C:$C,MATCH($B30,'Pliegos Tarifarios (Quilicura)'!$A:$A,0))</f>
        <v>11531.1155385</v>
      </c>
      <c r="O30" s="19">
        <f>J30*INDEX('Pliegos Tarifarios (Quilicura)'!$D:$D,MATCH($B30,'Pliegos Tarifarios (Quilicura)'!$A:$A,0))</f>
        <v>46445.996962500001</v>
      </c>
      <c r="P30" s="19">
        <f>H30*INDEX('Pliegos Tarifarios (Quilicura)'!$E:$E,MATCH($B30,'Pliegos Tarifarios (Quilicura)'!$A:$A,0))</f>
        <v>16445.354121200002</v>
      </c>
      <c r="Q30" s="19" cm="1">
        <f t="array" ref="Q30">H30*_xlfn.IFS(H30&lt;=350,INDEX('Pliegos Tarifarios (Quilicura)'!$F:$F,MATCH($B30,'Pliegos Tarifarios (Quilicura)'!$A:$A,0)),H30&lt;=500,INDEX('Pliegos Tarifarios (Quilicura)'!$G:$G,MATCH($B30,'Pliegos Tarifarios (Quilicura)'!$A:$A,0)),H30&lt;=1000,INDEX('Pliegos Tarifarios (Quilicura)'!$H:$H,MATCH($B30,'Pliegos Tarifarios (Quilicura)'!$A:$A,0)),H30&lt;=5000,INDEX('Pliegos Tarifarios (Quilicura)'!$I:$I,MATCH($B30,'Pliegos Tarifarios (Quilicura)'!$A:$A,0)),H30&gt;5000,INDEX('Pliegos Tarifarios (Quilicura)'!$J:$J,MATCH($B30,'Pliegos Tarifarios (Quilicura)'!$A:$A,0)))/1.19</f>
        <v>3816.1059378991595</v>
      </c>
      <c r="R30" s="19">
        <f>INDEX('Pliegos Tarifarios (Quilicura)'!$K:$K,MATCH($B30,'Pliegos Tarifarios (Quilicura)'!$A:$A,0))</f>
        <v>710.78200000000004</v>
      </c>
      <c r="S30" s="21">
        <f t="shared" si="3"/>
        <v>230073.15544589917</v>
      </c>
      <c r="T30" s="21">
        <f t="shared" si="4"/>
        <v>43713.89953472084</v>
      </c>
      <c r="U30" s="19">
        <v>0</v>
      </c>
      <c r="V30" s="21">
        <f t="shared" si="5"/>
        <v>273787.05498062004</v>
      </c>
    </row>
    <row r="31" spans="1:22" x14ac:dyDescent="0.3">
      <c r="A31" s="3" t="s">
        <v>12</v>
      </c>
      <c r="B31" s="3">
        <v>1</v>
      </c>
      <c r="C31" s="4" t="s">
        <v>186</v>
      </c>
      <c r="D31" s="3" t="s">
        <v>214</v>
      </c>
      <c r="E31" s="3" t="s">
        <v>78</v>
      </c>
      <c r="F31" s="4" t="s">
        <v>81</v>
      </c>
      <c r="G31" s="3" t="s">
        <v>16</v>
      </c>
      <c r="H31" s="5">
        <v>850.70280000000002</v>
      </c>
      <c r="I31" s="5">
        <v>2.2458</v>
      </c>
      <c r="J31" s="5">
        <v>2.2105000000000001</v>
      </c>
      <c r="K31" s="6">
        <v>0.98428177041588749</v>
      </c>
      <c r="L31" s="5">
        <v>27.44</v>
      </c>
      <c r="M31" s="19">
        <f>H31*INDEX('Pliegos Tarifarios (Quilicura)'!$B:$B,MATCH($B31,'Pliegos Tarifarios (Quilicura)'!$A:$A,0))</f>
        <v>101095.81934639999</v>
      </c>
      <c r="N31" s="19">
        <f>I31*INDEX('Pliegos Tarifarios (Quilicura)'!$C:$C,MATCH($B31,'Pliegos Tarifarios (Quilicura)'!$A:$A,0))</f>
        <v>7669.6517922000003</v>
      </c>
      <c r="O31" s="19">
        <f>J31*INDEX('Pliegos Tarifarios (Quilicura)'!$D:$D,MATCH($B31,'Pliegos Tarifarios (Quilicura)'!$A:$A,0))</f>
        <v>31182.650352500001</v>
      </c>
      <c r="P31" s="19">
        <f>H31*INDEX('Pliegos Tarifarios (Quilicura)'!$E:$E,MATCH($B31,'Pliegos Tarifarios (Quilicura)'!$A:$A,0))</f>
        <v>11001.2886096</v>
      </c>
      <c r="Q31" s="19" cm="1">
        <f t="array" ref="Q31">H31*_xlfn.IFS(H31&lt;=350,INDEX('Pliegos Tarifarios (Quilicura)'!$F:$F,MATCH($B31,'Pliegos Tarifarios (Quilicura)'!$A:$A,0)),H31&lt;=500,INDEX('Pliegos Tarifarios (Quilicura)'!$G:$G,MATCH($B31,'Pliegos Tarifarios (Quilicura)'!$A:$A,0)),H31&lt;=1000,INDEX('Pliegos Tarifarios (Quilicura)'!$H:$H,MATCH($B31,'Pliegos Tarifarios (Quilicura)'!$A:$A,0)),H31&lt;=5000,INDEX('Pliegos Tarifarios (Quilicura)'!$I:$I,MATCH($B31,'Pliegos Tarifarios (Quilicura)'!$A:$A,0)),H31&gt;5000,INDEX('Pliegos Tarifarios (Quilicura)'!$J:$J,MATCH($B31,'Pliegos Tarifarios (Quilicura)'!$A:$A,0)))/1.19</f>
        <v>1995.2197603361346</v>
      </c>
      <c r="R31" s="19">
        <f>INDEX('Pliegos Tarifarios (Quilicura)'!$K:$K,MATCH($B31,'Pliegos Tarifarios (Quilicura)'!$A:$A,0))</f>
        <v>710.78200000000004</v>
      </c>
      <c r="S31" s="21">
        <f t="shared" si="3"/>
        <v>153655.41186103612</v>
      </c>
      <c r="T31" s="21">
        <f t="shared" si="4"/>
        <v>29194.528253596862</v>
      </c>
      <c r="U31" s="19">
        <v>0</v>
      </c>
      <c r="V31" s="21">
        <f t="shared" si="5"/>
        <v>182849.94011463298</v>
      </c>
    </row>
    <row r="32" spans="1:22" x14ac:dyDescent="0.3">
      <c r="A32" s="3" t="s">
        <v>12</v>
      </c>
      <c r="B32" s="3">
        <v>1</v>
      </c>
      <c r="C32" s="4" t="s">
        <v>186</v>
      </c>
      <c r="D32" s="3" t="s">
        <v>215</v>
      </c>
      <c r="E32" s="3" t="s">
        <v>78</v>
      </c>
      <c r="F32" s="4" t="s">
        <v>83</v>
      </c>
      <c r="G32" s="3" t="s">
        <v>16</v>
      </c>
      <c r="H32" s="5">
        <v>849.13789999999995</v>
      </c>
      <c r="I32" s="5">
        <v>2.2593999999999999</v>
      </c>
      <c r="J32" s="5">
        <v>2.2593999999999999</v>
      </c>
      <c r="K32" s="6">
        <v>1</v>
      </c>
      <c r="L32" s="5">
        <v>27.39</v>
      </c>
      <c r="M32" s="19">
        <f>H32*INDEX('Pliegos Tarifarios (Quilicura)'!$B:$B,MATCH($B32,'Pliegos Tarifarios (Quilicura)'!$A:$A,0))</f>
        <v>100909.84976019998</v>
      </c>
      <c r="N32" s="19">
        <f>I32*INDEX('Pliegos Tarifarios (Quilicura)'!$C:$C,MATCH($B32,'Pliegos Tarifarios (Quilicura)'!$A:$A,0))</f>
        <v>7716.0972745999998</v>
      </c>
      <c r="O32" s="19">
        <f>J32*INDEX('Pliegos Tarifarios (Quilicura)'!$D:$D,MATCH($B32,'Pliegos Tarifarios (Quilicura)'!$A:$A,0))</f>
        <v>31872.463336999997</v>
      </c>
      <c r="P32" s="19">
        <f>H32*INDEX('Pliegos Tarifarios (Quilicura)'!$E:$E,MATCH($B32,'Pliegos Tarifarios (Quilicura)'!$A:$A,0))</f>
        <v>10981.0513228</v>
      </c>
      <c r="Q32" s="19" cm="1">
        <f t="array" ref="Q32">H32*_xlfn.IFS(H32&lt;=350,INDEX('Pliegos Tarifarios (Quilicura)'!$F:$F,MATCH($B32,'Pliegos Tarifarios (Quilicura)'!$A:$A,0)),H32&lt;=500,INDEX('Pliegos Tarifarios (Quilicura)'!$G:$G,MATCH($B32,'Pliegos Tarifarios (Quilicura)'!$A:$A,0)),H32&lt;=1000,INDEX('Pliegos Tarifarios (Quilicura)'!$H:$H,MATCH($B32,'Pliegos Tarifarios (Quilicura)'!$A:$A,0)),H32&lt;=5000,INDEX('Pliegos Tarifarios (Quilicura)'!$I:$I,MATCH($B32,'Pliegos Tarifarios (Quilicura)'!$A:$A,0)),H32&gt;5000,INDEX('Pliegos Tarifarios (Quilicura)'!$J:$J,MATCH($B32,'Pliegos Tarifarios (Quilicura)'!$A:$A,0)))/1.19</f>
        <v>1991.549478067227</v>
      </c>
      <c r="R32" s="19">
        <f>INDEX('Pliegos Tarifarios (Quilicura)'!$K:$K,MATCH($B32,'Pliegos Tarifarios (Quilicura)'!$A:$A,0))</f>
        <v>710.78200000000004</v>
      </c>
      <c r="S32" s="21">
        <f t="shared" si="3"/>
        <v>154181.79317266721</v>
      </c>
      <c r="T32" s="21">
        <f t="shared" si="4"/>
        <v>29294.540702806771</v>
      </c>
      <c r="U32" s="19">
        <v>0</v>
      </c>
      <c r="V32" s="21">
        <f t="shared" si="5"/>
        <v>183476.333875474</v>
      </c>
    </row>
    <row r="33" spans="1:22" x14ac:dyDescent="0.3">
      <c r="A33" s="3" t="s">
        <v>12</v>
      </c>
      <c r="B33" s="3">
        <v>1</v>
      </c>
      <c r="C33" s="4" t="s">
        <v>186</v>
      </c>
      <c r="D33" s="3" t="s">
        <v>216</v>
      </c>
      <c r="E33" s="3" t="s">
        <v>78</v>
      </c>
      <c r="F33" s="4" t="s">
        <v>85</v>
      </c>
      <c r="G33" s="3" t="s">
        <v>16</v>
      </c>
      <c r="H33" s="5">
        <v>1017.9379</v>
      </c>
      <c r="I33" s="5">
        <v>2.6974</v>
      </c>
      <c r="J33" s="5">
        <v>2.6364999999999998</v>
      </c>
      <c r="K33" s="6">
        <v>0.97742270334396075</v>
      </c>
      <c r="L33" s="5">
        <v>32.840000000000003</v>
      </c>
      <c r="M33" s="19">
        <f>H33*INDEX('Pliegos Tarifarios (Quilicura)'!$B:$B,MATCH($B33,'Pliegos Tarifarios (Quilicura)'!$A:$A,0))</f>
        <v>120969.7041602</v>
      </c>
      <c r="N33" s="19">
        <f>I33*INDEX('Pliegos Tarifarios (Quilicura)'!$C:$C,MATCH($B33,'Pliegos Tarifarios (Quilicura)'!$A:$A,0))</f>
        <v>9211.9150165999999</v>
      </c>
      <c r="O33" s="19">
        <f>J33*INDEX('Pliegos Tarifarios (Quilicura)'!$D:$D,MATCH($B33,'Pliegos Tarifarios (Quilicura)'!$A:$A,0))</f>
        <v>37192.064082499994</v>
      </c>
      <c r="P33" s="19">
        <f>H33*INDEX('Pliegos Tarifarios (Quilicura)'!$E:$E,MATCH($B33,'Pliegos Tarifarios (Quilicura)'!$A:$A,0))</f>
        <v>13163.972922800001</v>
      </c>
      <c r="Q33" s="19" cm="1">
        <f t="array" ref="Q33">H33*_xlfn.IFS(H33&lt;=350,INDEX('Pliegos Tarifarios (Quilicura)'!$F:$F,MATCH($B33,'Pliegos Tarifarios (Quilicura)'!$A:$A,0)),H33&lt;=500,INDEX('Pliegos Tarifarios (Quilicura)'!$G:$G,MATCH($B33,'Pliegos Tarifarios (Quilicura)'!$A:$A,0)),H33&lt;=1000,INDEX('Pliegos Tarifarios (Quilicura)'!$H:$H,MATCH($B33,'Pliegos Tarifarios (Quilicura)'!$A:$A,0)),H33&lt;=5000,INDEX('Pliegos Tarifarios (Quilicura)'!$I:$I,MATCH($B33,'Pliegos Tarifarios (Quilicura)'!$A:$A,0)),H33&gt;5000,INDEX('Pliegos Tarifarios (Quilicura)'!$J:$J,MATCH($B33,'Pliegos Tarifarios (Quilicura)'!$A:$A,0)))/1.19</f>
        <v>3054.6691100000003</v>
      </c>
      <c r="R33" s="19">
        <f>INDEX('Pliegos Tarifarios (Quilicura)'!$K:$K,MATCH($B33,'Pliegos Tarifarios (Quilicura)'!$A:$A,0))</f>
        <v>710.78200000000004</v>
      </c>
      <c r="S33" s="21">
        <f t="shared" si="3"/>
        <v>184303.10729209997</v>
      </c>
      <c r="T33" s="21">
        <f t="shared" si="4"/>
        <v>35017.590385498996</v>
      </c>
      <c r="U33" s="19">
        <v>0</v>
      </c>
      <c r="V33" s="21">
        <f t="shared" si="5"/>
        <v>219320.69767759898</v>
      </c>
    </row>
    <row r="34" spans="1:22" x14ac:dyDescent="0.3">
      <c r="A34" s="3" t="s">
        <v>12</v>
      </c>
      <c r="B34" s="3">
        <v>1</v>
      </c>
      <c r="C34" s="4" t="s">
        <v>186</v>
      </c>
      <c r="D34" s="3" t="s">
        <v>217</v>
      </c>
      <c r="E34" s="3" t="s">
        <v>78</v>
      </c>
      <c r="F34" s="4" t="s">
        <v>87</v>
      </c>
      <c r="G34" s="3" t="s">
        <v>16</v>
      </c>
      <c r="H34" s="5">
        <v>1017.4768</v>
      </c>
      <c r="I34" s="5">
        <v>2.7362000000000002</v>
      </c>
      <c r="J34" s="5">
        <v>2.726</v>
      </c>
      <c r="K34" s="6">
        <v>0.9962722023243914</v>
      </c>
      <c r="L34" s="5">
        <v>32.82</v>
      </c>
      <c r="M34" s="19">
        <f>H34*INDEX('Pliegos Tarifarios (Quilicura)'!$B:$B,MATCH($B34,'Pliegos Tarifarios (Quilicura)'!$A:$A,0))</f>
        <v>120914.9079584</v>
      </c>
      <c r="N34" s="19">
        <f>I34*INDEX('Pliegos Tarifarios (Quilicura)'!$C:$C,MATCH($B34,'Pliegos Tarifarios (Quilicura)'!$A:$A,0))</f>
        <v>9344.4212458000002</v>
      </c>
      <c r="O34" s="19">
        <f>J34*INDEX('Pliegos Tarifarios (Quilicura)'!$D:$D,MATCH($B34,'Pliegos Tarifarios (Quilicura)'!$A:$A,0))</f>
        <v>38454.605230000001</v>
      </c>
      <c r="P34" s="19">
        <f>H34*INDEX('Pliegos Tarifarios (Quilicura)'!$E:$E,MATCH($B34,'Pliegos Tarifarios (Quilicura)'!$A:$A,0))</f>
        <v>13158.009977600001</v>
      </c>
      <c r="Q34" s="19" cm="1">
        <f t="array" ref="Q34">H34*_xlfn.IFS(H34&lt;=350,INDEX('Pliegos Tarifarios (Quilicura)'!$F:$F,MATCH($B34,'Pliegos Tarifarios (Quilicura)'!$A:$A,0)),H34&lt;=500,INDEX('Pliegos Tarifarios (Quilicura)'!$G:$G,MATCH($B34,'Pliegos Tarifarios (Quilicura)'!$A:$A,0)),H34&lt;=1000,INDEX('Pliegos Tarifarios (Quilicura)'!$H:$H,MATCH($B34,'Pliegos Tarifarios (Quilicura)'!$A:$A,0)),H34&lt;=5000,INDEX('Pliegos Tarifarios (Quilicura)'!$I:$I,MATCH($B34,'Pliegos Tarifarios (Quilicura)'!$A:$A,0)),H34&gt;5000,INDEX('Pliegos Tarifarios (Quilicura)'!$J:$J,MATCH($B34,'Pliegos Tarifarios (Quilicura)'!$A:$A,0)))/1.19</f>
        <v>3053.2854225210085</v>
      </c>
      <c r="R34" s="19">
        <f>INDEX('Pliegos Tarifarios (Quilicura)'!$K:$K,MATCH($B34,'Pliegos Tarifarios (Quilicura)'!$A:$A,0))</f>
        <v>710.78200000000004</v>
      </c>
      <c r="S34" s="21">
        <f t="shared" si="3"/>
        <v>185636.01183432102</v>
      </c>
      <c r="T34" s="21">
        <f t="shared" si="4"/>
        <v>35270.842248520996</v>
      </c>
      <c r="U34" s="19">
        <v>0</v>
      </c>
      <c r="V34" s="21">
        <f t="shared" si="5"/>
        <v>220906.85408284201</v>
      </c>
    </row>
    <row r="35" spans="1:22" x14ac:dyDescent="0.3">
      <c r="A35" s="3" t="s">
        <v>12</v>
      </c>
      <c r="B35" s="3">
        <v>1</v>
      </c>
      <c r="C35" s="4" t="s">
        <v>186</v>
      </c>
      <c r="D35" s="3" t="s">
        <v>218</v>
      </c>
      <c r="E35" s="3" t="s">
        <v>78</v>
      </c>
      <c r="F35" s="4" t="s">
        <v>89</v>
      </c>
      <c r="G35" s="3" t="s">
        <v>16</v>
      </c>
      <c r="H35" s="5">
        <v>1272.8945000000001</v>
      </c>
      <c r="I35" s="5">
        <v>3.3834</v>
      </c>
      <c r="J35" s="5">
        <v>3.3422000000000001</v>
      </c>
      <c r="K35" s="6">
        <v>0.98782290004137852</v>
      </c>
      <c r="L35" s="5">
        <v>41.06</v>
      </c>
      <c r="M35" s="19">
        <f>H35*INDEX('Pliegos Tarifarios (Quilicura)'!$B:$B,MATCH($B35,'Pliegos Tarifarios (Quilicura)'!$A:$A,0))</f>
        <v>151268.23659099999</v>
      </c>
      <c r="N35" s="19">
        <f>I35*INDEX('Pliegos Tarifarios (Quilicura)'!$C:$C,MATCH($B35,'Pliegos Tarifarios (Quilicura)'!$A:$A,0))</f>
        <v>11554.679790599999</v>
      </c>
      <c r="O35" s="19">
        <f>J35*INDEX('Pliegos Tarifarios (Quilicura)'!$D:$D,MATCH($B35,'Pliegos Tarifarios (Quilicura)'!$A:$A,0))</f>
        <v>47147.095230999999</v>
      </c>
      <c r="P35" s="19">
        <f>H35*INDEX('Pliegos Tarifarios (Quilicura)'!$E:$E,MATCH($B35,'Pliegos Tarifarios (Quilicura)'!$A:$A,0))</f>
        <v>16461.071674000003</v>
      </c>
      <c r="Q35" s="19" cm="1">
        <f t="array" ref="Q35">H35*_xlfn.IFS(H35&lt;=350,INDEX('Pliegos Tarifarios (Quilicura)'!$F:$F,MATCH($B35,'Pliegos Tarifarios (Quilicura)'!$A:$A,0)),H35&lt;=500,INDEX('Pliegos Tarifarios (Quilicura)'!$G:$G,MATCH($B35,'Pliegos Tarifarios (Quilicura)'!$A:$A,0)),H35&lt;=1000,INDEX('Pliegos Tarifarios (Quilicura)'!$H:$H,MATCH($B35,'Pliegos Tarifarios (Quilicura)'!$A:$A,0)),H35&lt;=5000,INDEX('Pliegos Tarifarios (Quilicura)'!$I:$I,MATCH($B35,'Pliegos Tarifarios (Quilicura)'!$A:$A,0)),H35&gt;5000,INDEX('Pliegos Tarifarios (Quilicura)'!$J:$J,MATCH($B35,'Pliegos Tarifarios (Quilicura)'!$A:$A,0)))/1.19</f>
        <v>3819.7531592436976</v>
      </c>
      <c r="R35" s="19">
        <f>INDEX('Pliegos Tarifarios (Quilicura)'!$K:$K,MATCH($B35,'Pliegos Tarifarios (Quilicura)'!$A:$A,0))</f>
        <v>710.78200000000004</v>
      </c>
      <c r="S35" s="21">
        <f t="shared" si="3"/>
        <v>230961.61844584372</v>
      </c>
      <c r="T35" s="21">
        <f t="shared" si="4"/>
        <v>43882.707504710306</v>
      </c>
      <c r="U35" s="19">
        <v>0</v>
      </c>
      <c r="V35" s="21">
        <f t="shared" si="5"/>
        <v>274844.32595055405</v>
      </c>
    </row>
    <row r="36" spans="1:22" x14ac:dyDescent="0.3">
      <c r="A36" s="3" t="s">
        <v>12</v>
      </c>
      <c r="B36" s="3">
        <v>1</v>
      </c>
      <c r="C36" s="4" t="s">
        <v>186</v>
      </c>
      <c r="D36" s="3" t="s">
        <v>219</v>
      </c>
      <c r="E36" s="3" t="s">
        <v>91</v>
      </c>
      <c r="F36" s="4" t="s">
        <v>92</v>
      </c>
      <c r="G36" s="3" t="s">
        <v>16</v>
      </c>
      <c r="H36" s="5">
        <v>1017.2651</v>
      </c>
      <c r="I36" s="5">
        <v>2.7195999999999998</v>
      </c>
      <c r="J36" s="5">
        <v>2.6798999999999999</v>
      </c>
      <c r="K36" s="6">
        <v>0.98540226503897632</v>
      </c>
      <c r="L36" s="5">
        <v>32.82</v>
      </c>
      <c r="M36" s="19">
        <f>H36*INDEX('Pliegos Tarifarios (Quilicura)'!$B:$B,MATCH($B36,'Pliegos Tarifarios (Quilicura)'!$A:$A,0))</f>
        <v>120889.74995379998</v>
      </c>
      <c r="N36" s="19">
        <f>I36*INDEX('Pliegos Tarifarios (Quilicura)'!$C:$C,MATCH($B36,'Pliegos Tarifarios (Quilicura)'!$A:$A,0))</f>
        <v>9287.7304363999992</v>
      </c>
      <c r="O36" s="19">
        <f>J36*INDEX('Pliegos Tarifarios (Quilicura)'!$D:$D,MATCH($B36,'Pliegos Tarifarios (Quilicura)'!$A:$A,0))</f>
        <v>37804.2907395</v>
      </c>
      <c r="P36" s="19">
        <f>H36*INDEX('Pliegos Tarifarios (Quilicura)'!$E:$E,MATCH($B36,'Pliegos Tarifarios (Quilicura)'!$A:$A,0))</f>
        <v>13155.2722732</v>
      </c>
      <c r="Q36" s="19" cm="1">
        <f t="array" ref="Q36">H36*_xlfn.IFS(H36&lt;=350,INDEX('Pliegos Tarifarios (Quilicura)'!$F:$F,MATCH($B36,'Pliegos Tarifarios (Quilicura)'!$A:$A,0)),H36&lt;=500,INDEX('Pliegos Tarifarios (Quilicura)'!$G:$G,MATCH($B36,'Pliegos Tarifarios (Quilicura)'!$A:$A,0)),H36&lt;=1000,INDEX('Pliegos Tarifarios (Quilicura)'!$H:$H,MATCH($B36,'Pliegos Tarifarios (Quilicura)'!$A:$A,0)),H36&lt;=5000,INDEX('Pliegos Tarifarios (Quilicura)'!$I:$I,MATCH($B36,'Pliegos Tarifarios (Quilicura)'!$A:$A,0)),H36&gt;5000,INDEX('Pliegos Tarifarios (Quilicura)'!$J:$J,MATCH($B36,'Pliegos Tarifarios (Quilicura)'!$A:$A,0)))/1.19</f>
        <v>3052.6501446218485</v>
      </c>
      <c r="R36" s="19">
        <f>INDEX('Pliegos Tarifarios (Quilicura)'!$K:$K,MATCH($B36,'Pliegos Tarifarios (Quilicura)'!$A:$A,0))</f>
        <v>710.78200000000004</v>
      </c>
      <c r="S36" s="21">
        <f t="shared" si="3"/>
        <v>184900.47554752184</v>
      </c>
      <c r="T36" s="21">
        <f t="shared" si="4"/>
        <v>35131.090354029147</v>
      </c>
      <c r="U36" s="19">
        <v>0</v>
      </c>
      <c r="V36" s="21">
        <f t="shared" si="5"/>
        <v>220031.56590155099</v>
      </c>
    </row>
    <row r="37" spans="1:22" x14ac:dyDescent="0.3">
      <c r="A37" s="3" t="s">
        <v>12</v>
      </c>
      <c r="B37" s="3">
        <v>1</v>
      </c>
      <c r="C37" s="4" t="s">
        <v>186</v>
      </c>
      <c r="D37" s="3" t="s">
        <v>220</v>
      </c>
      <c r="E37" s="3" t="s">
        <v>94</v>
      </c>
      <c r="F37" s="4" t="s">
        <v>95</v>
      </c>
      <c r="G37" s="3" t="s">
        <v>16</v>
      </c>
      <c r="H37" s="5">
        <v>762.98869999999999</v>
      </c>
      <c r="I37" s="5">
        <v>2.0333999999999999</v>
      </c>
      <c r="J37" s="5">
        <v>2.0105</v>
      </c>
      <c r="K37" s="6">
        <v>0.98873807416150294</v>
      </c>
      <c r="L37" s="5">
        <v>24.61</v>
      </c>
      <c r="M37" s="19">
        <f>H37*INDEX('Pliegos Tarifarios (Quilicura)'!$B:$B,MATCH($B37,'Pliegos Tarifarios (Quilicura)'!$A:$A,0))</f>
        <v>90672.051130599997</v>
      </c>
      <c r="N37" s="19">
        <f>I37*INDEX('Pliegos Tarifarios (Quilicura)'!$C:$C,MATCH($B37,'Pliegos Tarifarios (Quilicura)'!$A:$A,0))</f>
        <v>6944.2826405999995</v>
      </c>
      <c r="O37" s="19">
        <f>J37*INDEX('Pliegos Tarifarios (Quilicura)'!$D:$D,MATCH($B37,'Pliegos Tarifarios (Quilicura)'!$A:$A,0))</f>
        <v>28361.329352499997</v>
      </c>
      <c r="P37" s="19">
        <f>H37*INDEX('Pliegos Tarifarios (Quilicura)'!$E:$E,MATCH($B37,'Pliegos Tarifarios (Quilicura)'!$A:$A,0))</f>
        <v>9866.9698683999995</v>
      </c>
      <c r="Q37" s="19" cm="1">
        <f t="array" ref="Q37">H37*_xlfn.IFS(H37&lt;=350,INDEX('Pliegos Tarifarios (Quilicura)'!$F:$F,MATCH($B37,'Pliegos Tarifarios (Quilicura)'!$A:$A,0)),H37&lt;=500,INDEX('Pliegos Tarifarios (Quilicura)'!$G:$G,MATCH($B37,'Pliegos Tarifarios (Quilicura)'!$A:$A,0)),H37&lt;=1000,INDEX('Pliegos Tarifarios (Quilicura)'!$H:$H,MATCH($B37,'Pliegos Tarifarios (Quilicura)'!$A:$A,0)),H37&lt;=5000,INDEX('Pliegos Tarifarios (Quilicura)'!$I:$I,MATCH($B37,'Pliegos Tarifarios (Quilicura)'!$A:$A,0)),H37&gt;5000,INDEX('Pliegos Tarifarios (Quilicura)'!$J:$J,MATCH($B37,'Pliegos Tarifarios (Quilicura)'!$A:$A,0)))/1.19</f>
        <v>1789.4970266386556</v>
      </c>
      <c r="R37" s="19">
        <f>INDEX('Pliegos Tarifarios (Quilicura)'!$K:$K,MATCH($B37,'Pliegos Tarifarios (Quilicura)'!$A:$A,0))</f>
        <v>710.78200000000004</v>
      </c>
      <c r="S37" s="21">
        <f t="shared" si="3"/>
        <v>138344.91201873863</v>
      </c>
      <c r="T37" s="21">
        <f t="shared" si="4"/>
        <v>26285.53328356034</v>
      </c>
      <c r="U37" s="19">
        <v>0</v>
      </c>
      <c r="V37" s="21">
        <f t="shared" si="5"/>
        <v>164630.44530229896</v>
      </c>
    </row>
    <row r="38" spans="1:22" x14ac:dyDescent="0.3">
      <c r="A38" s="3" t="s">
        <v>12</v>
      </c>
      <c r="B38" s="3">
        <v>1</v>
      </c>
      <c r="C38" s="4" t="s">
        <v>186</v>
      </c>
      <c r="D38" s="3" t="s">
        <v>221</v>
      </c>
      <c r="E38" s="3" t="s">
        <v>91</v>
      </c>
      <c r="F38" s="4" t="s">
        <v>97</v>
      </c>
      <c r="G38" s="3" t="s">
        <v>16</v>
      </c>
      <c r="H38" s="5">
        <v>762.80269999999996</v>
      </c>
      <c r="I38" s="5">
        <v>2.0257999999999998</v>
      </c>
      <c r="J38" s="5">
        <v>1.9883</v>
      </c>
      <c r="K38" s="6">
        <v>0.98148879455030114</v>
      </c>
      <c r="L38" s="5">
        <v>24.61</v>
      </c>
      <c r="M38" s="19">
        <f>H38*INDEX('Pliegos Tarifarios (Quilicura)'!$B:$B,MATCH($B38,'Pliegos Tarifarios (Quilicura)'!$A:$A,0))</f>
        <v>90649.947262599992</v>
      </c>
      <c r="N38" s="19">
        <f>I38*INDEX('Pliegos Tarifarios (Quilicura)'!$C:$C,MATCH($B38,'Pliegos Tarifarios (Quilicura)'!$A:$A,0))</f>
        <v>6918.3278121999992</v>
      </c>
      <c r="O38" s="19">
        <f>J38*INDEX('Pliegos Tarifarios (Quilicura)'!$D:$D,MATCH($B38,'Pliegos Tarifarios (Quilicura)'!$A:$A,0))</f>
        <v>28048.162721499997</v>
      </c>
      <c r="P38" s="19">
        <f>H38*INDEX('Pliegos Tarifarios (Quilicura)'!$E:$E,MATCH($B38,'Pliegos Tarifarios (Quilicura)'!$A:$A,0))</f>
        <v>9864.5645163999998</v>
      </c>
      <c r="Q38" s="19" cm="1">
        <f t="array" ref="Q38">H38*_xlfn.IFS(H38&lt;=350,INDEX('Pliegos Tarifarios (Quilicura)'!$F:$F,MATCH($B38,'Pliegos Tarifarios (Quilicura)'!$A:$A,0)),H38&lt;=500,INDEX('Pliegos Tarifarios (Quilicura)'!$G:$G,MATCH($B38,'Pliegos Tarifarios (Quilicura)'!$A:$A,0)),H38&lt;=1000,INDEX('Pliegos Tarifarios (Quilicura)'!$H:$H,MATCH($B38,'Pliegos Tarifarios (Quilicura)'!$A:$A,0)),H38&lt;=5000,INDEX('Pliegos Tarifarios (Quilicura)'!$I:$I,MATCH($B38,'Pliegos Tarifarios (Quilicura)'!$A:$A,0)),H38&gt;5000,INDEX('Pliegos Tarifarios (Quilicura)'!$J:$J,MATCH($B38,'Pliegos Tarifarios (Quilicura)'!$A:$A,0)))/1.19</f>
        <v>1789.0607863025211</v>
      </c>
      <c r="R38" s="19">
        <f>INDEX('Pliegos Tarifarios (Quilicura)'!$K:$K,MATCH($B38,'Pliegos Tarifarios (Quilicura)'!$A:$A,0))</f>
        <v>710.78200000000004</v>
      </c>
      <c r="S38" s="21">
        <f t="shared" si="3"/>
        <v>137980.8450990025</v>
      </c>
      <c r="T38" s="21">
        <f t="shared" si="4"/>
        <v>26216.360568810476</v>
      </c>
      <c r="U38" s="19">
        <v>0</v>
      </c>
      <c r="V38" s="21">
        <f t="shared" si="5"/>
        <v>164197.20566781299</v>
      </c>
    </row>
    <row r="39" spans="1:22" x14ac:dyDescent="0.3">
      <c r="A39" s="3" t="s">
        <v>12</v>
      </c>
      <c r="B39" s="3">
        <v>1</v>
      </c>
      <c r="C39" s="4" t="s">
        <v>186</v>
      </c>
      <c r="D39" s="3" t="s">
        <v>222</v>
      </c>
      <c r="E39" s="3" t="s">
        <v>99</v>
      </c>
      <c r="F39" s="4" t="s">
        <v>100</v>
      </c>
      <c r="G39" s="3" t="s">
        <v>16</v>
      </c>
      <c r="H39" s="5">
        <v>3813.7415000000001</v>
      </c>
      <c r="I39" s="5">
        <v>10.2075</v>
      </c>
      <c r="J39" s="5">
        <v>10.186299999999999</v>
      </c>
      <c r="K39" s="6">
        <v>0.99792309576291938</v>
      </c>
      <c r="L39" s="5">
        <v>123.02</v>
      </c>
      <c r="M39" s="19">
        <f>H39*INDEX('Pliegos Tarifarios (Quilicura)'!$B:$B,MATCH($B39,'Pliegos Tarifarios (Quilicura)'!$A:$A,0))</f>
        <v>453217.41237699997</v>
      </c>
      <c r="N39" s="19">
        <f>I39*INDEX('Pliegos Tarifarios (Quilicura)'!$C:$C,MATCH($B39,'Pliegos Tarifarios (Quilicura)'!$A:$A,0))</f>
        <v>34859.725117499998</v>
      </c>
      <c r="O39" s="19">
        <f>J39*INDEX('Pliegos Tarifarios (Quilicura)'!$D:$D,MATCH($B39,'Pliegos Tarifarios (Quilicura)'!$A:$A,0))</f>
        <v>143694.11051149998</v>
      </c>
      <c r="P39" s="19">
        <f>H39*INDEX('Pliegos Tarifarios (Quilicura)'!$E:$E,MATCH($B39,'Pliegos Tarifarios (Quilicura)'!$A:$A,0))</f>
        <v>49319.305078000005</v>
      </c>
      <c r="Q39" s="19" cm="1">
        <f t="array" ref="Q39">H39*_xlfn.IFS(H39&lt;=350,INDEX('Pliegos Tarifarios (Quilicura)'!$F:$F,MATCH($B39,'Pliegos Tarifarios (Quilicura)'!$A:$A,0)),H39&lt;=500,INDEX('Pliegos Tarifarios (Quilicura)'!$G:$G,MATCH($B39,'Pliegos Tarifarios (Quilicura)'!$A:$A,0)),H39&lt;=1000,INDEX('Pliegos Tarifarios (Quilicura)'!$H:$H,MATCH($B39,'Pliegos Tarifarios (Quilicura)'!$A:$A,0)),H39&lt;=5000,INDEX('Pliegos Tarifarios (Quilicura)'!$I:$I,MATCH($B39,'Pliegos Tarifarios (Quilicura)'!$A:$A,0)),H39&gt;5000,INDEX('Pliegos Tarifarios (Quilicura)'!$J:$J,MATCH($B39,'Pliegos Tarifarios (Quilicura)'!$A:$A,0)))/1.19</f>
        <v>11444.429324789915</v>
      </c>
      <c r="R39" s="19">
        <f>INDEX('Pliegos Tarifarios (Quilicura)'!$K:$K,MATCH($B39,'Pliegos Tarifarios (Quilicura)'!$A:$A,0))</f>
        <v>710.78200000000004</v>
      </c>
      <c r="S39" s="21">
        <f t="shared" si="3"/>
        <v>693245.76440878992</v>
      </c>
      <c r="T39" s="21">
        <f t="shared" si="4"/>
        <v>131716.69523767009</v>
      </c>
      <c r="U39" s="19">
        <v>0</v>
      </c>
      <c r="V39" s="21">
        <f t="shared" si="5"/>
        <v>824962.45964646002</v>
      </c>
    </row>
    <row r="40" spans="1:22" x14ac:dyDescent="0.3">
      <c r="A40" s="3" t="s">
        <v>12</v>
      </c>
      <c r="B40" s="3">
        <v>1</v>
      </c>
      <c r="C40" s="4" t="s">
        <v>186</v>
      </c>
      <c r="D40" s="3" t="s">
        <v>223</v>
      </c>
      <c r="E40" s="3" t="s">
        <v>102</v>
      </c>
      <c r="F40" s="4" t="s">
        <v>103</v>
      </c>
      <c r="G40" s="3" t="s">
        <v>16</v>
      </c>
      <c r="H40" s="5">
        <v>3055.1916000000001</v>
      </c>
      <c r="I40" s="5">
        <v>8.5230999999999995</v>
      </c>
      <c r="J40" s="5">
        <v>8.0000999999999998</v>
      </c>
      <c r="K40" s="6">
        <v>0.93863735025988204</v>
      </c>
      <c r="L40" s="5">
        <v>98.55</v>
      </c>
      <c r="M40" s="19">
        <f>H40*INDEX('Pliegos Tarifarios (Quilicura)'!$B:$B,MATCH($B40,'Pliegos Tarifarios (Quilicura)'!$A:$A,0))</f>
        <v>363072.85936080001</v>
      </c>
      <c r="N40" s="19">
        <f>I40*INDEX('Pliegos Tarifarios (Quilicura)'!$C:$C,MATCH($B40,'Pliegos Tarifarios (Quilicura)'!$A:$A,0))</f>
        <v>29107.315517899999</v>
      </c>
      <c r="O40" s="19">
        <f>J40*INDEX('Pliegos Tarifarios (Quilicura)'!$D:$D,MATCH($B40,'Pliegos Tarifarios (Quilicura)'!$A:$A,0))</f>
        <v>112854.25066049999</v>
      </c>
      <c r="P40" s="19">
        <f>H40*INDEX('Pliegos Tarifarios (Quilicura)'!$E:$E,MATCH($B40,'Pliegos Tarifarios (Quilicura)'!$A:$A,0))</f>
        <v>39509.737771200002</v>
      </c>
      <c r="Q40" s="19" cm="1">
        <f t="array" ref="Q40">H40*_xlfn.IFS(H40&lt;=350,INDEX('Pliegos Tarifarios (Quilicura)'!$F:$F,MATCH($B40,'Pliegos Tarifarios (Quilicura)'!$A:$A,0)),H40&lt;=500,INDEX('Pliegos Tarifarios (Quilicura)'!$G:$G,MATCH($B40,'Pliegos Tarifarios (Quilicura)'!$A:$A,0)),H40&lt;=1000,INDEX('Pliegos Tarifarios (Quilicura)'!$H:$H,MATCH($B40,'Pliegos Tarifarios (Quilicura)'!$A:$A,0)),H40&lt;=5000,INDEX('Pliegos Tarifarios (Quilicura)'!$I:$I,MATCH($B40,'Pliegos Tarifarios (Quilicura)'!$A:$A,0)),H40&gt;5000,INDEX('Pliegos Tarifarios (Quilicura)'!$J:$J,MATCH($B40,'Pliegos Tarifarios (Quilicura)'!$A:$A,0)))/1.19</f>
        <v>9168.1421878991587</v>
      </c>
      <c r="R40" s="19">
        <f>INDEX('Pliegos Tarifarios (Quilicura)'!$K:$K,MATCH($B40,'Pliegos Tarifarios (Quilicura)'!$A:$A,0))</f>
        <v>710.78200000000004</v>
      </c>
      <c r="S40" s="21">
        <f t="shared" si="3"/>
        <v>554423.0874982992</v>
      </c>
      <c r="T40" s="21">
        <f t="shared" si="4"/>
        <v>105340.38662467684</v>
      </c>
      <c r="U40" s="19">
        <v>0</v>
      </c>
      <c r="V40" s="21">
        <f t="shared" si="5"/>
        <v>659763.47412297607</v>
      </c>
    </row>
    <row r="41" spans="1:22" x14ac:dyDescent="0.3">
      <c r="A41" s="3" t="s">
        <v>12</v>
      </c>
      <c r="B41" s="3">
        <v>1</v>
      </c>
      <c r="C41" s="4" t="s">
        <v>186</v>
      </c>
      <c r="D41" s="3" t="s">
        <v>224</v>
      </c>
      <c r="E41" s="3" t="s">
        <v>105</v>
      </c>
      <c r="F41" s="4" t="s">
        <v>106</v>
      </c>
      <c r="G41" s="3" t="s">
        <v>30</v>
      </c>
      <c r="H41" s="5">
        <v>1017.9829999999999</v>
      </c>
      <c r="I41" s="5">
        <v>2.6863000000000001</v>
      </c>
      <c r="J41" s="5">
        <v>2.6545000000000001</v>
      </c>
      <c r="K41" s="6">
        <v>0.98816215612552583</v>
      </c>
      <c r="L41" s="5">
        <v>32.840000000000003</v>
      </c>
      <c r="M41" s="19">
        <f>H41*INDEX('Pliegos Tarifarios (Quilicura)'!$B:$B,MATCH($B41,'Pliegos Tarifarios (Quilicura)'!$A:$A,0))</f>
        <v>120975.06375399999</v>
      </c>
      <c r="N41" s="19">
        <f>I41*INDEX('Pliegos Tarifarios (Quilicura)'!$C:$C,MATCH($B41,'Pliegos Tarifarios (Quilicura)'!$A:$A,0))</f>
        <v>9174.0073066999994</v>
      </c>
      <c r="O41" s="19">
        <f>J41*INDEX('Pliegos Tarifarios (Quilicura)'!$D:$D,MATCH($B41,'Pliegos Tarifarios (Quilicura)'!$A:$A,0))</f>
        <v>37445.982972500002</v>
      </c>
      <c r="P41" s="19">
        <f>H41*INDEX('Pliegos Tarifarios (Quilicura)'!$E:$E,MATCH($B41,'Pliegos Tarifarios (Quilicura)'!$A:$A,0))</f>
        <v>13164.556156000001</v>
      </c>
      <c r="Q41" s="19" cm="1">
        <f t="array" ref="Q41">H41*_xlfn.IFS(H41&lt;=350,INDEX('Pliegos Tarifarios (Quilicura)'!$F:$F,MATCH($B41,'Pliegos Tarifarios (Quilicura)'!$A:$A,0)),H41&lt;=500,INDEX('Pliegos Tarifarios (Quilicura)'!$G:$G,MATCH($B41,'Pliegos Tarifarios (Quilicura)'!$A:$A,0)),H41&lt;=1000,INDEX('Pliegos Tarifarios (Quilicura)'!$H:$H,MATCH($B41,'Pliegos Tarifarios (Quilicura)'!$A:$A,0)),H41&lt;=5000,INDEX('Pliegos Tarifarios (Quilicura)'!$I:$I,MATCH($B41,'Pliegos Tarifarios (Quilicura)'!$A:$A,0)),H41&gt;5000,INDEX('Pliegos Tarifarios (Quilicura)'!$J:$J,MATCH($B41,'Pliegos Tarifarios (Quilicura)'!$A:$A,0)))/1.19</f>
        <v>3054.8044478991596</v>
      </c>
      <c r="R41" s="19">
        <f>INDEX('Pliegos Tarifarios (Quilicura)'!$K:$K,MATCH($B41,'Pliegos Tarifarios (Quilicura)'!$A:$A,0))</f>
        <v>710.78200000000004</v>
      </c>
      <c r="S41" s="21">
        <f t="shared" si="3"/>
        <v>184525.19663709917</v>
      </c>
      <c r="T41" s="21">
        <f t="shared" si="4"/>
        <v>35059.787361048846</v>
      </c>
      <c r="U41" s="19">
        <v>0</v>
      </c>
      <c r="V41" s="21">
        <f t="shared" si="5"/>
        <v>219584.983998148</v>
      </c>
    </row>
    <row r="42" spans="1:22" x14ac:dyDescent="0.3">
      <c r="A42" s="3" t="s">
        <v>12</v>
      </c>
      <c r="B42" s="3">
        <v>1</v>
      </c>
      <c r="C42" s="4" t="s">
        <v>186</v>
      </c>
      <c r="D42" s="3" t="s">
        <v>225</v>
      </c>
      <c r="E42" s="3" t="s">
        <v>105</v>
      </c>
      <c r="F42" s="4" t="s">
        <v>108</v>
      </c>
      <c r="G42" s="3" t="s">
        <v>30</v>
      </c>
      <c r="H42" s="5">
        <v>1017.1658</v>
      </c>
      <c r="I42" s="5">
        <v>2.6838000000000002</v>
      </c>
      <c r="J42" s="5">
        <v>2.6315</v>
      </c>
      <c r="K42" s="6">
        <v>0.98051270586481842</v>
      </c>
      <c r="L42" s="5">
        <v>32.81</v>
      </c>
      <c r="M42" s="19">
        <f>H42*INDEX('Pliegos Tarifarios (Quilicura)'!$B:$B,MATCH($B42,'Pliegos Tarifarios (Quilicura)'!$A:$A,0))</f>
        <v>120877.94934039999</v>
      </c>
      <c r="N42" s="19">
        <f>I42*INDEX('Pliegos Tarifarios (Quilicura)'!$C:$C,MATCH($B42,'Pliegos Tarifarios (Quilicura)'!$A:$A,0))</f>
        <v>9165.4695341999995</v>
      </c>
      <c r="O42" s="19">
        <f>J42*INDEX('Pliegos Tarifarios (Quilicura)'!$D:$D,MATCH($B42,'Pliegos Tarifarios (Quilicura)'!$A:$A,0))</f>
        <v>37121.531057499997</v>
      </c>
      <c r="P42" s="19">
        <f>H42*INDEX('Pliegos Tarifarios (Quilicura)'!$E:$E,MATCH($B42,'Pliegos Tarifarios (Quilicura)'!$A:$A,0))</f>
        <v>13153.988125600001</v>
      </c>
      <c r="Q42" s="19" cm="1">
        <f t="array" ref="Q42">H42*_xlfn.IFS(H42&lt;=350,INDEX('Pliegos Tarifarios (Quilicura)'!$F:$F,MATCH($B42,'Pliegos Tarifarios (Quilicura)'!$A:$A,0)),H42&lt;=500,INDEX('Pliegos Tarifarios (Quilicura)'!$G:$G,MATCH($B42,'Pliegos Tarifarios (Quilicura)'!$A:$A,0)),H42&lt;=1000,INDEX('Pliegos Tarifarios (Quilicura)'!$H:$H,MATCH($B42,'Pliegos Tarifarios (Quilicura)'!$A:$A,0)),H42&lt;=5000,INDEX('Pliegos Tarifarios (Quilicura)'!$I:$I,MATCH($B42,'Pliegos Tarifarios (Quilicura)'!$A:$A,0)),H42&gt;5000,INDEX('Pliegos Tarifarios (Quilicura)'!$J:$J,MATCH($B42,'Pliegos Tarifarios (Quilicura)'!$A:$A,0)))/1.19</f>
        <v>3052.3521611764704</v>
      </c>
      <c r="R42" s="19">
        <f>INDEX('Pliegos Tarifarios (Quilicura)'!$K:$K,MATCH($B42,'Pliegos Tarifarios (Quilicura)'!$A:$A,0))</f>
        <v>710.78200000000004</v>
      </c>
      <c r="S42" s="21">
        <f t="shared" si="3"/>
        <v>184082.07221887648</v>
      </c>
      <c r="T42" s="21">
        <f t="shared" si="4"/>
        <v>34975.593721586534</v>
      </c>
      <c r="U42" s="19">
        <v>0</v>
      </c>
      <c r="V42" s="21">
        <f t="shared" si="5"/>
        <v>219057.66594046302</v>
      </c>
    </row>
    <row r="43" spans="1:22" x14ac:dyDescent="0.3">
      <c r="A43" s="3" t="s">
        <v>12</v>
      </c>
      <c r="B43" s="3">
        <v>1</v>
      </c>
      <c r="C43" s="4" t="s">
        <v>186</v>
      </c>
      <c r="D43" s="3" t="s">
        <v>226</v>
      </c>
      <c r="E43" s="3" t="s">
        <v>110</v>
      </c>
      <c r="F43" s="4" t="s">
        <v>111</v>
      </c>
      <c r="G43" s="3" t="s">
        <v>30</v>
      </c>
      <c r="H43" s="5">
        <v>509.14190000000002</v>
      </c>
      <c r="I43" s="5">
        <v>1.3721000000000001</v>
      </c>
      <c r="J43" s="5">
        <v>1.3289</v>
      </c>
      <c r="K43" s="6">
        <v>0.9685154143284016</v>
      </c>
      <c r="L43" s="5">
        <v>16.420000000000002</v>
      </c>
      <c r="M43" s="19">
        <f>H43*INDEX('Pliegos Tarifarios (Quilicura)'!$B:$B,MATCH($B43,'Pliegos Tarifarios (Quilicura)'!$A:$A,0))</f>
        <v>60505.405112200002</v>
      </c>
      <c r="N43" s="19">
        <f>I43*INDEX('Pliegos Tarifarios (Quilicura)'!$C:$C,MATCH($B43,'Pliegos Tarifarios (Quilicura)'!$A:$A,0))</f>
        <v>4685.8710589000002</v>
      </c>
      <c r="O43" s="19">
        <f>J43*INDEX('Pliegos Tarifarios (Quilicura)'!$D:$D,MATCH($B43,'Pliegos Tarifarios (Quilicura)'!$A:$A,0))</f>
        <v>18746.267384499999</v>
      </c>
      <c r="P43" s="19">
        <f>H43*INDEX('Pliegos Tarifarios (Quilicura)'!$E:$E,MATCH($B43,'Pliegos Tarifarios (Quilicura)'!$A:$A,0))</f>
        <v>6584.2230508000002</v>
      </c>
      <c r="Q43" s="19" cm="1">
        <f t="array" ref="Q43">H43*_xlfn.IFS(H43&lt;=350,INDEX('Pliegos Tarifarios (Quilicura)'!$F:$F,MATCH($B43,'Pliegos Tarifarios (Quilicura)'!$A:$A,0)),H43&lt;=500,INDEX('Pliegos Tarifarios (Quilicura)'!$G:$G,MATCH($B43,'Pliegos Tarifarios (Quilicura)'!$A:$A,0)),H43&lt;=1000,INDEX('Pliegos Tarifarios (Quilicura)'!$H:$H,MATCH($B43,'Pliegos Tarifarios (Quilicura)'!$A:$A,0)),H43&lt;=5000,INDEX('Pliegos Tarifarios (Quilicura)'!$I:$I,MATCH($B43,'Pliegos Tarifarios (Quilicura)'!$A:$A,0)),H43&gt;5000,INDEX('Pliegos Tarifarios (Quilicura)'!$J:$J,MATCH($B43,'Pliegos Tarifarios (Quilicura)'!$A:$A,0)))/1.19</f>
        <v>1194.1302881512609</v>
      </c>
      <c r="R43" s="19">
        <f>INDEX('Pliegos Tarifarios (Quilicura)'!$K:$K,MATCH($B43,'Pliegos Tarifarios (Quilicura)'!$A:$A,0))</f>
        <v>710.78200000000004</v>
      </c>
      <c r="S43" s="21">
        <f t="shared" si="3"/>
        <v>92426.678894551282</v>
      </c>
      <c r="T43" s="21">
        <f t="shared" si="4"/>
        <v>17561.068989964744</v>
      </c>
      <c r="U43" s="19">
        <v>0</v>
      </c>
      <c r="V43" s="21">
        <f t="shared" si="5"/>
        <v>109987.74788451602</v>
      </c>
    </row>
    <row r="44" spans="1:22" x14ac:dyDescent="0.3">
      <c r="A44" s="3" t="s">
        <v>12</v>
      </c>
      <c r="B44" s="3">
        <v>1</v>
      </c>
      <c r="C44" s="4" t="s">
        <v>186</v>
      </c>
      <c r="D44" s="3" t="s">
        <v>227</v>
      </c>
      <c r="E44" s="3" t="s">
        <v>113</v>
      </c>
      <c r="F44" s="4" t="s">
        <v>114</v>
      </c>
      <c r="G44" s="3" t="s">
        <v>30</v>
      </c>
      <c r="H44" s="5">
        <v>763.15679999999998</v>
      </c>
      <c r="I44" s="5">
        <v>2.0445000000000002</v>
      </c>
      <c r="J44" s="5">
        <v>2.0445000000000002</v>
      </c>
      <c r="K44" s="6">
        <v>1</v>
      </c>
      <c r="L44" s="5">
        <v>24.62</v>
      </c>
      <c r="M44" s="19">
        <f>H44*INDEX('Pliegos Tarifarios (Quilicura)'!$B:$B,MATCH($B44,'Pliegos Tarifarios (Quilicura)'!$A:$A,0))</f>
        <v>90692.027798399999</v>
      </c>
      <c r="N44" s="19">
        <f>I44*INDEX('Pliegos Tarifarios (Quilicura)'!$C:$C,MATCH($B44,'Pliegos Tarifarios (Quilicura)'!$A:$A,0))</f>
        <v>6982.1903505000009</v>
      </c>
      <c r="O44" s="19">
        <f>J44*INDEX('Pliegos Tarifarios (Quilicura)'!$D:$D,MATCH($B44,'Pliegos Tarifarios (Quilicura)'!$A:$A,0))</f>
        <v>28840.953922500001</v>
      </c>
      <c r="P44" s="19">
        <f>H44*INDEX('Pliegos Tarifarios (Quilicura)'!$E:$E,MATCH($B44,'Pliegos Tarifarios (Quilicura)'!$A:$A,0))</f>
        <v>9869.1437375999994</v>
      </c>
      <c r="Q44" s="19" cm="1">
        <f t="array" ref="Q44">H44*_xlfn.IFS(H44&lt;=350,INDEX('Pliegos Tarifarios (Quilicura)'!$F:$F,MATCH($B44,'Pliegos Tarifarios (Quilicura)'!$A:$A,0)),H44&lt;=500,INDEX('Pliegos Tarifarios (Quilicura)'!$G:$G,MATCH($B44,'Pliegos Tarifarios (Quilicura)'!$A:$A,0)),H44&lt;=1000,INDEX('Pliegos Tarifarios (Quilicura)'!$H:$H,MATCH($B44,'Pliegos Tarifarios (Quilicura)'!$A:$A,0)),H44&lt;=5000,INDEX('Pliegos Tarifarios (Quilicura)'!$I:$I,MATCH($B44,'Pliegos Tarifarios (Quilicura)'!$A:$A,0)),H44&gt;5000,INDEX('Pliegos Tarifarios (Quilicura)'!$J:$J,MATCH($B44,'Pliegos Tarifarios (Quilicura)'!$A:$A,0)))/1.19</f>
        <v>1789.8912847058825</v>
      </c>
      <c r="R44" s="19">
        <f>INDEX('Pliegos Tarifarios (Quilicura)'!$K:$K,MATCH($B44,'Pliegos Tarifarios (Quilicura)'!$A:$A,0))</f>
        <v>710.78200000000004</v>
      </c>
      <c r="S44" s="21">
        <f t="shared" si="3"/>
        <v>138884.9890937059</v>
      </c>
      <c r="T44" s="21">
        <f t="shared" si="4"/>
        <v>26388.147927804119</v>
      </c>
      <c r="U44" s="19">
        <v>0</v>
      </c>
      <c r="V44" s="21">
        <f t="shared" si="5"/>
        <v>165273.13702151002</v>
      </c>
    </row>
    <row r="45" spans="1:22" x14ac:dyDescent="0.3">
      <c r="A45" s="3" t="s">
        <v>12</v>
      </c>
      <c r="B45" s="3">
        <v>1</v>
      </c>
      <c r="C45" s="4" t="s">
        <v>186</v>
      </c>
      <c r="D45" s="3" t="s">
        <v>228</v>
      </c>
      <c r="E45" s="3" t="s">
        <v>116</v>
      </c>
      <c r="F45" s="4" t="s">
        <v>117</v>
      </c>
      <c r="G45" s="3" t="s">
        <v>30</v>
      </c>
      <c r="H45" s="5">
        <v>127.06480000000001</v>
      </c>
      <c r="I45" s="5">
        <v>0.34489999999999998</v>
      </c>
      <c r="J45" s="5">
        <v>0.32750000000000001</v>
      </c>
      <c r="K45" s="6">
        <v>0.9495505943751813</v>
      </c>
      <c r="L45" s="5">
        <v>4.0999999999999996</v>
      </c>
      <c r="M45" s="19">
        <f>H45*INDEX('Pliegos Tarifarios (Quilicura)'!$B:$B,MATCH($B45,'Pliegos Tarifarios (Quilicura)'!$A:$A,0))</f>
        <v>15100.126702399999</v>
      </c>
      <c r="N45" s="19">
        <f>I45*INDEX('Pliegos Tarifarios (Quilicura)'!$C:$C,MATCH($B45,'Pliegos Tarifarios (Quilicura)'!$A:$A,0))</f>
        <v>1177.8710940999999</v>
      </c>
      <c r="O45" s="19">
        <f>J45*INDEX('Pliegos Tarifarios (Quilicura)'!$D:$D,MATCH($B45,'Pliegos Tarifarios (Quilicura)'!$A:$A,0))</f>
        <v>4619.9131374999997</v>
      </c>
      <c r="P45" s="19">
        <f>H45*INDEX('Pliegos Tarifarios (Quilicura)'!$E:$E,MATCH($B45,'Pliegos Tarifarios (Quilicura)'!$A:$A,0))</f>
        <v>1643.2019936000002</v>
      </c>
      <c r="Q45" s="19" cm="1">
        <f t="array" ref="Q45">H45*_xlfn.IFS(H45&lt;=350,INDEX('Pliegos Tarifarios (Quilicura)'!$F:$F,MATCH($B45,'Pliegos Tarifarios (Quilicura)'!$A:$A,0)),H45&lt;=500,INDEX('Pliegos Tarifarios (Quilicura)'!$G:$G,MATCH($B45,'Pliegos Tarifarios (Quilicura)'!$A:$A,0)),H45&lt;=1000,INDEX('Pliegos Tarifarios (Quilicura)'!$H:$H,MATCH($B45,'Pliegos Tarifarios (Quilicura)'!$A:$A,0)),H45&lt;=5000,INDEX('Pliegos Tarifarios (Quilicura)'!$I:$I,MATCH($B45,'Pliegos Tarifarios (Quilicura)'!$A:$A,0)),H45&gt;5000,INDEX('Pliegos Tarifarios (Quilicura)'!$J:$J,MATCH($B45,'Pliegos Tarifarios (Quilicura)'!$A:$A,0)))/1.19</f>
        <v>83.713280000000012</v>
      </c>
      <c r="R45" s="19">
        <f>INDEX('Pliegos Tarifarios (Quilicura)'!$K:$K,MATCH($B45,'Pliegos Tarifarios (Quilicura)'!$A:$A,0))</f>
        <v>710.78200000000004</v>
      </c>
      <c r="S45" s="21">
        <f t="shared" si="3"/>
        <v>23335.608207599998</v>
      </c>
      <c r="T45" s="21">
        <f t="shared" si="4"/>
        <v>4433.7655594439993</v>
      </c>
      <c r="U45" s="19">
        <v>0</v>
      </c>
      <c r="V45" s="21">
        <f t="shared" si="5"/>
        <v>27769.373767043999</v>
      </c>
    </row>
    <row r="46" spans="1:22" x14ac:dyDescent="0.3">
      <c r="A46" s="3" t="s">
        <v>12</v>
      </c>
      <c r="B46" s="3">
        <v>1</v>
      </c>
      <c r="C46" s="4" t="s">
        <v>186</v>
      </c>
      <c r="D46" s="3" t="s">
        <v>229</v>
      </c>
      <c r="E46" s="3" t="s">
        <v>116</v>
      </c>
      <c r="F46" s="4" t="s">
        <v>119</v>
      </c>
      <c r="G46" s="3" t="s">
        <v>30</v>
      </c>
      <c r="H46" s="5">
        <v>127.0836</v>
      </c>
      <c r="I46" s="5">
        <v>0.33689999999999998</v>
      </c>
      <c r="J46" s="5">
        <v>0.33689999999999998</v>
      </c>
      <c r="K46" s="6">
        <v>1</v>
      </c>
      <c r="L46" s="5">
        <v>4.0999999999999996</v>
      </c>
      <c r="M46" s="19">
        <f>H46*INDEX('Pliegos Tarifarios (Quilicura)'!$B:$B,MATCH($B46,'Pliegos Tarifarios (Quilicura)'!$A:$A,0))</f>
        <v>15102.3608568</v>
      </c>
      <c r="N46" s="19">
        <f>I46*INDEX('Pliegos Tarifarios (Quilicura)'!$C:$C,MATCH($B46,'Pliegos Tarifarios (Quilicura)'!$A:$A,0))</f>
        <v>1150.5502220999999</v>
      </c>
      <c r="O46" s="19">
        <f>J46*INDEX('Pliegos Tarifarios (Quilicura)'!$D:$D,MATCH($B46,'Pliegos Tarifarios (Quilicura)'!$A:$A,0))</f>
        <v>4752.5152244999999</v>
      </c>
      <c r="P46" s="19">
        <f>H46*INDEX('Pliegos Tarifarios (Quilicura)'!$E:$E,MATCH($B46,'Pliegos Tarifarios (Quilicura)'!$A:$A,0))</f>
        <v>1643.4451152000001</v>
      </c>
      <c r="Q46" s="19" cm="1">
        <f t="array" ref="Q46">H46*_xlfn.IFS(H46&lt;=350,INDEX('Pliegos Tarifarios (Quilicura)'!$F:$F,MATCH($B46,'Pliegos Tarifarios (Quilicura)'!$A:$A,0)),H46&lt;=500,INDEX('Pliegos Tarifarios (Quilicura)'!$G:$G,MATCH($B46,'Pliegos Tarifarios (Quilicura)'!$A:$A,0)),H46&lt;=1000,INDEX('Pliegos Tarifarios (Quilicura)'!$H:$H,MATCH($B46,'Pliegos Tarifarios (Quilicura)'!$A:$A,0)),H46&lt;=5000,INDEX('Pliegos Tarifarios (Quilicura)'!$I:$I,MATCH($B46,'Pliegos Tarifarios (Quilicura)'!$A:$A,0)),H46&gt;5000,INDEX('Pliegos Tarifarios (Quilicura)'!$J:$J,MATCH($B46,'Pliegos Tarifarios (Quilicura)'!$A:$A,0)))/1.19</f>
        <v>83.725665882352956</v>
      </c>
      <c r="R46" s="19">
        <f>INDEX('Pliegos Tarifarios (Quilicura)'!$K:$K,MATCH($B46,'Pliegos Tarifarios (Quilicura)'!$A:$A,0))</f>
        <v>710.78200000000004</v>
      </c>
      <c r="S46" s="21">
        <f t="shared" si="3"/>
        <v>23443.379084482352</v>
      </c>
      <c r="T46" s="21">
        <f t="shared" si="4"/>
        <v>4454.2420260516474</v>
      </c>
      <c r="U46" s="19">
        <v>0</v>
      </c>
      <c r="V46" s="21">
        <f t="shared" si="5"/>
        <v>27897.621110534001</v>
      </c>
    </row>
    <row r="47" spans="1:22" x14ac:dyDescent="0.3">
      <c r="A47" s="3" t="s">
        <v>12</v>
      </c>
      <c r="B47" s="3">
        <v>1</v>
      </c>
      <c r="C47" s="4" t="s">
        <v>186</v>
      </c>
      <c r="D47" s="3" t="s">
        <v>230</v>
      </c>
      <c r="E47" s="3" t="s">
        <v>121</v>
      </c>
      <c r="F47" s="4" t="s">
        <v>122</v>
      </c>
      <c r="G47" s="3" t="s">
        <v>30</v>
      </c>
      <c r="H47" s="5">
        <v>127.0972</v>
      </c>
      <c r="I47" s="5">
        <v>0.35060000000000002</v>
      </c>
      <c r="J47" s="5">
        <v>0.33379999999999999</v>
      </c>
      <c r="K47" s="6">
        <v>0.95208214489446652</v>
      </c>
      <c r="L47" s="5">
        <v>4.0999999999999996</v>
      </c>
      <c r="M47" s="19">
        <f>H47*INDEX('Pliegos Tarifarios (Quilicura)'!$B:$B,MATCH($B47,'Pliegos Tarifarios (Quilicura)'!$A:$A,0))</f>
        <v>15103.9770536</v>
      </c>
      <c r="N47" s="19">
        <f>I47*INDEX('Pliegos Tarifarios (Quilicura)'!$C:$C,MATCH($B47,'Pliegos Tarifarios (Quilicura)'!$A:$A,0))</f>
        <v>1197.3372154000001</v>
      </c>
      <c r="O47" s="19">
        <f>J47*INDEX('Pliegos Tarifarios (Quilicura)'!$D:$D,MATCH($B47,'Pliegos Tarifarios (Quilicura)'!$A:$A,0))</f>
        <v>4708.7847489999995</v>
      </c>
      <c r="P47" s="19">
        <f>H47*INDEX('Pliegos Tarifarios (Quilicura)'!$E:$E,MATCH($B47,'Pliegos Tarifarios (Quilicura)'!$A:$A,0))</f>
        <v>1643.6209904</v>
      </c>
      <c r="Q47" s="19" cm="1">
        <f t="array" ref="Q47">H47*_xlfn.IFS(H47&lt;=350,INDEX('Pliegos Tarifarios (Quilicura)'!$F:$F,MATCH($B47,'Pliegos Tarifarios (Quilicura)'!$A:$A,0)),H47&lt;=500,INDEX('Pliegos Tarifarios (Quilicura)'!$G:$G,MATCH($B47,'Pliegos Tarifarios (Quilicura)'!$A:$A,0)),H47&lt;=1000,INDEX('Pliegos Tarifarios (Quilicura)'!$H:$H,MATCH($B47,'Pliegos Tarifarios (Quilicura)'!$A:$A,0)),H47&lt;=5000,INDEX('Pliegos Tarifarios (Quilicura)'!$I:$I,MATCH($B47,'Pliegos Tarifarios (Quilicura)'!$A:$A,0)),H47&gt;5000,INDEX('Pliegos Tarifarios (Quilicura)'!$J:$J,MATCH($B47,'Pliegos Tarifarios (Quilicura)'!$A:$A,0)))/1.19</f>
        <v>83.734625882352958</v>
      </c>
      <c r="R47" s="19">
        <f>INDEX('Pliegos Tarifarios (Quilicura)'!$K:$K,MATCH($B47,'Pliegos Tarifarios (Quilicura)'!$A:$A,0))</f>
        <v>710.78200000000004</v>
      </c>
      <c r="S47" s="21">
        <f t="shared" si="3"/>
        <v>23448.236634282352</v>
      </c>
      <c r="T47" s="21">
        <f t="shared" si="4"/>
        <v>4455.1649605136472</v>
      </c>
      <c r="U47" s="19">
        <v>0</v>
      </c>
      <c r="V47" s="21">
        <f t="shared" si="5"/>
        <v>27903.401594796</v>
      </c>
    </row>
    <row r="48" spans="1:22" x14ac:dyDescent="0.3">
      <c r="A48" s="3" t="s">
        <v>12</v>
      </c>
      <c r="B48" s="3">
        <v>1</v>
      </c>
      <c r="C48" s="4" t="s">
        <v>186</v>
      </c>
      <c r="D48" s="3" t="s">
        <v>231</v>
      </c>
      <c r="E48" s="3" t="s">
        <v>121</v>
      </c>
      <c r="F48" s="4" t="s">
        <v>124</v>
      </c>
      <c r="G48" s="3" t="s">
        <v>30</v>
      </c>
      <c r="H48" s="5">
        <v>127.3343</v>
      </c>
      <c r="I48" s="5">
        <v>0.34360000000000002</v>
      </c>
      <c r="J48" s="5">
        <v>0.33760000000000001</v>
      </c>
      <c r="K48" s="6">
        <v>0.98253783469150169</v>
      </c>
      <c r="L48" s="5">
        <v>4.1100000000000003</v>
      </c>
      <c r="M48" s="19">
        <f>H48*INDEX('Pliegos Tarifarios (Quilicura)'!$B:$B,MATCH($B48,'Pliegos Tarifarios (Quilicura)'!$A:$A,0))</f>
        <v>15132.1535434</v>
      </c>
      <c r="N48" s="19">
        <f>I48*INDEX('Pliegos Tarifarios (Quilicura)'!$C:$C,MATCH($B48,'Pliegos Tarifarios (Quilicura)'!$A:$A,0))</f>
        <v>1173.4314524000001</v>
      </c>
      <c r="O48" s="19">
        <f>J48*INDEX('Pliegos Tarifarios (Quilicura)'!$D:$D,MATCH($B48,'Pliegos Tarifarios (Quilicura)'!$A:$A,0))</f>
        <v>4762.3898479999998</v>
      </c>
      <c r="P48" s="19">
        <f>H48*INDEX('Pliegos Tarifarios (Quilicura)'!$E:$E,MATCH($B48,'Pliegos Tarifarios (Quilicura)'!$A:$A,0))</f>
        <v>1646.6871676000001</v>
      </c>
      <c r="Q48" s="19" cm="1">
        <f t="array" ref="Q48">H48*_xlfn.IFS(H48&lt;=350,INDEX('Pliegos Tarifarios (Quilicura)'!$F:$F,MATCH($B48,'Pliegos Tarifarios (Quilicura)'!$A:$A,0)),H48&lt;=500,INDEX('Pliegos Tarifarios (Quilicura)'!$G:$G,MATCH($B48,'Pliegos Tarifarios (Quilicura)'!$A:$A,0)),H48&lt;=1000,INDEX('Pliegos Tarifarios (Quilicura)'!$H:$H,MATCH($B48,'Pliegos Tarifarios (Quilicura)'!$A:$A,0)),H48&lt;=5000,INDEX('Pliegos Tarifarios (Quilicura)'!$I:$I,MATCH($B48,'Pliegos Tarifarios (Quilicura)'!$A:$A,0)),H48&gt;5000,INDEX('Pliegos Tarifarios (Quilicura)'!$J:$J,MATCH($B48,'Pliegos Tarifarios (Quilicura)'!$A:$A,0)))/1.19</f>
        <v>83.89083294117647</v>
      </c>
      <c r="R48" s="19">
        <f>INDEX('Pliegos Tarifarios (Quilicura)'!$K:$K,MATCH($B48,'Pliegos Tarifarios (Quilicura)'!$A:$A,0))</f>
        <v>710.78200000000004</v>
      </c>
      <c r="S48" s="21">
        <f t="shared" si="3"/>
        <v>23509.334844341174</v>
      </c>
      <c r="T48" s="21">
        <f t="shared" si="4"/>
        <v>4466.7736204248231</v>
      </c>
      <c r="U48" s="19">
        <v>0</v>
      </c>
      <c r="V48" s="21">
        <f t="shared" si="5"/>
        <v>27976.108464765995</v>
      </c>
    </row>
    <row r="49" spans="1:22" x14ac:dyDescent="0.3">
      <c r="A49" s="3" t="s">
        <v>12</v>
      </c>
      <c r="B49" s="3">
        <v>1</v>
      </c>
      <c r="C49" s="4" t="s">
        <v>186</v>
      </c>
      <c r="D49" s="3" t="s">
        <v>232</v>
      </c>
      <c r="E49" s="3" t="s">
        <v>121</v>
      </c>
      <c r="F49" s="4" t="s">
        <v>126</v>
      </c>
      <c r="G49" s="3" t="s">
        <v>30</v>
      </c>
      <c r="H49" s="5">
        <v>127.0428</v>
      </c>
      <c r="I49" s="5">
        <v>0.36130000000000001</v>
      </c>
      <c r="J49" s="5">
        <v>0.33879999999999999</v>
      </c>
      <c r="K49" s="6">
        <v>0.93772488236922225</v>
      </c>
      <c r="L49" s="5">
        <v>4.0999999999999996</v>
      </c>
      <c r="M49" s="19">
        <f>H49*INDEX('Pliegos Tarifarios (Quilicura)'!$B:$B,MATCH($B49,'Pliegos Tarifarios (Quilicura)'!$A:$A,0))</f>
        <v>15097.512266399999</v>
      </c>
      <c r="N49" s="19">
        <f>I49*INDEX('Pliegos Tarifarios (Quilicura)'!$C:$C,MATCH($B49,'Pliegos Tarifarios (Quilicura)'!$A:$A,0))</f>
        <v>1233.8788817</v>
      </c>
      <c r="O49" s="19">
        <f>J49*INDEX('Pliegos Tarifarios (Quilicura)'!$D:$D,MATCH($B49,'Pliegos Tarifarios (Quilicura)'!$A:$A,0))</f>
        <v>4779.3177740000001</v>
      </c>
      <c r="P49" s="19">
        <f>H49*INDEX('Pliegos Tarifarios (Quilicura)'!$E:$E,MATCH($B49,'Pliegos Tarifarios (Quilicura)'!$A:$A,0))</f>
        <v>1642.9174896</v>
      </c>
      <c r="Q49" s="19" cm="1">
        <f t="array" ref="Q49">H49*_xlfn.IFS(H49&lt;=350,INDEX('Pliegos Tarifarios (Quilicura)'!$F:$F,MATCH($B49,'Pliegos Tarifarios (Quilicura)'!$A:$A,0)),H49&lt;=500,INDEX('Pliegos Tarifarios (Quilicura)'!$G:$G,MATCH($B49,'Pliegos Tarifarios (Quilicura)'!$A:$A,0)),H49&lt;=1000,INDEX('Pliegos Tarifarios (Quilicura)'!$H:$H,MATCH($B49,'Pliegos Tarifarios (Quilicura)'!$A:$A,0)),H49&lt;=5000,INDEX('Pliegos Tarifarios (Quilicura)'!$I:$I,MATCH($B49,'Pliegos Tarifarios (Quilicura)'!$A:$A,0)),H49&gt;5000,INDEX('Pliegos Tarifarios (Quilicura)'!$J:$J,MATCH($B49,'Pliegos Tarifarios (Quilicura)'!$A:$A,0)))/1.19</f>
        <v>83.698785882352951</v>
      </c>
      <c r="R49" s="19">
        <f>INDEX('Pliegos Tarifarios (Quilicura)'!$K:$K,MATCH($B49,'Pliegos Tarifarios (Quilicura)'!$A:$A,0))</f>
        <v>710.78200000000004</v>
      </c>
      <c r="S49" s="21">
        <f t="shared" si="3"/>
        <v>23548.107197582351</v>
      </c>
      <c r="T49" s="21">
        <f t="shared" si="4"/>
        <v>4474.1403675406464</v>
      </c>
      <c r="U49" s="19">
        <v>0</v>
      </c>
      <c r="V49" s="21">
        <f t="shared" si="5"/>
        <v>28022.247565122998</v>
      </c>
    </row>
    <row r="50" spans="1:22" x14ac:dyDescent="0.3">
      <c r="A50" s="3" t="s">
        <v>12</v>
      </c>
      <c r="B50" s="3">
        <v>1</v>
      </c>
      <c r="C50" s="4" t="s">
        <v>186</v>
      </c>
      <c r="D50" s="3" t="s">
        <v>233</v>
      </c>
      <c r="E50" s="3" t="s">
        <v>121</v>
      </c>
      <c r="F50" s="4" t="s">
        <v>128</v>
      </c>
      <c r="G50" s="3" t="s">
        <v>30</v>
      </c>
      <c r="H50" s="5">
        <v>127.0787</v>
      </c>
      <c r="I50" s="5">
        <v>0.33639999999999998</v>
      </c>
      <c r="J50" s="5">
        <v>0.33389999999999997</v>
      </c>
      <c r="K50" s="6">
        <v>0.9925683709869203</v>
      </c>
      <c r="L50" s="5">
        <v>4.0999999999999996</v>
      </c>
      <c r="M50" s="19">
        <f>H50*INDEX('Pliegos Tarifarios (Quilicura)'!$B:$B,MATCH($B50,'Pliegos Tarifarios (Quilicura)'!$A:$A,0))</f>
        <v>15101.778550599998</v>
      </c>
      <c r="N50" s="19">
        <f>I50*INDEX('Pliegos Tarifarios (Quilicura)'!$C:$C,MATCH($B50,'Pliegos Tarifarios (Quilicura)'!$A:$A,0))</f>
        <v>1148.8426675999999</v>
      </c>
      <c r="O50" s="19">
        <f>J50*INDEX('Pliegos Tarifarios (Quilicura)'!$D:$D,MATCH($B50,'Pliegos Tarifarios (Quilicura)'!$A:$A,0))</f>
        <v>4710.1954094999992</v>
      </c>
      <c r="P50" s="19">
        <f>H50*INDEX('Pliegos Tarifarios (Quilicura)'!$E:$E,MATCH($B50,'Pliegos Tarifarios (Quilicura)'!$A:$A,0))</f>
        <v>1643.3817484000001</v>
      </c>
      <c r="Q50" s="19" cm="1">
        <f t="array" ref="Q50">H50*_xlfn.IFS(H50&lt;=350,INDEX('Pliegos Tarifarios (Quilicura)'!$F:$F,MATCH($B50,'Pliegos Tarifarios (Quilicura)'!$A:$A,0)),H50&lt;=500,INDEX('Pliegos Tarifarios (Quilicura)'!$G:$G,MATCH($B50,'Pliegos Tarifarios (Quilicura)'!$A:$A,0)),H50&lt;=1000,INDEX('Pliegos Tarifarios (Quilicura)'!$H:$H,MATCH($B50,'Pliegos Tarifarios (Quilicura)'!$A:$A,0)),H50&lt;=5000,INDEX('Pliegos Tarifarios (Quilicura)'!$I:$I,MATCH($B50,'Pliegos Tarifarios (Quilicura)'!$A:$A,0)),H50&gt;5000,INDEX('Pliegos Tarifarios (Quilicura)'!$J:$J,MATCH($B50,'Pliegos Tarifarios (Quilicura)'!$A:$A,0)))/1.19</f>
        <v>83.72243764705884</v>
      </c>
      <c r="R50" s="19">
        <f>INDEX('Pliegos Tarifarios (Quilicura)'!$K:$K,MATCH($B50,'Pliegos Tarifarios (Quilicura)'!$A:$A,0))</f>
        <v>710.78200000000004</v>
      </c>
      <c r="S50" s="21">
        <f t="shared" si="3"/>
        <v>23398.702813747055</v>
      </c>
      <c r="T50" s="21">
        <f t="shared" si="4"/>
        <v>4445.7535346119403</v>
      </c>
      <c r="U50" s="19">
        <v>0</v>
      </c>
      <c r="V50" s="21">
        <f t="shared" si="5"/>
        <v>27844.456348358995</v>
      </c>
    </row>
    <row r="51" spans="1:22" x14ac:dyDescent="0.3">
      <c r="A51" s="3" t="s">
        <v>12</v>
      </c>
      <c r="B51" s="3">
        <v>1</v>
      </c>
      <c r="C51" s="4" t="s">
        <v>186</v>
      </c>
      <c r="D51" s="3" t="s">
        <v>234</v>
      </c>
      <c r="E51" s="3" t="s">
        <v>121</v>
      </c>
      <c r="F51" s="4" t="s">
        <v>130</v>
      </c>
      <c r="G51" s="3" t="s">
        <v>30</v>
      </c>
      <c r="H51" s="5">
        <v>127.2503</v>
      </c>
      <c r="I51" s="5">
        <v>0.34360000000000002</v>
      </c>
      <c r="J51" s="5">
        <v>0.33139999999999997</v>
      </c>
      <c r="K51" s="6">
        <v>0.96449359720605343</v>
      </c>
      <c r="L51" s="5">
        <v>4.0999999999999996</v>
      </c>
      <c r="M51" s="19">
        <f>H51*INDEX('Pliegos Tarifarios (Quilicura)'!$B:$B,MATCH($B51,'Pliegos Tarifarios (Quilicura)'!$A:$A,0))</f>
        <v>15122.171151399998</v>
      </c>
      <c r="N51" s="19">
        <f>I51*INDEX('Pliegos Tarifarios (Quilicura)'!$C:$C,MATCH($B51,'Pliegos Tarifarios (Quilicura)'!$A:$A,0))</f>
        <v>1173.4314524000001</v>
      </c>
      <c r="O51" s="19">
        <f>J51*INDEX('Pliegos Tarifarios (Quilicura)'!$D:$D,MATCH($B51,'Pliegos Tarifarios (Quilicura)'!$A:$A,0))</f>
        <v>4674.9288969999998</v>
      </c>
      <c r="P51" s="19">
        <f>H51*INDEX('Pliegos Tarifarios (Quilicura)'!$E:$E,MATCH($B51,'Pliegos Tarifarios (Quilicura)'!$A:$A,0))</f>
        <v>1645.6008796000001</v>
      </c>
      <c r="Q51" s="19" cm="1">
        <f t="array" ref="Q51">H51*_xlfn.IFS(H51&lt;=350,INDEX('Pliegos Tarifarios (Quilicura)'!$F:$F,MATCH($B51,'Pliegos Tarifarios (Quilicura)'!$A:$A,0)),H51&lt;=500,INDEX('Pliegos Tarifarios (Quilicura)'!$G:$G,MATCH($B51,'Pliegos Tarifarios (Quilicura)'!$A:$A,0)),H51&lt;=1000,INDEX('Pliegos Tarifarios (Quilicura)'!$H:$H,MATCH($B51,'Pliegos Tarifarios (Quilicura)'!$A:$A,0)),H51&lt;=5000,INDEX('Pliegos Tarifarios (Quilicura)'!$I:$I,MATCH($B51,'Pliegos Tarifarios (Quilicura)'!$A:$A,0)),H51&gt;5000,INDEX('Pliegos Tarifarios (Quilicura)'!$J:$J,MATCH($B51,'Pliegos Tarifarios (Quilicura)'!$A:$A,0)))/1.19</f>
        <v>83.835491764705893</v>
      </c>
      <c r="R51" s="19">
        <f>INDEX('Pliegos Tarifarios (Quilicura)'!$K:$K,MATCH($B51,'Pliegos Tarifarios (Quilicura)'!$A:$A,0))</f>
        <v>710.78200000000004</v>
      </c>
      <c r="S51" s="21">
        <f t="shared" si="3"/>
        <v>23410.749872164699</v>
      </c>
      <c r="T51" s="21">
        <f t="shared" si="4"/>
        <v>4448.0424757112933</v>
      </c>
      <c r="U51" s="19">
        <v>0</v>
      </c>
      <c r="V51" s="21">
        <f t="shared" si="5"/>
        <v>27858.792347875991</v>
      </c>
    </row>
    <row r="52" spans="1:22" x14ac:dyDescent="0.3">
      <c r="A52" s="3" t="s">
        <v>12</v>
      </c>
      <c r="B52" s="3">
        <v>1</v>
      </c>
      <c r="C52" s="4" t="s">
        <v>186</v>
      </c>
      <c r="D52" s="3" t="s">
        <v>235</v>
      </c>
      <c r="E52" s="3" t="s">
        <v>121</v>
      </c>
      <c r="F52" s="4" t="s">
        <v>132</v>
      </c>
      <c r="G52" s="3" t="s">
        <v>30</v>
      </c>
      <c r="H52" s="5">
        <v>127.2717</v>
      </c>
      <c r="I52" s="5">
        <v>0.34210000000000002</v>
      </c>
      <c r="J52" s="5">
        <v>0.33729999999999999</v>
      </c>
      <c r="K52" s="6">
        <v>0.98596901490792155</v>
      </c>
      <c r="L52" s="5">
        <v>4.1100000000000003</v>
      </c>
      <c r="M52" s="19">
        <f>H52*INDEX('Pliegos Tarifarios (Quilicura)'!$B:$B,MATCH($B52,'Pliegos Tarifarios (Quilicura)'!$A:$A,0))</f>
        <v>15124.714284599999</v>
      </c>
      <c r="N52" s="19">
        <f>I52*INDEX('Pliegos Tarifarios (Quilicura)'!$C:$C,MATCH($B52,'Pliegos Tarifarios (Quilicura)'!$A:$A,0))</f>
        <v>1168.3087889000001</v>
      </c>
      <c r="O52" s="19">
        <f>J52*INDEX('Pliegos Tarifarios (Quilicura)'!$D:$D,MATCH($B52,'Pliegos Tarifarios (Quilicura)'!$A:$A,0))</f>
        <v>4758.1578664999997</v>
      </c>
      <c r="P52" s="19">
        <f>H52*INDEX('Pliegos Tarifarios (Quilicura)'!$E:$E,MATCH($B52,'Pliegos Tarifarios (Quilicura)'!$A:$A,0))</f>
        <v>1645.8776244000001</v>
      </c>
      <c r="Q52" s="19" cm="1">
        <f t="array" ref="Q52">H52*_xlfn.IFS(H52&lt;=350,INDEX('Pliegos Tarifarios (Quilicura)'!$F:$F,MATCH($B52,'Pliegos Tarifarios (Quilicura)'!$A:$A,0)),H52&lt;=500,INDEX('Pliegos Tarifarios (Quilicura)'!$G:$G,MATCH($B52,'Pliegos Tarifarios (Quilicura)'!$A:$A,0)),H52&lt;=1000,INDEX('Pliegos Tarifarios (Quilicura)'!$H:$H,MATCH($B52,'Pliegos Tarifarios (Quilicura)'!$A:$A,0)),H52&lt;=5000,INDEX('Pliegos Tarifarios (Quilicura)'!$I:$I,MATCH($B52,'Pliegos Tarifarios (Quilicura)'!$A:$A,0)),H52&gt;5000,INDEX('Pliegos Tarifarios (Quilicura)'!$J:$J,MATCH($B52,'Pliegos Tarifarios (Quilicura)'!$A:$A,0)))/1.19</f>
        <v>83.849590588235301</v>
      </c>
      <c r="R52" s="19">
        <f>INDEX('Pliegos Tarifarios (Quilicura)'!$K:$K,MATCH($B52,'Pliegos Tarifarios (Quilicura)'!$A:$A,0))</f>
        <v>710.78200000000004</v>
      </c>
      <c r="S52" s="21">
        <f t="shared" si="3"/>
        <v>23491.690154988231</v>
      </c>
      <c r="T52" s="21">
        <f t="shared" si="4"/>
        <v>4463.4211294477636</v>
      </c>
      <c r="U52" s="19">
        <v>0</v>
      </c>
      <c r="V52" s="21">
        <f t="shared" si="5"/>
        <v>27955.111284435996</v>
      </c>
    </row>
    <row r="53" spans="1:22" x14ac:dyDescent="0.3">
      <c r="A53" s="3" t="s">
        <v>12</v>
      </c>
      <c r="B53" s="3">
        <v>1</v>
      </c>
      <c r="C53" s="4" t="s">
        <v>186</v>
      </c>
      <c r="D53" s="3" t="s">
        <v>236</v>
      </c>
      <c r="E53" s="3" t="s">
        <v>121</v>
      </c>
      <c r="F53" s="4" t="s">
        <v>134</v>
      </c>
      <c r="G53" s="3" t="s">
        <v>30</v>
      </c>
      <c r="H53" s="5">
        <v>127.1116</v>
      </c>
      <c r="I53" s="5">
        <v>0.33300000000000002</v>
      </c>
      <c r="J53" s="5">
        <v>0.33300000000000002</v>
      </c>
      <c r="K53" s="6">
        <v>1</v>
      </c>
      <c r="L53" s="5">
        <v>4.0999999999999996</v>
      </c>
      <c r="M53" s="19">
        <f>H53*INDEX('Pliegos Tarifarios (Quilicura)'!$B:$B,MATCH($B53,'Pliegos Tarifarios (Quilicura)'!$A:$A,0))</f>
        <v>15105.688320799998</v>
      </c>
      <c r="N53" s="19">
        <f>I53*INDEX('Pliegos Tarifarios (Quilicura)'!$C:$C,MATCH($B53,'Pliegos Tarifarios (Quilicura)'!$A:$A,0))</f>
        <v>1137.231297</v>
      </c>
      <c r="O53" s="19">
        <f>J53*INDEX('Pliegos Tarifarios (Quilicura)'!$D:$D,MATCH($B53,'Pliegos Tarifarios (Quilicura)'!$A:$A,0))</f>
        <v>4697.4994649999999</v>
      </c>
      <c r="P53" s="19">
        <f>H53*INDEX('Pliegos Tarifarios (Quilicura)'!$E:$E,MATCH($B53,'Pliegos Tarifarios (Quilicura)'!$A:$A,0))</f>
        <v>1643.8072112</v>
      </c>
      <c r="Q53" s="19" cm="1">
        <f t="array" ref="Q53">H53*_xlfn.IFS(H53&lt;=350,INDEX('Pliegos Tarifarios (Quilicura)'!$F:$F,MATCH($B53,'Pliegos Tarifarios (Quilicura)'!$A:$A,0)),H53&lt;=500,INDEX('Pliegos Tarifarios (Quilicura)'!$G:$G,MATCH($B53,'Pliegos Tarifarios (Quilicura)'!$A:$A,0)),H53&lt;=1000,INDEX('Pliegos Tarifarios (Quilicura)'!$H:$H,MATCH($B53,'Pliegos Tarifarios (Quilicura)'!$A:$A,0)),H53&lt;=5000,INDEX('Pliegos Tarifarios (Quilicura)'!$I:$I,MATCH($B53,'Pliegos Tarifarios (Quilicura)'!$A:$A,0)),H53&gt;5000,INDEX('Pliegos Tarifarios (Quilicura)'!$J:$J,MATCH($B53,'Pliegos Tarifarios (Quilicura)'!$A:$A,0)))/1.19</f>
        <v>83.744112941176468</v>
      </c>
      <c r="R53" s="19">
        <f>INDEX('Pliegos Tarifarios (Quilicura)'!$K:$K,MATCH($B53,'Pliegos Tarifarios (Quilicura)'!$A:$A,0))</f>
        <v>710.78200000000004</v>
      </c>
      <c r="S53" s="21">
        <f t="shared" si="3"/>
        <v>23378.752406941177</v>
      </c>
      <c r="T53" s="21">
        <f t="shared" si="4"/>
        <v>4441.962957318824</v>
      </c>
      <c r="U53" s="19">
        <v>0</v>
      </c>
      <c r="V53" s="21">
        <f t="shared" si="5"/>
        <v>27820.715364260002</v>
      </c>
    </row>
    <row r="54" spans="1:22" x14ac:dyDescent="0.3">
      <c r="A54" s="3" t="s">
        <v>12</v>
      </c>
      <c r="B54" s="3">
        <v>1</v>
      </c>
      <c r="C54" s="4" t="s">
        <v>186</v>
      </c>
      <c r="D54" s="3" t="s">
        <v>237</v>
      </c>
      <c r="E54" s="3" t="s">
        <v>121</v>
      </c>
      <c r="F54" s="4" t="s">
        <v>136</v>
      </c>
      <c r="G54" s="3" t="s">
        <v>30</v>
      </c>
      <c r="H54" s="5">
        <v>127.20950000000001</v>
      </c>
      <c r="I54" s="5">
        <v>0.33839999999999998</v>
      </c>
      <c r="J54" s="5">
        <v>0.33029999999999998</v>
      </c>
      <c r="K54" s="6">
        <v>0.97606382978723405</v>
      </c>
      <c r="L54" s="5">
        <v>4.0999999999999996</v>
      </c>
      <c r="M54" s="19">
        <f>H54*INDEX('Pliegos Tarifarios (Quilicura)'!$B:$B,MATCH($B54,'Pliegos Tarifarios (Quilicura)'!$A:$A,0))</f>
        <v>15117.322560999999</v>
      </c>
      <c r="N54" s="19">
        <f>I54*INDEX('Pliegos Tarifarios (Quilicura)'!$C:$C,MATCH($B54,'Pliegos Tarifarios (Quilicura)'!$A:$A,0))</f>
        <v>1155.6728856</v>
      </c>
      <c r="O54" s="19">
        <f>J54*INDEX('Pliegos Tarifarios (Quilicura)'!$D:$D,MATCH($B54,'Pliegos Tarifarios (Quilicura)'!$A:$A,0))</f>
        <v>4659.4116314999992</v>
      </c>
      <c r="P54" s="19">
        <f>H54*INDEX('Pliegos Tarifarios (Quilicura)'!$E:$E,MATCH($B54,'Pliegos Tarifarios (Quilicura)'!$A:$A,0))</f>
        <v>1645.0732540000001</v>
      </c>
      <c r="Q54" s="19" cm="1">
        <f t="array" ref="Q54">H54*_xlfn.IFS(H54&lt;=350,INDEX('Pliegos Tarifarios (Quilicura)'!$F:$F,MATCH($B54,'Pliegos Tarifarios (Quilicura)'!$A:$A,0)),H54&lt;=500,INDEX('Pliegos Tarifarios (Quilicura)'!$G:$G,MATCH($B54,'Pliegos Tarifarios (Quilicura)'!$A:$A,0)),H54&lt;=1000,INDEX('Pliegos Tarifarios (Quilicura)'!$H:$H,MATCH($B54,'Pliegos Tarifarios (Quilicura)'!$A:$A,0)),H54&lt;=5000,INDEX('Pliegos Tarifarios (Quilicura)'!$I:$I,MATCH($B54,'Pliegos Tarifarios (Quilicura)'!$A:$A,0)),H54&gt;5000,INDEX('Pliegos Tarifarios (Quilicura)'!$J:$J,MATCH($B54,'Pliegos Tarifarios (Quilicura)'!$A:$A,0)))/1.19</f>
        <v>83.808611764705901</v>
      </c>
      <c r="R54" s="19">
        <f>INDEX('Pliegos Tarifarios (Quilicura)'!$K:$K,MATCH($B54,'Pliegos Tarifarios (Quilicura)'!$A:$A,0))</f>
        <v>710.78200000000004</v>
      </c>
      <c r="S54" s="21">
        <f t="shared" si="3"/>
        <v>23372.070943864703</v>
      </c>
      <c r="T54" s="21">
        <f t="shared" si="4"/>
        <v>4440.6934793342934</v>
      </c>
      <c r="U54" s="19">
        <v>0</v>
      </c>
      <c r="V54" s="21">
        <f t="shared" si="5"/>
        <v>27812.764423198998</v>
      </c>
    </row>
    <row r="55" spans="1:22" x14ac:dyDescent="0.3">
      <c r="A55" s="3" t="s">
        <v>12</v>
      </c>
      <c r="B55" s="3">
        <v>1</v>
      </c>
      <c r="C55" s="4" t="s">
        <v>186</v>
      </c>
      <c r="D55" s="3" t="s">
        <v>238</v>
      </c>
      <c r="E55" s="3" t="s">
        <v>121</v>
      </c>
      <c r="F55" s="4" t="s">
        <v>138</v>
      </c>
      <c r="G55" s="3" t="s">
        <v>30</v>
      </c>
      <c r="H55" s="5">
        <v>127.1927</v>
      </c>
      <c r="I55" s="5">
        <v>0.3357</v>
      </c>
      <c r="J55" s="5">
        <v>0.3357</v>
      </c>
      <c r="K55" s="6">
        <v>1</v>
      </c>
      <c r="L55" s="5">
        <v>4.0999999999999996</v>
      </c>
      <c r="M55" s="19">
        <f>H55*INDEX('Pliegos Tarifarios (Quilicura)'!$B:$B,MATCH($B55,'Pliegos Tarifarios (Quilicura)'!$A:$A,0))</f>
        <v>15115.326082599999</v>
      </c>
      <c r="N55" s="19">
        <f>I55*INDEX('Pliegos Tarifarios (Quilicura)'!$C:$C,MATCH($B55,'Pliegos Tarifarios (Quilicura)'!$A:$A,0))</f>
        <v>1146.4520912999999</v>
      </c>
      <c r="O55" s="19">
        <f>J55*INDEX('Pliegos Tarifarios (Quilicura)'!$D:$D,MATCH($B55,'Pliegos Tarifarios (Quilicura)'!$A:$A,0))</f>
        <v>4735.5872984999996</v>
      </c>
      <c r="P55" s="19">
        <f>H55*INDEX('Pliegos Tarifarios (Quilicura)'!$E:$E,MATCH($B55,'Pliegos Tarifarios (Quilicura)'!$A:$A,0))</f>
        <v>1644.8559964000001</v>
      </c>
      <c r="Q55" s="19" cm="1">
        <f t="array" ref="Q55">H55*_xlfn.IFS(H55&lt;=350,INDEX('Pliegos Tarifarios (Quilicura)'!$F:$F,MATCH($B55,'Pliegos Tarifarios (Quilicura)'!$A:$A,0)),H55&lt;=500,INDEX('Pliegos Tarifarios (Quilicura)'!$G:$G,MATCH($B55,'Pliegos Tarifarios (Quilicura)'!$A:$A,0)),H55&lt;=1000,INDEX('Pliegos Tarifarios (Quilicura)'!$H:$H,MATCH($B55,'Pliegos Tarifarios (Quilicura)'!$A:$A,0)),H55&lt;=5000,INDEX('Pliegos Tarifarios (Quilicura)'!$I:$I,MATCH($B55,'Pliegos Tarifarios (Quilicura)'!$A:$A,0)),H55&gt;5000,INDEX('Pliegos Tarifarios (Quilicura)'!$J:$J,MATCH($B55,'Pliegos Tarifarios (Quilicura)'!$A:$A,0)))/1.19</f>
        <v>83.797543529411783</v>
      </c>
      <c r="R55" s="19">
        <f>INDEX('Pliegos Tarifarios (Quilicura)'!$K:$K,MATCH($B55,'Pliegos Tarifarios (Quilicura)'!$A:$A,0))</f>
        <v>710.78200000000004</v>
      </c>
      <c r="S55" s="21">
        <f t="shared" si="3"/>
        <v>23436.801012329408</v>
      </c>
      <c r="T55" s="21">
        <f t="shared" si="4"/>
        <v>4452.9921923425873</v>
      </c>
      <c r="U55" s="19">
        <v>0</v>
      </c>
      <c r="V55" s="21">
        <f t="shared" si="5"/>
        <v>27889.793204671994</v>
      </c>
    </row>
    <row r="56" spans="1:22" x14ac:dyDescent="0.3">
      <c r="A56" s="3" t="s">
        <v>12</v>
      </c>
      <c r="B56" s="3">
        <v>1</v>
      </c>
      <c r="C56" s="4" t="s">
        <v>186</v>
      </c>
      <c r="D56" s="3" t="s">
        <v>239</v>
      </c>
      <c r="E56" s="3" t="s">
        <v>121</v>
      </c>
      <c r="F56" s="4" t="s">
        <v>140</v>
      </c>
      <c r="G56" s="3" t="s">
        <v>30</v>
      </c>
      <c r="H56" s="5">
        <v>127.3165</v>
      </c>
      <c r="I56" s="5">
        <v>0.3407</v>
      </c>
      <c r="J56" s="5">
        <v>0.3407</v>
      </c>
      <c r="K56" s="6">
        <v>1</v>
      </c>
      <c r="L56" s="5">
        <v>4.1100000000000003</v>
      </c>
      <c r="M56" s="19">
        <f>H56*INDEX('Pliegos Tarifarios (Quilicura)'!$B:$B,MATCH($B56,'Pliegos Tarifarios (Quilicura)'!$A:$A,0))</f>
        <v>15130.038226999999</v>
      </c>
      <c r="N56" s="19">
        <f>I56*INDEX('Pliegos Tarifarios (Quilicura)'!$C:$C,MATCH($B56,'Pliegos Tarifarios (Quilicura)'!$A:$A,0))</f>
        <v>1163.5276363</v>
      </c>
      <c r="O56" s="19">
        <f>J56*INDEX('Pliegos Tarifarios (Quilicura)'!$D:$D,MATCH($B56,'Pliegos Tarifarios (Quilicura)'!$A:$A,0))</f>
        <v>4806.1203235000003</v>
      </c>
      <c r="P56" s="19">
        <f>H56*INDEX('Pliegos Tarifarios (Quilicura)'!$E:$E,MATCH($B56,'Pliegos Tarifarios (Quilicura)'!$A:$A,0))</f>
        <v>1646.4569780000002</v>
      </c>
      <c r="Q56" s="19" cm="1">
        <f t="array" ref="Q56">H56*_xlfn.IFS(H56&lt;=350,INDEX('Pliegos Tarifarios (Quilicura)'!$F:$F,MATCH($B56,'Pliegos Tarifarios (Quilicura)'!$A:$A,0)),H56&lt;=500,INDEX('Pliegos Tarifarios (Quilicura)'!$G:$G,MATCH($B56,'Pliegos Tarifarios (Quilicura)'!$A:$A,0)),H56&lt;=1000,INDEX('Pliegos Tarifarios (Quilicura)'!$H:$H,MATCH($B56,'Pliegos Tarifarios (Quilicura)'!$A:$A,0)),H56&lt;=5000,INDEX('Pliegos Tarifarios (Quilicura)'!$I:$I,MATCH($B56,'Pliegos Tarifarios (Quilicura)'!$A:$A,0)),H56&gt;5000,INDEX('Pliegos Tarifarios (Quilicura)'!$J:$J,MATCH($B56,'Pliegos Tarifarios (Quilicura)'!$A:$A,0)))/1.19</f>
        <v>83.87910588235296</v>
      </c>
      <c r="R56" s="19">
        <f>INDEX('Pliegos Tarifarios (Quilicura)'!$K:$K,MATCH($B56,'Pliegos Tarifarios (Quilicura)'!$A:$A,0))</f>
        <v>710.78200000000004</v>
      </c>
      <c r="S56" s="21">
        <f t="shared" si="3"/>
        <v>23540.804270682351</v>
      </c>
      <c r="T56" s="21">
        <f t="shared" si="4"/>
        <v>4472.7528114296465</v>
      </c>
      <c r="U56" s="19">
        <v>0</v>
      </c>
      <c r="V56" s="21">
        <f t="shared" si="5"/>
        <v>28013.557082111998</v>
      </c>
    </row>
    <row r="57" spans="1:22" x14ac:dyDescent="0.3">
      <c r="A57" s="3" t="s">
        <v>12</v>
      </c>
      <c r="B57" s="3">
        <v>1</v>
      </c>
      <c r="C57" s="4" t="s">
        <v>186</v>
      </c>
      <c r="D57" s="3" t="s">
        <v>240</v>
      </c>
      <c r="E57" s="3" t="s">
        <v>121</v>
      </c>
      <c r="F57" s="4" t="s">
        <v>241</v>
      </c>
      <c r="G57" s="3" t="s">
        <v>30</v>
      </c>
      <c r="H57" s="5">
        <v>127.21339999999999</v>
      </c>
      <c r="I57" s="5">
        <v>0.33860000000000001</v>
      </c>
      <c r="J57" s="5">
        <v>0.3306</v>
      </c>
      <c r="K57" s="6">
        <v>0.97637330183106907</v>
      </c>
      <c r="L57" s="5">
        <v>4.0999999999999996</v>
      </c>
      <c r="M57" s="19">
        <f>H57*INDEX('Pliegos Tarifarios (Quilicura)'!$B:$B,MATCH($B57,'Pliegos Tarifarios (Quilicura)'!$A:$A,0))</f>
        <v>15117.786029199999</v>
      </c>
      <c r="N57" s="19">
        <f>I57*INDEX('Pliegos Tarifarios (Quilicura)'!$C:$C,MATCH($B57,'Pliegos Tarifarios (Quilicura)'!$A:$A,0))</f>
        <v>1156.3559074</v>
      </c>
      <c r="O57" s="19">
        <f>J57*INDEX('Pliegos Tarifarios (Quilicura)'!$D:$D,MATCH($B57,'Pliegos Tarifarios (Quilicura)'!$A:$A,0))</f>
        <v>4663.6436130000002</v>
      </c>
      <c r="P57" s="19">
        <f>H57*INDEX('Pliegos Tarifarios (Quilicura)'!$E:$E,MATCH($B57,'Pliegos Tarifarios (Quilicura)'!$A:$A,0))</f>
        <v>1645.1236887999999</v>
      </c>
      <c r="Q57" s="19" cm="1">
        <f t="array" ref="Q57">H57*_xlfn.IFS(H57&lt;=350,INDEX('Pliegos Tarifarios (Quilicura)'!$F:$F,MATCH($B57,'Pliegos Tarifarios (Quilicura)'!$A:$A,0)),H57&lt;=500,INDEX('Pliegos Tarifarios (Quilicura)'!$G:$G,MATCH($B57,'Pliegos Tarifarios (Quilicura)'!$A:$A,0)),H57&lt;=1000,INDEX('Pliegos Tarifarios (Quilicura)'!$H:$H,MATCH($B57,'Pliegos Tarifarios (Quilicura)'!$A:$A,0)),H57&lt;=5000,INDEX('Pliegos Tarifarios (Quilicura)'!$I:$I,MATCH($B57,'Pliegos Tarifarios (Quilicura)'!$A:$A,0)),H57&gt;5000,INDEX('Pliegos Tarifarios (Quilicura)'!$J:$J,MATCH($B57,'Pliegos Tarifarios (Quilicura)'!$A:$A,0)))/1.19</f>
        <v>83.811181176470598</v>
      </c>
      <c r="R57" s="19">
        <f>INDEX('Pliegos Tarifarios (Quilicura)'!$K:$K,MATCH($B57,'Pliegos Tarifarios (Quilicura)'!$A:$A,0))</f>
        <v>710.78200000000004</v>
      </c>
      <c r="S57" s="21">
        <f t="shared" si="3"/>
        <v>23377.502419576467</v>
      </c>
      <c r="T57" s="21">
        <f t="shared" si="4"/>
        <v>4441.7254597195288</v>
      </c>
      <c r="U57" s="19">
        <v>0</v>
      </c>
      <c r="V57" s="21">
        <f t="shared" si="5"/>
        <v>27819.227879295995</v>
      </c>
    </row>
    <row r="58" spans="1:22" x14ac:dyDescent="0.3">
      <c r="A58" s="3" t="s">
        <v>12</v>
      </c>
      <c r="B58" s="3">
        <v>1</v>
      </c>
      <c r="C58" s="4" t="s">
        <v>186</v>
      </c>
      <c r="D58" s="3" t="s">
        <v>242</v>
      </c>
      <c r="E58" s="3" t="s">
        <v>121</v>
      </c>
      <c r="F58" s="4" t="s">
        <v>243</v>
      </c>
      <c r="G58" s="3" t="s">
        <v>30</v>
      </c>
      <c r="H58" s="5">
        <v>127.28489999999999</v>
      </c>
      <c r="I58" s="5">
        <v>0.33339999999999997</v>
      </c>
      <c r="J58" s="5">
        <v>0.33339999999999997</v>
      </c>
      <c r="K58" s="6">
        <v>1</v>
      </c>
      <c r="L58" s="5">
        <v>4.1100000000000003</v>
      </c>
      <c r="M58" s="19">
        <f>H58*INDEX('Pliegos Tarifarios (Quilicura)'!$B:$B,MATCH($B58,'Pliegos Tarifarios (Quilicura)'!$A:$A,0))</f>
        <v>15126.282946199999</v>
      </c>
      <c r="N58" s="19">
        <f>I58*INDEX('Pliegos Tarifarios (Quilicura)'!$C:$C,MATCH($B58,'Pliegos Tarifarios (Quilicura)'!$A:$A,0))</f>
        <v>1138.5973405999998</v>
      </c>
      <c r="O58" s="19">
        <f>J58*INDEX('Pliegos Tarifarios (Quilicura)'!$D:$D,MATCH($B58,'Pliegos Tarifarios (Quilicura)'!$A:$A,0))</f>
        <v>4703.1421069999997</v>
      </c>
      <c r="P58" s="19">
        <f>H58*INDEX('Pliegos Tarifarios (Quilicura)'!$E:$E,MATCH($B58,'Pliegos Tarifarios (Quilicura)'!$A:$A,0))</f>
        <v>1646.0483268</v>
      </c>
      <c r="Q58" s="19" cm="1">
        <f t="array" ref="Q58">H58*_xlfn.IFS(H58&lt;=350,INDEX('Pliegos Tarifarios (Quilicura)'!$F:$F,MATCH($B58,'Pliegos Tarifarios (Quilicura)'!$A:$A,0)),H58&lt;=500,INDEX('Pliegos Tarifarios (Quilicura)'!$G:$G,MATCH($B58,'Pliegos Tarifarios (Quilicura)'!$A:$A,0)),H58&lt;=1000,INDEX('Pliegos Tarifarios (Quilicura)'!$H:$H,MATCH($B58,'Pliegos Tarifarios (Quilicura)'!$A:$A,0)),H58&lt;=5000,INDEX('Pliegos Tarifarios (Quilicura)'!$I:$I,MATCH($B58,'Pliegos Tarifarios (Quilicura)'!$A:$A,0)),H58&gt;5000,INDEX('Pliegos Tarifarios (Quilicura)'!$J:$J,MATCH($B58,'Pliegos Tarifarios (Quilicura)'!$A:$A,0)))/1.19</f>
        <v>83.858287058823535</v>
      </c>
      <c r="R58" s="19">
        <f>INDEX('Pliegos Tarifarios (Quilicura)'!$K:$K,MATCH($B58,'Pliegos Tarifarios (Quilicura)'!$A:$A,0))</f>
        <v>710.78200000000004</v>
      </c>
      <c r="S58" s="21">
        <f t="shared" si="3"/>
        <v>23408.711007658821</v>
      </c>
      <c r="T58" s="21">
        <f t="shared" si="4"/>
        <v>4447.6550914551763</v>
      </c>
      <c r="U58" s="19">
        <v>0</v>
      </c>
      <c r="V58" s="21">
        <f t="shared" si="5"/>
        <v>27856.366099113999</v>
      </c>
    </row>
    <row r="59" spans="1:22" x14ac:dyDescent="0.3">
      <c r="A59" s="3" t="s">
        <v>12</v>
      </c>
      <c r="B59" s="3">
        <v>1</v>
      </c>
      <c r="C59" s="4" t="s">
        <v>186</v>
      </c>
      <c r="D59" s="3" t="s">
        <v>244</v>
      </c>
      <c r="E59" s="3" t="s">
        <v>121</v>
      </c>
      <c r="F59" s="4" t="s">
        <v>245</v>
      </c>
      <c r="G59" s="3" t="s">
        <v>30</v>
      </c>
      <c r="H59" s="5">
        <v>127.3017</v>
      </c>
      <c r="I59" s="5">
        <v>0.33950000000000002</v>
      </c>
      <c r="J59" s="5">
        <v>0.33200000000000002</v>
      </c>
      <c r="K59" s="6">
        <v>0.9779086892488954</v>
      </c>
      <c r="L59" s="5">
        <v>4.1100000000000003</v>
      </c>
      <c r="M59" s="19">
        <f>H59*INDEX('Pliegos Tarifarios (Quilicura)'!$B:$B,MATCH($B59,'Pliegos Tarifarios (Quilicura)'!$A:$A,0))</f>
        <v>15128.279424599999</v>
      </c>
      <c r="N59" s="19">
        <f>I59*INDEX('Pliegos Tarifarios (Quilicura)'!$C:$C,MATCH($B59,'Pliegos Tarifarios (Quilicura)'!$A:$A,0))</f>
        <v>1159.4295055</v>
      </c>
      <c r="O59" s="19">
        <f>J59*INDEX('Pliegos Tarifarios (Quilicura)'!$D:$D,MATCH($B59,'Pliegos Tarifarios (Quilicura)'!$A:$A,0))</f>
        <v>4683.3928599999999</v>
      </c>
      <c r="P59" s="19">
        <f>H59*INDEX('Pliegos Tarifarios (Quilicura)'!$E:$E,MATCH($B59,'Pliegos Tarifarios (Quilicura)'!$A:$A,0))</f>
        <v>1646.2655844000001</v>
      </c>
      <c r="Q59" s="19" cm="1">
        <f t="array" ref="Q59">H59*_xlfn.IFS(H59&lt;=350,INDEX('Pliegos Tarifarios (Quilicura)'!$F:$F,MATCH($B59,'Pliegos Tarifarios (Quilicura)'!$A:$A,0)),H59&lt;=500,INDEX('Pliegos Tarifarios (Quilicura)'!$G:$G,MATCH($B59,'Pliegos Tarifarios (Quilicura)'!$A:$A,0)),H59&lt;=1000,INDEX('Pliegos Tarifarios (Quilicura)'!$H:$H,MATCH($B59,'Pliegos Tarifarios (Quilicura)'!$A:$A,0)),H59&lt;=5000,INDEX('Pliegos Tarifarios (Quilicura)'!$I:$I,MATCH($B59,'Pliegos Tarifarios (Quilicura)'!$A:$A,0)),H59&gt;5000,INDEX('Pliegos Tarifarios (Quilicura)'!$J:$J,MATCH($B59,'Pliegos Tarifarios (Quilicura)'!$A:$A,0)))/1.19</f>
        <v>83.869355294117653</v>
      </c>
      <c r="R59" s="19">
        <f>INDEX('Pliegos Tarifarios (Quilicura)'!$K:$K,MATCH($B59,'Pliegos Tarifarios (Quilicura)'!$A:$A,0))</f>
        <v>710.78200000000004</v>
      </c>
      <c r="S59" s="21">
        <f t="shared" si="3"/>
        <v>23412.018729794119</v>
      </c>
      <c r="T59" s="21">
        <f t="shared" si="4"/>
        <v>4448.2835586608826</v>
      </c>
      <c r="U59" s="19">
        <v>0</v>
      </c>
      <c r="V59" s="21">
        <f t="shared" si="5"/>
        <v>27860.302288455001</v>
      </c>
    </row>
    <row r="60" spans="1:22" x14ac:dyDescent="0.3">
      <c r="A60" s="3" t="s">
        <v>12</v>
      </c>
      <c r="B60" s="3">
        <v>1</v>
      </c>
      <c r="C60" s="4" t="s">
        <v>186</v>
      </c>
      <c r="D60" s="3" t="s">
        <v>246</v>
      </c>
      <c r="E60" s="3" t="s">
        <v>121</v>
      </c>
      <c r="F60" s="4" t="s">
        <v>247</v>
      </c>
      <c r="G60" s="3" t="s">
        <v>30</v>
      </c>
      <c r="H60" s="5">
        <v>127.2509</v>
      </c>
      <c r="I60" s="5">
        <v>0.3483</v>
      </c>
      <c r="J60" s="5">
        <v>0.33789999999999998</v>
      </c>
      <c r="K60" s="6">
        <v>0.97014068331897785</v>
      </c>
      <c r="L60" s="5">
        <v>4.0999999999999996</v>
      </c>
      <c r="M60" s="19">
        <f>H60*INDEX('Pliegos Tarifarios (Quilicura)'!$B:$B,MATCH($B60,'Pliegos Tarifarios (Quilicura)'!$A:$A,0))</f>
        <v>15122.242454199999</v>
      </c>
      <c r="N60" s="19">
        <f>I60*INDEX('Pliegos Tarifarios (Quilicura)'!$C:$C,MATCH($B60,'Pliegos Tarifarios (Quilicura)'!$A:$A,0))</f>
        <v>1189.4824647</v>
      </c>
      <c r="O60" s="19">
        <f>J60*INDEX('Pliegos Tarifarios (Quilicura)'!$D:$D,MATCH($B60,'Pliegos Tarifarios (Quilicura)'!$A:$A,0))</f>
        <v>4766.6218294999999</v>
      </c>
      <c r="P60" s="19">
        <f>H60*INDEX('Pliegos Tarifarios (Quilicura)'!$E:$E,MATCH($B60,'Pliegos Tarifarios (Quilicura)'!$A:$A,0))</f>
        <v>1645.6086388000001</v>
      </c>
      <c r="Q60" s="19" cm="1">
        <f t="array" ref="Q60">H60*_xlfn.IFS(H60&lt;=350,INDEX('Pliegos Tarifarios (Quilicura)'!$F:$F,MATCH($B60,'Pliegos Tarifarios (Quilicura)'!$A:$A,0)),H60&lt;=500,INDEX('Pliegos Tarifarios (Quilicura)'!$G:$G,MATCH($B60,'Pliegos Tarifarios (Quilicura)'!$A:$A,0)),H60&lt;=1000,INDEX('Pliegos Tarifarios (Quilicura)'!$H:$H,MATCH($B60,'Pliegos Tarifarios (Quilicura)'!$A:$A,0)),H60&lt;=5000,INDEX('Pliegos Tarifarios (Quilicura)'!$I:$I,MATCH($B60,'Pliegos Tarifarios (Quilicura)'!$A:$A,0)),H60&gt;5000,INDEX('Pliegos Tarifarios (Quilicura)'!$J:$J,MATCH($B60,'Pliegos Tarifarios (Quilicura)'!$A:$A,0)))/1.19</f>
        <v>83.835887058823531</v>
      </c>
      <c r="R60" s="19">
        <f>INDEX('Pliegos Tarifarios (Quilicura)'!$K:$K,MATCH($B60,'Pliegos Tarifarios (Quilicura)'!$A:$A,0))</f>
        <v>710.78200000000004</v>
      </c>
      <c r="S60" s="21">
        <f t="shared" si="3"/>
        <v>23518.573274258822</v>
      </c>
      <c r="T60" s="21">
        <f t="shared" si="4"/>
        <v>4468.5289221091762</v>
      </c>
      <c r="U60" s="19">
        <v>0</v>
      </c>
      <c r="V60" s="21">
        <f t="shared" si="5"/>
        <v>27987.102196368</v>
      </c>
    </row>
    <row r="61" spans="1:22" x14ac:dyDescent="0.3">
      <c r="A61" s="3" t="s">
        <v>12</v>
      </c>
      <c r="B61" s="3">
        <v>1</v>
      </c>
      <c r="C61" s="4" t="s">
        <v>186</v>
      </c>
      <c r="D61" s="3" t="s">
        <v>248</v>
      </c>
      <c r="E61" s="3" t="s">
        <v>121</v>
      </c>
      <c r="F61" s="4" t="s">
        <v>249</v>
      </c>
      <c r="G61" s="3" t="s">
        <v>30</v>
      </c>
      <c r="H61" s="5">
        <v>127.0886</v>
      </c>
      <c r="I61" s="5">
        <v>0.33529999999999999</v>
      </c>
      <c r="J61" s="5">
        <v>0.33229999999999998</v>
      </c>
      <c r="K61" s="6">
        <v>0.99105278854756929</v>
      </c>
      <c r="L61" s="5">
        <v>4.0999999999999996</v>
      </c>
      <c r="M61" s="19">
        <f>H61*INDEX('Pliegos Tarifarios (Quilicura)'!$B:$B,MATCH($B61,'Pliegos Tarifarios (Quilicura)'!$A:$A,0))</f>
        <v>15102.9550468</v>
      </c>
      <c r="N61" s="19">
        <f>I61*INDEX('Pliegos Tarifarios (Quilicura)'!$C:$C,MATCH($B61,'Pliegos Tarifarios (Quilicura)'!$A:$A,0))</f>
        <v>1145.0860476999999</v>
      </c>
      <c r="O61" s="19">
        <f>J61*INDEX('Pliegos Tarifarios (Quilicura)'!$D:$D,MATCH($B61,'Pliegos Tarifarios (Quilicura)'!$A:$A,0))</f>
        <v>4687.6248415</v>
      </c>
      <c r="P61" s="19">
        <f>H61*INDEX('Pliegos Tarifarios (Quilicura)'!$E:$E,MATCH($B61,'Pliegos Tarifarios (Quilicura)'!$A:$A,0))</f>
        <v>1643.5097752000001</v>
      </c>
      <c r="Q61" s="19" cm="1">
        <f t="array" ref="Q61">H61*_xlfn.IFS(H61&lt;=350,INDEX('Pliegos Tarifarios (Quilicura)'!$F:$F,MATCH($B61,'Pliegos Tarifarios (Quilicura)'!$A:$A,0)),H61&lt;=500,INDEX('Pliegos Tarifarios (Quilicura)'!$G:$G,MATCH($B61,'Pliegos Tarifarios (Quilicura)'!$A:$A,0)),H61&lt;=1000,INDEX('Pliegos Tarifarios (Quilicura)'!$H:$H,MATCH($B61,'Pliegos Tarifarios (Quilicura)'!$A:$A,0)),H61&lt;=5000,INDEX('Pliegos Tarifarios (Quilicura)'!$I:$I,MATCH($B61,'Pliegos Tarifarios (Quilicura)'!$A:$A,0)),H61&gt;5000,INDEX('Pliegos Tarifarios (Quilicura)'!$J:$J,MATCH($B61,'Pliegos Tarifarios (Quilicura)'!$A:$A,0)))/1.19</f>
        <v>83.728960000000001</v>
      </c>
      <c r="R61" s="19">
        <f>INDEX('Pliegos Tarifarios (Quilicura)'!$K:$K,MATCH($B61,'Pliegos Tarifarios (Quilicura)'!$A:$A,0))</f>
        <v>710.78200000000004</v>
      </c>
      <c r="S61" s="21">
        <f t="shared" si="3"/>
        <v>23373.686671200001</v>
      </c>
      <c r="T61" s="21">
        <f t="shared" si="4"/>
        <v>4441.0004675280006</v>
      </c>
      <c r="U61" s="19">
        <v>0</v>
      </c>
      <c r="V61" s="21">
        <f t="shared" si="5"/>
        <v>27814.687138728001</v>
      </c>
    </row>
    <row r="62" spans="1:22" x14ac:dyDescent="0.3">
      <c r="A62" s="3" t="s">
        <v>12</v>
      </c>
      <c r="B62" s="3">
        <v>1</v>
      </c>
      <c r="C62" s="4" t="s">
        <v>186</v>
      </c>
      <c r="D62" s="3" t="s">
        <v>250</v>
      </c>
      <c r="E62" s="3" t="s">
        <v>121</v>
      </c>
      <c r="F62" s="4" t="s">
        <v>251</v>
      </c>
      <c r="G62" s="3" t="s">
        <v>30</v>
      </c>
      <c r="H62" s="5">
        <v>126.93170000000001</v>
      </c>
      <c r="I62" s="5">
        <v>0.33529999999999999</v>
      </c>
      <c r="J62" s="5">
        <v>0.3306</v>
      </c>
      <c r="K62" s="6">
        <v>0.98598270205785865</v>
      </c>
      <c r="L62" s="5">
        <v>4.09</v>
      </c>
      <c r="M62" s="19">
        <f>H62*INDEX('Pliegos Tarifarios (Quilicura)'!$B:$B,MATCH($B62,'Pliegos Tarifarios (Quilicura)'!$A:$A,0))</f>
        <v>15084.3093646</v>
      </c>
      <c r="N62" s="19">
        <f>I62*INDEX('Pliegos Tarifarios (Quilicura)'!$C:$C,MATCH($B62,'Pliegos Tarifarios (Quilicura)'!$A:$A,0))</f>
        <v>1145.0860476999999</v>
      </c>
      <c r="O62" s="19">
        <f>J62*INDEX('Pliegos Tarifarios (Quilicura)'!$D:$D,MATCH($B62,'Pliegos Tarifarios (Quilicura)'!$A:$A,0))</f>
        <v>4663.6436130000002</v>
      </c>
      <c r="P62" s="19">
        <f>H62*INDEX('Pliegos Tarifarios (Quilicura)'!$E:$E,MATCH($B62,'Pliegos Tarifarios (Quilicura)'!$A:$A,0))</f>
        <v>1641.4807444</v>
      </c>
      <c r="Q62" s="19" cm="1">
        <f t="array" ref="Q62">H62*_xlfn.IFS(H62&lt;=350,INDEX('Pliegos Tarifarios (Quilicura)'!$F:$F,MATCH($B62,'Pliegos Tarifarios (Quilicura)'!$A:$A,0)),H62&lt;=500,INDEX('Pliegos Tarifarios (Quilicura)'!$G:$G,MATCH($B62,'Pliegos Tarifarios (Quilicura)'!$A:$A,0)),H62&lt;=1000,INDEX('Pliegos Tarifarios (Quilicura)'!$H:$H,MATCH($B62,'Pliegos Tarifarios (Quilicura)'!$A:$A,0)),H62&lt;=5000,INDEX('Pliegos Tarifarios (Quilicura)'!$I:$I,MATCH($B62,'Pliegos Tarifarios (Quilicura)'!$A:$A,0)),H62&gt;5000,INDEX('Pliegos Tarifarios (Quilicura)'!$J:$J,MATCH($B62,'Pliegos Tarifarios (Quilicura)'!$A:$A,0)))/1.19</f>
        <v>83.625590588235312</v>
      </c>
      <c r="R62" s="19">
        <f>INDEX('Pliegos Tarifarios (Quilicura)'!$K:$K,MATCH($B62,'Pliegos Tarifarios (Quilicura)'!$A:$A,0))</f>
        <v>710.78200000000004</v>
      </c>
      <c r="S62" s="21">
        <f t="shared" si="3"/>
        <v>23328.927360288235</v>
      </c>
      <c r="T62" s="21">
        <f t="shared" si="4"/>
        <v>4432.4961984547645</v>
      </c>
      <c r="U62" s="19">
        <v>0</v>
      </c>
      <c r="V62" s="21">
        <f t="shared" si="5"/>
        <v>27761.423558743001</v>
      </c>
    </row>
    <row r="63" spans="1:22" x14ac:dyDescent="0.3">
      <c r="A63" s="3" t="s">
        <v>12</v>
      </c>
      <c r="B63" s="3">
        <v>1</v>
      </c>
      <c r="C63" s="4" t="s">
        <v>186</v>
      </c>
      <c r="D63" s="3" t="s">
        <v>252</v>
      </c>
      <c r="E63" s="3" t="s">
        <v>121</v>
      </c>
      <c r="F63" s="4" t="s">
        <v>253</v>
      </c>
      <c r="G63" s="3" t="s">
        <v>30</v>
      </c>
      <c r="H63" s="5">
        <v>127.0926</v>
      </c>
      <c r="I63" s="5">
        <v>0.33910000000000001</v>
      </c>
      <c r="J63" s="5">
        <v>0.33069999999999999</v>
      </c>
      <c r="K63" s="6">
        <v>0.97522854615157761</v>
      </c>
      <c r="L63" s="5">
        <v>4.0999999999999996</v>
      </c>
      <c r="M63" s="19">
        <f>H63*INDEX('Pliegos Tarifarios (Quilicura)'!$B:$B,MATCH($B63,'Pliegos Tarifarios (Quilicura)'!$A:$A,0))</f>
        <v>15103.430398799999</v>
      </c>
      <c r="N63" s="19">
        <f>I63*INDEX('Pliegos Tarifarios (Quilicura)'!$C:$C,MATCH($B63,'Pliegos Tarifarios (Quilicura)'!$A:$A,0))</f>
        <v>1158.0634619</v>
      </c>
      <c r="O63" s="19">
        <f>J63*INDEX('Pliegos Tarifarios (Quilicura)'!$D:$D,MATCH($B63,'Pliegos Tarifarios (Quilicura)'!$A:$A,0))</f>
        <v>4665.0542734999999</v>
      </c>
      <c r="P63" s="19">
        <f>H63*INDEX('Pliegos Tarifarios (Quilicura)'!$E:$E,MATCH($B63,'Pliegos Tarifarios (Quilicura)'!$A:$A,0))</f>
        <v>1643.5615032000001</v>
      </c>
      <c r="Q63" s="19" cm="1">
        <f t="array" ref="Q63">H63*_xlfn.IFS(H63&lt;=350,INDEX('Pliegos Tarifarios (Quilicura)'!$F:$F,MATCH($B63,'Pliegos Tarifarios (Quilicura)'!$A:$A,0)),H63&lt;=500,INDEX('Pliegos Tarifarios (Quilicura)'!$G:$G,MATCH($B63,'Pliegos Tarifarios (Quilicura)'!$A:$A,0)),H63&lt;=1000,INDEX('Pliegos Tarifarios (Quilicura)'!$H:$H,MATCH($B63,'Pliegos Tarifarios (Quilicura)'!$A:$A,0)),H63&lt;=5000,INDEX('Pliegos Tarifarios (Quilicura)'!$I:$I,MATCH($B63,'Pliegos Tarifarios (Quilicura)'!$A:$A,0)),H63&gt;5000,INDEX('Pliegos Tarifarios (Quilicura)'!$J:$J,MATCH($B63,'Pliegos Tarifarios (Quilicura)'!$A:$A,0)))/1.19</f>
        <v>83.731595294117653</v>
      </c>
      <c r="R63" s="19">
        <f>INDEX('Pliegos Tarifarios (Quilicura)'!$K:$K,MATCH($B63,'Pliegos Tarifarios (Quilicura)'!$A:$A,0))</f>
        <v>710.78200000000004</v>
      </c>
      <c r="S63" s="21">
        <f t="shared" si="3"/>
        <v>23364.623232694114</v>
      </c>
      <c r="T63" s="21">
        <f t="shared" si="4"/>
        <v>4439.2784142118817</v>
      </c>
      <c r="U63" s="19">
        <v>0</v>
      </c>
      <c r="V63" s="21">
        <f t="shared" si="5"/>
        <v>27803.901646905993</v>
      </c>
    </row>
    <row r="64" spans="1:22" x14ac:dyDescent="0.3">
      <c r="A64" s="3" t="s">
        <v>12</v>
      </c>
      <c r="B64" s="3">
        <v>1</v>
      </c>
      <c r="C64" s="4" t="s">
        <v>186</v>
      </c>
      <c r="D64" s="3" t="s">
        <v>254</v>
      </c>
      <c r="E64" s="3" t="s">
        <v>121</v>
      </c>
      <c r="F64" s="4" t="s">
        <v>255</v>
      </c>
      <c r="G64" s="3" t="s">
        <v>30</v>
      </c>
      <c r="H64" s="5">
        <v>127.1803</v>
      </c>
      <c r="I64" s="5">
        <v>0.33489999999999998</v>
      </c>
      <c r="J64" s="5">
        <v>0.33310000000000001</v>
      </c>
      <c r="K64" s="6">
        <v>0.99462526127202155</v>
      </c>
      <c r="L64" s="5">
        <v>4.0999999999999996</v>
      </c>
      <c r="M64" s="19">
        <f>H64*INDEX('Pliegos Tarifarios (Quilicura)'!$B:$B,MATCH($B64,'Pliegos Tarifarios (Quilicura)'!$A:$A,0))</f>
        <v>15113.852491399999</v>
      </c>
      <c r="N64" s="19">
        <f>I64*INDEX('Pliegos Tarifarios (Quilicura)'!$C:$C,MATCH($B64,'Pliegos Tarifarios (Quilicura)'!$A:$A,0))</f>
        <v>1143.7200040999999</v>
      </c>
      <c r="O64" s="19">
        <f>J64*INDEX('Pliegos Tarifarios (Quilicura)'!$D:$D,MATCH($B64,'Pliegos Tarifarios (Quilicura)'!$A:$A,0))</f>
        <v>4698.9101254999996</v>
      </c>
      <c r="P64" s="19">
        <f>H64*INDEX('Pliegos Tarifarios (Quilicura)'!$E:$E,MATCH($B64,'Pliegos Tarifarios (Quilicura)'!$A:$A,0))</f>
        <v>1644.6956396</v>
      </c>
      <c r="Q64" s="19" cm="1">
        <f t="array" ref="Q64">H64*_xlfn.IFS(H64&lt;=350,INDEX('Pliegos Tarifarios (Quilicura)'!$F:$F,MATCH($B64,'Pliegos Tarifarios (Quilicura)'!$A:$A,0)),H64&lt;=500,INDEX('Pliegos Tarifarios (Quilicura)'!$G:$G,MATCH($B64,'Pliegos Tarifarios (Quilicura)'!$A:$A,0)),H64&lt;=1000,INDEX('Pliegos Tarifarios (Quilicura)'!$H:$H,MATCH($B64,'Pliegos Tarifarios (Quilicura)'!$A:$A,0)),H64&lt;=5000,INDEX('Pliegos Tarifarios (Quilicura)'!$I:$I,MATCH($B64,'Pliegos Tarifarios (Quilicura)'!$A:$A,0)),H64&gt;5000,INDEX('Pliegos Tarifarios (Quilicura)'!$J:$J,MATCH($B64,'Pliegos Tarifarios (Quilicura)'!$A:$A,0)))/1.19</f>
        <v>83.789374117647071</v>
      </c>
      <c r="R64" s="19">
        <f>INDEX('Pliegos Tarifarios (Quilicura)'!$K:$K,MATCH($B64,'Pliegos Tarifarios (Quilicura)'!$A:$A,0))</f>
        <v>710.78200000000004</v>
      </c>
      <c r="S64" s="21">
        <f t="shared" si="3"/>
        <v>23395.749634717646</v>
      </c>
      <c r="T64" s="21">
        <f t="shared" si="4"/>
        <v>4445.192430596353</v>
      </c>
      <c r="U64" s="19">
        <v>0</v>
      </c>
      <c r="V64" s="21">
        <f t="shared" si="5"/>
        <v>27840.942065313997</v>
      </c>
    </row>
    <row r="65" spans="1:22" x14ac:dyDescent="0.3">
      <c r="A65" s="3" t="s">
        <v>12</v>
      </c>
      <c r="B65" s="3">
        <v>1</v>
      </c>
      <c r="C65" s="4" t="s">
        <v>186</v>
      </c>
      <c r="D65" s="3" t="s">
        <v>256</v>
      </c>
      <c r="E65" s="3" t="s">
        <v>121</v>
      </c>
      <c r="F65" s="4" t="s">
        <v>257</v>
      </c>
      <c r="G65" s="3" t="s">
        <v>30</v>
      </c>
      <c r="H65" s="5">
        <v>127.1426</v>
      </c>
      <c r="I65" s="5">
        <v>0.33139999999999997</v>
      </c>
      <c r="J65" s="5">
        <v>0.33139999999999997</v>
      </c>
      <c r="K65" s="6">
        <v>1</v>
      </c>
      <c r="L65" s="5">
        <v>4.0999999999999996</v>
      </c>
      <c r="M65" s="19">
        <f>H65*INDEX('Pliegos Tarifarios (Quilicura)'!$B:$B,MATCH($B65,'Pliegos Tarifarios (Quilicura)'!$A:$A,0))</f>
        <v>15109.372298799999</v>
      </c>
      <c r="N65" s="19">
        <f>I65*INDEX('Pliegos Tarifarios (Quilicura)'!$C:$C,MATCH($B65,'Pliegos Tarifarios (Quilicura)'!$A:$A,0))</f>
        <v>1131.7671226</v>
      </c>
      <c r="O65" s="19">
        <f>J65*INDEX('Pliegos Tarifarios (Quilicura)'!$D:$D,MATCH($B65,'Pliegos Tarifarios (Quilicura)'!$A:$A,0))</f>
        <v>4674.9288969999998</v>
      </c>
      <c r="P65" s="19">
        <f>H65*INDEX('Pliegos Tarifarios (Quilicura)'!$E:$E,MATCH($B65,'Pliegos Tarifarios (Quilicura)'!$A:$A,0))</f>
        <v>1644.2081032000001</v>
      </c>
      <c r="Q65" s="19" cm="1">
        <f t="array" ref="Q65">H65*_xlfn.IFS(H65&lt;=350,INDEX('Pliegos Tarifarios (Quilicura)'!$F:$F,MATCH($B65,'Pliegos Tarifarios (Quilicura)'!$A:$A,0)),H65&lt;=500,INDEX('Pliegos Tarifarios (Quilicura)'!$G:$G,MATCH($B65,'Pliegos Tarifarios (Quilicura)'!$A:$A,0)),H65&lt;=1000,INDEX('Pliegos Tarifarios (Quilicura)'!$H:$H,MATCH($B65,'Pliegos Tarifarios (Quilicura)'!$A:$A,0)),H65&lt;=5000,INDEX('Pliegos Tarifarios (Quilicura)'!$I:$I,MATCH($B65,'Pliegos Tarifarios (Quilicura)'!$A:$A,0)),H65&gt;5000,INDEX('Pliegos Tarifarios (Quilicura)'!$J:$J,MATCH($B65,'Pliegos Tarifarios (Quilicura)'!$A:$A,0)))/1.19</f>
        <v>83.764536470588254</v>
      </c>
      <c r="R65" s="19">
        <f>INDEX('Pliegos Tarifarios (Quilicura)'!$K:$K,MATCH($B65,'Pliegos Tarifarios (Quilicura)'!$A:$A,0))</f>
        <v>710.78200000000004</v>
      </c>
      <c r="S65" s="21">
        <f t="shared" si="3"/>
        <v>23354.822958070588</v>
      </c>
      <c r="T65" s="21">
        <f t="shared" si="4"/>
        <v>4437.416362033412</v>
      </c>
      <c r="U65" s="19">
        <v>0</v>
      </c>
      <c r="V65" s="21">
        <f t="shared" si="5"/>
        <v>27792.239320103999</v>
      </c>
    </row>
    <row r="66" spans="1:22" x14ac:dyDescent="0.3">
      <c r="A66" s="3" t="s">
        <v>12</v>
      </c>
      <c r="B66" s="3">
        <v>1</v>
      </c>
      <c r="C66" s="4" t="s">
        <v>186</v>
      </c>
      <c r="D66" s="3" t="s">
        <v>258</v>
      </c>
      <c r="E66" s="3" t="s">
        <v>121</v>
      </c>
      <c r="F66" s="4" t="s">
        <v>259</v>
      </c>
      <c r="G66" s="3" t="s">
        <v>30</v>
      </c>
      <c r="H66" s="5">
        <v>127.2422</v>
      </c>
      <c r="I66" s="5">
        <v>0.33839999999999998</v>
      </c>
      <c r="J66" s="5">
        <v>0.32969999999999999</v>
      </c>
      <c r="K66" s="6">
        <v>0.974290780141844</v>
      </c>
      <c r="L66" s="5">
        <v>4.0999999999999996</v>
      </c>
      <c r="M66" s="19">
        <f>H66*INDEX('Pliegos Tarifarios (Quilicura)'!$B:$B,MATCH($B66,'Pliegos Tarifarios (Quilicura)'!$A:$A,0))</f>
        <v>15121.208563599999</v>
      </c>
      <c r="N66" s="19">
        <f>I66*INDEX('Pliegos Tarifarios (Quilicura)'!$C:$C,MATCH($B66,'Pliegos Tarifarios (Quilicura)'!$A:$A,0))</f>
        <v>1155.6728856</v>
      </c>
      <c r="O66" s="19">
        <f>J66*INDEX('Pliegos Tarifarios (Quilicura)'!$D:$D,MATCH($B66,'Pliegos Tarifarios (Quilicura)'!$A:$A,0))</f>
        <v>4650.9476685</v>
      </c>
      <c r="P66" s="19">
        <f>H66*INDEX('Pliegos Tarifarios (Quilicura)'!$E:$E,MATCH($B66,'Pliegos Tarifarios (Quilicura)'!$A:$A,0))</f>
        <v>1645.4961304000001</v>
      </c>
      <c r="Q66" s="19" cm="1">
        <f t="array" ref="Q66">H66*_xlfn.IFS(H66&lt;=350,INDEX('Pliegos Tarifarios (Quilicura)'!$F:$F,MATCH($B66,'Pliegos Tarifarios (Quilicura)'!$A:$A,0)),H66&lt;=500,INDEX('Pliegos Tarifarios (Quilicura)'!$G:$G,MATCH($B66,'Pliegos Tarifarios (Quilicura)'!$A:$A,0)),H66&lt;=1000,INDEX('Pliegos Tarifarios (Quilicura)'!$H:$H,MATCH($B66,'Pliegos Tarifarios (Quilicura)'!$A:$A,0)),H66&lt;=5000,INDEX('Pliegos Tarifarios (Quilicura)'!$I:$I,MATCH($B66,'Pliegos Tarifarios (Quilicura)'!$A:$A,0)),H66&gt;5000,INDEX('Pliegos Tarifarios (Quilicura)'!$J:$J,MATCH($B66,'Pliegos Tarifarios (Quilicura)'!$A:$A,0)))/1.19</f>
        <v>83.830155294117645</v>
      </c>
      <c r="R66" s="19">
        <f>INDEX('Pliegos Tarifarios (Quilicura)'!$K:$K,MATCH($B66,'Pliegos Tarifarios (Quilicura)'!$A:$A,0))</f>
        <v>710.78200000000004</v>
      </c>
      <c r="S66" s="21">
        <f t="shared" si="3"/>
        <v>23367.937403394117</v>
      </c>
      <c r="T66" s="21">
        <f t="shared" si="4"/>
        <v>4439.9081066448825</v>
      </c>
      <c r="U66" s="19">
        <v>0</v>
      </c>
      <c r="V66" s="21">
        <f t="shared" si="5"/>
        <v>27807.845510038998</v>
      </c>
    </row>
    <row r="67" spans="1:22" x14ac:dyDescent="0.3">
      <c r="A67" s="3" t="s">
        <v>12</v>
      </c>
      <c r="B67" s="3">
        <v>1</v>
      </c>
      <c r="C67" s="4" t="s">
        <v>186</v>
      </c>
      <c r="D67" s="3" t="s">
        <v>260</v>
      </c>
      <c r="E67" s="3" t="s">
        <v>121</v>
      </c>
      <c r="F67" s="4" t="s">
        <v>261</v>
      </c>
      <c r="G67" s="3" t="s">
        <v>16</v>
      </c>
      <c r="H67" s="5">
        <v>1044.4562000000001</v>
      </c>
      <c r="I67" s="5">
        <v>2.8187000000000002</v>
      </c>
      <c r="J67" s="5">
        <v>2.8187000000000002</v>
      </c>
      <c r="K67" s="6">
        <v>1</v>
      </c>
      <c r="L67" s="5">
        <v>33.69</v>
      </c>
      <c r="M67" s="19">
        <f>H67*INDEX('Pliegos Tarifarios (Quilicura)'!$B:$B,MATCH($B67,'Pliegos Tarifarios (Quilicura)'!$A:$A,0))</f>
        <v>124121.0858956</v>
      </c>
      <c r="N67" s="19">
        <f>I67*INDEX('Pliegos Tarifarios (Quilicura)'!$C:$C,MATCH($B67,'Pliegos Tarifarios (Quilicura)'!$A:$A,0))</f>
        <v>9626.1677383000006</v>
      </c>
      <c r="O67" s="19">
        <f>J67*INDEX('Pliegos Tarifarios (Quilicura)'!$D:$D,MATCH($B67,'Pliegos Tarifarios (Quilicura)'!$A:$A,0))</f>
        <v>39762.287513499999</v>
      </c>
      <c r="P67" s="19">
        <f>H67*INDEX('Pliegos Tarifarios (Quilicura)'!$E:$E,MATCH($B67,'Pliegos Tarifarios (Quilicura)'!$A:$A,0))</f>
        <v>13506.907578400002</v>
      </c>
      <c r="Q67" s="19" cm="1">
        <f t="array" ref="Q67">H67*_xlfn.IFS(H67&lt;=350,INDEX('Pliegos Tarifarios (Quilicura)'!$F:$F,MATCH($B67,'Pliegos Tarifarios (Quilicura)'!$A:$A,0)),H67&lt;=500,INDEX('Pliegos Tarifarios (Quilicura)'!$G:$G,MATCH($B67,'Pliegos Tarifarios (Quilicura)'!$A:$A,0)),H67&lt;=1000,INDEX('Pliegos Tarifarios (Quilicura)'!$H:$H,MATCH($B67,'Pliegos Tarifarios (Quilicura)'!$A:$A,0)),H67&lt;=5000,INDEX('Pliegos Tarifarios (Quilicura)'!$I:$I,MATCH($B67,'Pliegos Tarifarios (Quilicura)'!$A:$A,0)),H67&gt;5000,INDEX('Pliegos Tarifarios (Quilicura)'!$J:$J,MATCH($B67,'Pliegos Tarifarios (Quilicura)'!$A:$A,0)))/1.19</f>
        <v>3134.2462942857142</v>
      </c>
      <c r="R67" s="19">
        <f>INDEX('Pliegos Tarifarios (Quilicura)'!$K:$K,MATCH($B67,'Pliegos Tarifarios (Quilicura)'!$A:$A,0))</f>
        <v>710.78200000000004</v>
      </c>
      <c r="S67" s="21">
        <f t="shared" si="3"/>
        <v>190861.4770200857</v>
      </c>
      <c r="T67" s="21">
        <f t="shared" si="4"/>
        <v>36263.680633816286</v>
      </c>
      <c r="U67" s="19">
        <v>0</v>
      </c>
      <c r="V67" s="21">
        <f t="shared" si="5"/>
        <v>227125.15765390199</v>
      </c>
    </row>
    <row r="68" spans="1:22" x14ac:dyDescent="0.3">
      <c r="A68" s="3" t="s">
        <v>12</v>
      </c>
      <c r="B68" s="3">
        <v>1</v>
      </c>
      <c r="C68" s="4" t="s">
        <v>186</v>
      </c>
      <c r="D68" s="3" t="s">
        <v>262</v>
      </c>
      <c r="E68" s="3" t="s">
        <v>121</v>
      </c>
      <c r="F68" s="4" t="s">
        <v>263</v>
      </c>
      <c r="G68" s="3" t="s">
        <v>16</v>
      </c>
      <c r="H68" s="5">
        <v>1045.8457000000001</v>
      </c>
      <c r="I68" s="5">
        <v>2.8016999999999999</v>
      </c>
      <c r="J68" s="5">
        <v>2.7557</v>
      </c>
      <c r="K68" s="6">
        <v>0.98358139700895886</v>
      </c>
      <c r="L68" s="5">
        <v>33.74</v>
      </c>
      <c r="M68" s="19">
        <f>H68*INDEX('Pliegos Tarifarios (Quilicura)'!$B:$B,MATCH($B68,'Pliegos Tarifarios (Quilicura)'!$A:$A,0))</f>
        <v>124286.2112966</v>
      </c>
      <c r="N68" s="19">
        <f>I68*INDEX('Pliegos Tarifarios (Quilicura)'!$C:$C,MATCH($B68,'Pliegos Tarifarios (Quilicura)'!$A:$A,0))</f>
        <v>9568.1108852999987</v>
      </c>
      <c r="O68" s="19">
        <f>J68*INDEX('Pliegos Tarifarios (Quilicura)'!$D:$D,MATCH($B68,'Pliegos Tarifarios (Quilicura)'!$A:$A,0))</f>
        <v>38873.571398499997</v>
      </c>
      <c r="P68" s="19">
        <f>H68*INDEX('Pliegos Tarifarios (Quilicura)'!$E:$E,MATCH($B68,'Pliegos Tarifarios (Quilicura)'!$A:$A,0))</f>
        <v>13524.876592400002</v>
      </c>
      <c r="Q68" s="19" cm="1">
        <f t="array" ref="Q68">H68*_xlfn.IFS(H68&lt;=350,INDEX('Pliegos Tarifarios (Quilicura)'!$F:$F,MATCH($B68,'Pliegos Tarifarios (Quilicura)'!$A:$A,0)),H68&lt;=500,INDEX('Pliegos Tarifarios (Quilicura)'!$G:$G,MATCH($B68,'Pliegos Tarifarios (Quilicura)'!$A:$A,0)),H68&lt;=1000,INDEX('Pliegos Tarifarios (Quilicura)'!$H:$H,MATCH($B68,'Pliegos Tarifarios (Quilicura)'!$A:$A,0)),H68&lt;=5000,INDEX('Pliegos Tarifarios (Quilicura)'!$I:$I,MATCH($B68,'Pliegos Tarifarios (Quilicura)'!$A:$A,0)),H68&gt;5000,INDEX('Pliegos Tarifarios (Quilicura)'!$J:$J,MATCH($B68,'Pliegos Tarifarios (Quilicura)'!$A:$A,0)))/1.19</f>
        <v>3138.4159619327729</v>
      </c>
      <c r="R68" s="19">
        <f>INDEX('Pliegos Tarifarios (Quilicura)'!$K:$K,MATCH($B68,'Pliegos Tarifarios (Quilicura)'!$A:$A,0))</f>
        <v>710.78200000000004</v>
      </c>
      <c r="S68" s="21">
        <f t="shared" si="3"/>
        <v>190101.96813473277</v>
      </c>
      <c r="T68" s="21">
        <f t="shared" si="4"/>
        <v>36119.373945599225</v>
      </c>
      <c r="U68" s="19">
        <v>0</v>
      </c>
      <c r="V68" s="21">
        <f t="shared" si="5"/>
        <v>226221.34208033199</v>
      </c>
    </row>
    <row r="69" spans="1:22" x14ac:dyDescent="0.3">
      <c r="A69" s="3" t="s">
        <v>12</v>
      </c>
      <c r="B69" s="3">
        <v>1</v>
      </c>
      <c r="C69" s="4" t="s">
        <v>186</v>
      </c>
      <c r="D69" s="3" t="s">
        <v>264</v>
      </c>
      <c r="E69" s="3" t="s">
        <v>121</v>
      </c>
      <c r="F69" s="4" t="s">
        <v>265</v>
      </c>
      <c r="G69" s="3" t="s">
        <v>16</v>
      </c>
      <c r="H69" s="5">
        <v>848.23889999999994</v>
      </c>
      <c r="I69" s="5">
        <v>2.31</v>
      </c>
      <c r="J69" s="5">
        <v>2.2109999999999999</v>
      </c>
      <c r="K69" s="6">
        <v>0.95714285714285707</v>
      </c>
      <c r="L69" s="5">
        <v>27.36</v>
      </c>
      <c r="M69" s="19">
        <f>H69*INDEX('Pliegos Tarifarios (Quilicura)'!$B:$B,MATCH($B69,'Pliegos Tarifarios (Quilicura)'!$A:$A,0))</f>
        <v>100803.01439819999</v>
      </c>
      <c r="N69" s="19">
        <f>I69*INDEX('Pliegos Tarifarios (Quilicura)'!$C:$C,MATCH($B69,'Pliegos Tarifarios (Quilicura)'!$A:$A,0))</f>
        <v>7888.9017899999999</v>
      </c>
      <c r="O69" s="19">
        <f>J69*INDEX('Pliegos Tarifarios (Quilicura)'!$D:$D,MATCH($B69,'Pliegos Tarifarios (Quilicura)'!$A:$A,0))</f>
        <v>31189.703654999998</v>
      </c>
      <c r="P69" s="19">
        <f>H69*INDEX('Pliegos Tarifarios (Quilicura)'!$E:$E,MATCH($B69,'Pliegos Tarifarios (Quilicura)'!$A:$A,0))</f>
        <v>10969.425454799999</v>
      </c>
      <c r="Q69" s="19" cm="1">
        <f t="array" ref="Q69">H69*_xlfn.IFS(H69&lt;=350,INDEX('Pliegos Tarifarios (Quilicura)'!$F:$F,MATCH($B69,'Pliegos Tarifarios (Quilicura)'!$A:$A,0)),H69&lt;=500,INDEX('Pliegos Tarifarios (Quilicura)'!$G:$G,MATCH($B69,'Pliegos Tarifarios (Quilicura)'!$A:$A,0)),H69&lt;=1000,INDEX('Pliegos Tarifarios (Quilicura)'!$H:$H,MATCH($B69,'Pliegos Tarifarios (Quilicura)'!$A:$A,0)),H69&lt;=5000,INDEX('Pliegos Tarifarios (Quilicura)'!$I:$I,MATCH($B69,'Pliegos Tarifarios (Quilicura)'!$A:$A,0)),H69&gt;5000,INDEX('Pliegos Tarifarios (Quilicura)'!$J:$J,MATCH($B69,'Pliegos Tarifarios (Quilicura)'!$A:$A,0)))/1.19</f>
        <v>1989.4409831092437</v>
      </c>
      <c r="R69" s="19">
        <f>INDEX('Pliegos Tarifarios (Quilicura)'!$K:$K,MATCH($B69,'Pliegos Tarifarios (Quilicura)'!$A:$A,0))</f>
        <v>710.78200000000004</v>
      </c>
      <c r="S69" s="21">
        <f t="shared" si="3"/>
        <v>153551.26828110922</v>
      </c>
      <c r="T69" s="21">
        <f t="shared" si="4"/>
        <v>29174.740973410753</v>
      </c>
      <c r="U69" s="19">
        <v>0</v>
      </c>
      <c r="V69" s="21">
        <f t="shared" si="5"/>
        <v>182726.00925451997</v>
      </c>
    </row>
    <row r="70" spans="1:22" x14ac:dyDescent="0.3">
      <c r="A70" s="3" t="s">
        <v>12</v>
      </c>
      <c r="B70" s="3">
        <v>1</v>
      </c>
      <c r="C70" s="4" t="s">
        <v>186</v>
      </c>
      <c r="D70" s="3" t="s">
        <v>266</v>
      </c>
      <c r="E70" s="3" t="s">
        <v>121</v>
      </c>
      <c r="F70" s="4" t="s">
        <v>267</v>
      </c>
      <c r="G70" s="3" t="s">
        <v>16</v>
      </c>
      <c r="H70" s="5">
        <v>348.82740000000001</v>
      </c>
      <c r="I70" s="5">
        <v>0.92420000000000002</v>
      </c>
      <c r="J70" s="5">
        <v>0.89449999999999996</v>
      </c>
      <c r="K70" s="6">
        <v>0.96786409867993939</v>
      </c>
      <c r="L70" s="5">
        <v>11.25</v>
      </c>
      <c r="M70" s="19">
        <f>H70*INDEX('Pliegos Tarifarios (Quilicura)'!$B:$B,MATCH($B70,'Pliegos Tarifarios (Quilicura)'!$A:$A,0))</f>
        <v>41453.950561199999</v>
      </c>
      <c r="N70" s="19">
        <f>I70*INDEX('Pliegos Tarifarios (Quilicura)'!$C:$C,MATCH($B70,'Pliegos Tarifarios (Quilicura)'!$A:$A,0))</f>
        <v>3156.2437378</v>
      </c>
      <c r="O70" s="19">
        <f>J70*INDEX('Pliegos Tarifarios (Quilicura)'!$D:$D,MATCH($B70,'Pliegos Tarifarios (Quilicura)'!$A:$A,0))</f>
        <v>12618.358172499999</v>
      </c>
      <c r="P70" s="19">
        <f>H70*INDEX('Pliegos Tarifarios (Quilicura)'!$E:$E,MATCH($B70,'Pliegos Tarifarios (Quilicura)'!$A:$A,0))</f>
        <v>4511.0359367999999</v>
      </c>
      <c r="Q70" s="19" cm="1">
        <f t="array" ref="Q70">H70*_xlfn.IFS(H70&lt;=350,INDEX('Pliegos Tarifarios (Quilicura)'!$F:$F,MATCH($B70,'Pliegos Tarifarios (Quilicura)'!$A:$A,0)),H70&lt;=500,INDEX('Pliegos Tarifarios (Quilicura)'!$G:$G,MATCH($B70,'Pliegos Tarifarios (Quilicura)'!$A:$A,0)),H70&lt;=1000,INDEX('Pliegos Tarifarios (Quilicura)'!$H:$H,MATCH($B70,'Pliegos Tarifarios (Quilicura)'!$A:$A,0)),H70&lt;=5000,INDEX('Pliegos Tarifarios (Quilicura)'!$I:$I,MATCH($B70,'Pliegos Tarifarios (Quilicura)'!$A:$A,0)),H70&gt;5000,INDEX('Pliegos Tarifarios (Quilicura)'!$J:$J,MATCH($B70,'Pliegos Tarifarios (Quilicura)'!$A:$A,0)))/1.19</f>
        <v>229.81569882352943</v>
      </c>
      <c r="R70" s="19">
        <f>INDEX('Pliegos Tarifarios (Quilicura)'!$K:$K,MATCH($B70,'Pliegos Tarifarios (Quilicura)'!$A:$A,0))</f>
        <v>710.78200000000004</v>
      </c>
      <c r="S70" s="21">
        <f t="shared" si="3"/>
        <v>62680.186107123525</v>
      </c>
      <c r="T70" s="21">
        <f t="shared" si="4"/>
        <v>11909.23536035347</v>
      </c>
      <c r="U70" s="19">
        <v>0</v>
      </c>
      <c r="V70" s="21">
        <f t="shared" si="5"/>
        <v>74589.42146747699</v>
      </c>
    </row>
    <row r="71" spans="1:22" x14ac:dyDescent="0.3">
      <c r="A71" s="3" t="s">
        <v>12</v>
      </c>
      <c r="B71" s="3">
        <v>1</v>
      </c>
      <c r="C71" s="4" t="s">
        <v>186</v>
      </c>
      <c r="D71" s="3" t="s">
        <v>268</v>
      </c>
      <c r="E71" s="3" t="s">
        <v>121</v>
      </c>
      <c r="F71" s="4" t="s">
        <v>269</v>
      </c>
      <c r="G71" s="3" t="s">
        <v>16</v>
      </c>
      <c r="H71" s="5">
        <v>262.87209999999999</v>
      </c>
      <c r="I71" s="5">
        <v>0.71899999999999997</v>
      </c>
      <c r="J71" s="5">
        <v>0.69589999999999996</v>
      </c>
      <c r="K71" s="6">
        <v>0.96787204450625863</v>
      </c>
      <c r="L71" s="5">
        <v>8.48</v>
      </c>
      <c r="M71" s="19">
        <f>H71*INDEX('Pliegos Tarifarios (Quilicura)'!$B:$B,MATCH($B71,'Pliegos Tarifarios (Quilicura)'!$A:$A,0))</f>
        <v>31239.194619799997</v>
      </c>
      <c r="N71" s="19">
        <f>I71*INDEX('Pliegos Tarifarios (Quilicura)'!$C:$C,MATCH($B71,'Pliegos Tarifarios (Quilicura)'!$A:$A,0))</f>
        <v>2455.4633709999998</v>
      </c>
      <c r="O71" s="19">
        <f>J71*INDEX('Pliegos Tarifarios (Quilicura)'!$D:$D,MATCH($B71,'Pliegos Tarifarios (Quilicura)'!$A:$A,0))</f>
        <v>9816.7864194999984</v>
      </c>
      <c r="P71" s="19">
        <f>H71*INDEX('Pliegos Tarifarios (Quilicura)'!$E:$E,MATCH($B71,'Pliegos Tarifarios (Quilicura)'!$A:$A,0))</f>
        <v>3399.4619972</v>
      </c>
      <c r="Q71" s="19" cm="1">
        <f t="array" ref="Q71">H71*_xlfn.IFS(H71&lt;=350,INDEX('Pliegos Tarifarios (Quilicura)'!$F:$F,MATCH($B71,'Pliegos Tarifarios (Quilicura)'!$A:$A,0)),H71&lt;=500,INDEX('Pliegos Tarifarios (Quilicura)'!$G:$G,MATCH($B71,'Pliegos Tarifarios (Quilicura)'!$A:$A,0)),H71&lt;=1000,INDEX('Pliegos Tarifarios (Quilicura)'!$H:$H,MATCH($B71,'Pliegos Tarifarios (Quilicura)'!$A:$A,0)),H71&lt;=5000,INDEX('Pliegos Tarifarios (Quilicura)'!$I:$I,MATCH($B71,'Pliegos Tarifarios (Quilicura)'!$A:$A,0)),H71&gt;5000,INDEX('Pliegos Tarifarios (Quilicura)'!$J:$J,MATCH($B71,'Pliegos Tarifarios (Quilicura)'!$A:$A,0)))/1.19</f>
        <v>173.18632470588236</v>
      </c>
      <c r="R71" s="19">
        <f>INDEX('Pliegos Tarifarios (Quilicura)'!$K:$K,MATCH($B71,'Pliegos Tarifarios (Quilicura)'!$A:$A,0))</f>
        <v>710.78200000000004</v>
      </c>
      <c r="S71" s="21">
        <f t="shared" si="3"/>
        <v>47794.874732205877</v>
      </c>
      <c r="T71" s="21">
        <f t="shared" si="4"/>
        <v>9081.0261991191164</v>
      </c>
      <c r="U71" s="19">
        <v>0</v>
      </c>
      <c r="V71" s="21">
        <f t="shared" si="5"/>
        <v>56875.900931324992</v>
      </c>
    </row>
    <row r="72" spans="1:22" x14ac:dyDescent="0.3">
      <c r="A72" s="3" t="s">
        <v>12</v>
      </c>
      <c r="B72" s="3">
        <v>1</v>
      </c>
      <c r="C72" s="4" t="s">
        <v>186</v>
      </c>
      <c r="D72" s="3" t="s">
        <v>270</v>
      </c>
      <c r="E72" s="3" t="s">
        <v>121</v>
      </c>
      <c r="F72" s="4" t="s">
        <v>271</v>
      </c>
      <c r="G72" s="3" t="s">
        <v>16</v>
      </c>
      <c r="H72" s="5">
        <v>116.1461</v>
      </c>
      <c r="I72" s="5">
        <v>0.30940000000000001</v>
      </c>
      <c r="J72" s="5">
        <v>0.3049</v>
      </c>
      <c r="K72" s="6">
        <v>0.98545572074983834</v>
      </c>
      <c r="L72" s="5">
        <v>3.75</v>
      </c>
      <c r="M72" s="19">
        <f>H72*INDEX('Pliegos Tarifarios (Quilicura)'!$B:$B,MATCH($B72,'Pliegos Tarifarios (Quilicura)'!$A:$A,0))</f>
        <v>13802.5702318</v>
      </c>
      <c r="N72" s="19">
        <f>I72*INDEX('Pliegos Tarifarios (Quilicura)'!$C:$C,MATCH($B72,'Pliegos Tarifarios (Quilicura)'!$A:$A,0))</f>
        <v>1056.6347246</v>
      </c>
      <c r="O72" s="19">
        <f>J72*INDEX('Pliegos Tarifarios (Quilicura)'!$D:$D,MATCH($B72,'Pliegos Tarifarios (Quilicura)'!$A:$A,0))</f>
        <v>4301.1038644999999</v>
      </c>
      <c r="P72" s="19">
        <f>H72*INDEX('Pliegos Tarifarios (Quilicura)'!$E:$E,MATCH($B72,'Pliegos Tarifarios (Quilicura)'!$A:$A,0))</f>
        <v>1502.0013652</v>
      </c>
      <c r="Q72" s="19" cm="1">
        <f t="array" ref="Q72">H72*_xlfn.IFS(H72&lt;=350,INDEX('Pliegos Tarifarios (Quilicura)'!$F:$F,MATCH($B72,'Pliegos Tarifarios (Quilicura)'!$A:$A,0)),H72&lt;=500,INDEX('Pliegos Tarifarios (Quilicura)'!$G:$G,MATCH($B72,'Pliegos Tarifarios (Quilicura)'!$A:$A,0)),H72&lt;=1000,INDEX('Pliegos Tarifarios (Quilicura)'!$H:$H,MATCH($B72,'Pliegos Tarifarios (Quilicura)'!$A:$A,0)),H72&lt;=5000,INDEX('Pliegos Tarifarios (Quilicura)'!$I:$I,MATCH($B72,'Pliegos Tarifarios (Quilicura)'!$A:$A,0)),H72&gt;5000,INDEX('Pliegos Tarifarios (Quilicura)'!$J:$J,MATCH($B72,'Pliegos Tarifarios (Quilicura)'!$A:$A,0)))/1.19</f>
        <v>76.519783529411768</v>
      </c>
      <c r="R72" s="19">
        <f>INDEX('Pliegos Tarifarios (Quilicura)'!$K:$K,MATCH($B72,'Pliegos Tarifarios (Quilicura)'!$A:$A,0))</f>
        <v>710.78200000000004</v>
      </c>
      <c r="S72" s="21">
        <f t="shared" si="3"/>
        <v>21449.611969629415</v>
      </c>
      <c r="T72" s="21">
        <f t="shared" si="4"/>
        <v>4075.4262742295891</v>
      </c>
      <c r="U72" s="19">
        <v>0</v>
      </c>
      <c r="V72" s="21">
        <f t="shared" si="5"/>
        <v>25525.038243859006</v>
      </c>
    </row>
    <row r="73" spans="1:22" x14ac:dyDescent="0.3">
      <c r="A73" s="3" t="s">
        <v>12</v>
      </c>
      <c r="B73" s="3">
        <v>1</v>
      </c>
      <c r="C73" s="4" t="s">
        <v>186</v>
      </c>
      <c r="D73" s="3" t="s">
        <v>272</v>
      </c>
      <c r="E73" s="3" t="s">
        <v>121</v>
      </c>
      <c r="F73" s="4" t="s">
        <v>273</v>
      </c>
      <c r="G73" s="3" t="s">
        <v>16</v>
      </c>
      <c r="H73" s="5">
        <v>1929.5323000000001</v>
      </c>
      <c r="I73" s="5">
        <v>5.0228999999999999</v>
      </c>
      <c r="J73" s="5">
        <v>4.9938000000000002</v>
      </c>
      <c r="K73" s="6">
        <v>0.99420653407394144</v>
      </c>
      <c r="L73" s="5">
        <v>62.24</v>
      </c>
      <c r="M73" s="19">
        <f>H73*INDEX('Pliegos Tarifarios (Quilicura)'!$B:$B,MATCH($B73,'Pliegos Tarifarios (Quilicura)'!$A:$A,0))</f>
        <v>229301.7594674</v>
      </c>
      <c r="N73" s="19">
        <f>I73*INDEX('Pliegos Tarifarios (Quilicura)'!$C:$C,MATCH($B73,'Pliegos Tarifarios (Quilicura)'!$A:$A,0))</f>
        <v>17153.7509961</v>
      </c>
      <c r="O73" s="19">
        <f>J73*INDEX('Pliegos Tarifarios (Quilicura)'!$D:$D,MATCH($B73,'Pliegos Tarifarios (Quilicura)'!$A:$A,0))</f>
        <v>70445.564049000008</v>
      </c>
      <c r="P73" s="19">
        <f>H73*INDEX('Pliegos Tarifarios (Quilicura)'!$E:$E,MATCH($B73,'Pliegos Tarifarios (Quilicura)'!$A:$A,0))</f>
        <v>24952.711703600002</v>
      </c>
      <c r="Q73" s="19" cm="1">
        <f t="array" ref="Q73">H73*_xlfn.IFS(H73&lt;=350,INDEX('Pliegos Tarifarios (Quilicura)'!$F:$F,MATCH($B73,'Pliegos Tarifarios (Quilicura)'!$A:$A,0)),H73&lt;=500,INDEX('Pliegos Tarifarios (Quilicura)'!$G:$G,MATCH($B73,'Pliegos Tarifarios (Quilicura)'!$A:$A,0)),H73&lt;=1000,INDEX('Pliegos Tarifarios (Quilicura)'!$H:$H,MATCH($B73,'Pliegos Tarifarios (Quilicura)'!$A:$A,0)),H73&lt;=5000,INDEX('Pliegos Tarifarios (Quilicura)'!$I:$I,MATCH($B73,'Pliegos Tarifarios (Quilicura)'!$A:$A,0)),H73&gt;5000,INDEX('Pliegos Tarifarios (Quilicura)'!$J:$J,MATCH($B73,'Pliegos Tarifarios (Quilicura)'!$A:$A,0)))/1.19</f>
        <v>5790.2183557142862</v>
      </c>
      <c r="R73" s="19">
        <f>INDEX('Pliegos Tarifarios (Quilicura)'!$K:$K,MATCH($B73,'Pliegos Tarifarios (Quilicura)'!$A:$A,0))</f>
        <v>710.78200000000004</v>
      </c>
      <c r="S73" s="21">
        <f t="shared" si="3"/>
        <v>348354.78657181427</v>
      </c>
      <c r="T73" s="21">
        <f t="shared" si="4"/>
        <v>66187.409448644714</v>
      </c>
      <c r="U73" s="19">
        <v>0</v>
      </c>
      <c r="V73" s="21">
        <f t="shared" si="5"/>
        <v>414542.196020459</v>
      </c>
    </row>
    <row r="74" spans="1:22" x14ac:dyDescent="0.3">
      <c r="A74" s="7" t="s">
        <v>141</v>
      </c>
      <c r="B74" s="7">
        <v>2</v>
      </c>
      <c r="C74" s="8" t="s">
        <v>186</v>
      </c>
      <c r="D74" s="7" t="s">
        <v>187</v>
      </c>
      <c r="E74" s="7" t="s">
        <v>14</v>
      </c>
      <c r="F74" s="8" t="s">
        <v>15</v>
      </c>
      <c r="G74" s="7" t="s">
        <v>16</v>
      </c>
      <c r="H74" s="9">
        <v>10245.663500000001</v>
      </c>
      <c r="I74" s="9">
        <v>30.849399999999999</v>
      </c>
      <c r="J74" s="9">
        <v>30.6602</v>
      </c>
      <c r="K74" s="10">
        <v>0.99386697958469206</v>
      </c>
      <c r="L74" s="9">
        <v>365.92</v>
      </c>
      <c r="M74" s="19">
        <f>H74*INDEX('Pliegos Tarifarios (Quilicura)'!$B:$B,MATCH($B74,'Pliegos Tarifarios (Quilicura)'!$A:$A,0))</f>
        <v>1217574.1590130001</v>
      </c>
      <c r="N74" s="19">
        <f>I74*INDEX('Pliegos Tarifarios (Quilicura)'!$C:$C,MATCH($B74,'Pliegos Tarifarios (Quilicura)'!$A:$A,0))</f>
        <v>105834.4504414</v>
      </c>
      <c r="O74" s="19">
        <f>J74*INDEX('Pliegos Tarifarios (Quilicura)'!$D:$D,MATCH($B74,'Pliegos Tarifarios (Quilicura)'!$A:$A,0))</f>
        <v>432988.74059519998</v>
      </c>
      <c r="P74" s="19">
        <f>H74*INDEX('Pliegos Tarifarios (Quilicura)'!$E:$E,MATCH($B74,'Pliegos Tarifarios (Quilicura)'!$A:$A,0))</f>
        <v>132496.92038200001</v>
      </c>
      <c r="Q74" s="19" cm="1">
        <f t="array" ref="Q74">H74*_xlfn.IFS(H74&lt;=350,INDEX('Pliegos Tarifarios (Quilicura)'!$F:$F,MATCH($B74,'Pliegos Tarifarios (Quilicura)'!$A:$A,0)),H74&lt;=500,INDEX('Pliegos Tarifarios (Quilicura)'!$G:$G,MATCH($B74,'Pliegos Tarifarios (Quilicura)'!$A:$A,0)),H74&lt;=1000,INDEX('Pliegos Tarifarios (Quilicura)'!$H:$H,MATCH($B74,'Pliegos Tarifarios (Quilicura)'!$A:$A,0)),H74&lt;=5000,INDEX('Pliegos Tarifarios (Quilicura)'!$I:$I,MATCH($B74,'Pliegos Tarifarios (Quilicura)'!$A:$A,0)),H74&gt;5000,INDEX('Pliegos Tarifarios (Quilicura)'!$J:$J,MATCH($B74,'Pliegos Tarifarios (Quilicura)'!$A:$A,0)))/1.19</f>
        <v>33621.273922268912</v>
      </c>
      <c r="R74" s="19">
        <f>INDEX('Pliegos Tarifarios (Quilicura)'!$K:$K,MATCH($B74,'Pliegos Tarifarios (Quilicura)'!$A:$A,0))</f>
        <v>709.36099999999999</v>
      </c>
      <c r="S74" s="21">
        <f t="shared" si="3"/>
        <v>1923224.9053538691</v>
      </c>
      <c r="T74" s="21">
        <f t="shared" si="4"/>
        <v>365412.73201723513</v>
      </c>
      <c r="U74" s="19">
        <v>0</v>
      </c>
      <c r="V74" s="21">
        <f t="shared" si="5"/>
        <v>2288637.6373711042</v>
      </c>
    </row>
    <row r="75" spans="1:22" x14ac:dyDescent="0.3">
      <c r="A75" s="7" t="s">
        <v>141</v>
      </c>
      <c r="B75" s="7">
        <v>2</v>
      </c>
      <c r="C75" s="8" t="s">
        <v>186</v>
      </c>
      <c r="D75" s="7" t="s">
        <v>188</v>
      </c>
      <c r="E75" s="7" t="s">
        <v>18</v>
      </c>
      <c r="F75" s="8" t="s">
        <v>19</v>
      </c>
      <c r="G75" s="7" t="s">
        <v>16</v>
      </c>
      <c r="H75" s="9">
        <v>5129.9381999999996</v>
      </c>
      <c r="I75" s="9">
        <v>15.2651</v>
      </c>
      <c r="J75" s="9">
        <v>15.111800000000001</v>
      </c>
      <c r="K75" s="10">
        <v>0.98995748472004774</v>
      </c>
      <c r="L75" s="9">
        <v>183.21</v>
      </c>
      <c r="M75" s="19">
        <f>H75*INDEX('Pliegos Tarifarios (Quilicura)'!$B:$B,MATCH($B75,'Pliegos Tarifarios (Quilicura)'!$A:$A,0))</f>
        <v>609631.59581159987</v>
      </c>
      <c r="N75" s="19">
        <f>I75*INDEX('Pliegos Tarifarios (Quilicura)'!$C:$C,MATCH($B75,'Pliegos Tarifarios (Quilicura)'!$A:$A,0))</f>
        <v>52369.688533100001</v>
      </c>
      <c r="O75" s="19">
        <f>J75*INDEX('Pliegos Tarifarios (Quilicura)'!$D:$D,MATCH($B75,'Pliegos Tarifarios (Quilicura)'!$A:$A,0))</f>
        <v>213411.49927679999</v>
      </c>
      <c r="P75" s="19">
        <f>H75*INDEX('Pliegos Tarifarios (Quilicura)'!$E:$E,MATCH($B75,'Pliegos Tarifarios (Quilicura)'!$A:$A,0))</f>
        <v>66340.360802399999</v>
      </c>
      <c r="Q75" s="19" cm="1">
        <f t="array" ref="Q75">H75*_xlfn.IFS(H75&lt;=350,INDEX('Pliegos Tarifarios (Quilicura)'!$F:$F,MATCH($B75,'Pliegos Tarifarios (Quilicura)'!$A:$A,0)),H75&lt;=500,INDEX('Pliegos Tarifarios (Quilicura)'!$G:$G,MATCH($B75,'Pliegos Tarifarios (Quilicura)'!$A:$A,0)),H75&lt;=1000,INDEX('Pliegos Tarifarios (Quilicura)'!$H:$H,MATCH($B75,'Pliegos Tarifarios (Quilicura)'!$A:$A,0)),H75&lt;=5000,INDEX('Pliegos Tarifarios (Quilicura)'!$I:$I,MATCH($B75,'Pliegos Tarifarios (Quilicura)'!$A:$A,0)),H75&gt;5000,INDEX('Pliegos Tarifarios (Quilicura)'!$J:$J,MATCH($B75,'Pliegos Tarifarios (Quilicura)'!$A:$A,0)))/1.19</f>
        <v>16833.956866386558</v>
      </c>
      <c r="R75" s="19">
        <f>INDEX('Pliegos Tarifarios (Quilicura)'!$K:$K,MATCH($B75,'Pliegos Tarifarios (Quilicura)'!$A:$A,0))</f>
        <v>709.36099999999999</v>
      </c>
      <c r="S75" s="21">
        <f t="shared" ref="S75:S138" si="6">SUM(M75:R75)</f>
        <v>959296.46229028644</v>
      </c>
      <c r="T75" s="21">
        <f t="shared" ref="T75:T138" si="7">S75*0.19</f>
        <v>182266.32783515443</v>
      </c>
      <c r="U75" s="19">
        <v>0</v>
      </c>
      <c r="V75" s="21">
        <f t="shared" ref="V75:V138" si="8">SUM(S75:T75)</f>
        <v>1141562.7901254408</v>
      </c>
    </row>
    <row r="76" spans="1:22" x14ac:dyDescent="0.3">
      <c r="A76" s="7" t="s">
        <v>141</v>
      </c>
      <c r="B76" s="7">
        <v>2</v>
      </c>
      <c r="C76" s="8" t="s">
        <v>186</v>
      </c>
      <c r="D76" s="7" t="s">
        <v>189</v>
      </c>
      <c r="E76" s="7" t="s">
        <v>18</v>
      </c>
      <c r="F76" s="8" t="s">
        <v>21</v>
      </c>
      <c r="G76" s="7" t="s">
        <v>16</v>
      </c>
      <c r="H76" s="9">
        <v>4105.3284000000003</v>
      </c>
      <c r="I76" s="9">
        <v>12.392799999999999</v>
      </c>
      <c r="J76" s="9">
        <v>12.000299999999999</v>
      </c>
      <c r="K76" s="10">
        <v>0.9683283842230973</v>
      </c>
      <c r="L76" s="9">
        <v>146.62</v>
      </c>
      <c r="M76" s="19">
        <f>H76*INDEX('Pliegos Tarifarios (Quilicura)'!$B:$B,MATCH($B76,'Pliegos Tarifarios (Quilicura)'!$A:$A,0))</f>
        <v>487869.01639920002</v>
      </c>
      <c r="N76" s="19">
        <f>I76*INDEX('Pliegos Tarifarios (Quilicura)'!$C:$C,MATCH($B76,'Pliegos Tarifarios (Quilicura)'!$A:$A,0))</f>
        <v>42515.743496800002</v>
      </c>
      <c r="O76" s="19">
        <f>J76*INDEX('Pliegos Tarifarios (Quilicura)'!$D:$D,MATCH($B76,'Pliegos Tarifarios (Quilicura)'!$A:$A,0))</f>
        <v>169470.34865279999</v>
      </c>
      <c r="P76" s="19">
        <f>H76*INDEX('Pliegos Tarifarios (Quilicura)'!$E:$E,MATCH($B76,'Pliegos Tarifarios (Quilicura)'!$A:$A,0))</f>
        <v>53090.106868800009</v>
      </c>
      <c r="Q76" s="19" cm="1">
        <f t="array" ref="Q76">H76*_xlfn.IFS(H76&lt;=350,INDEX('Pliegos Tarifarios (Quilicura)'!$F:$F,MATCH($B76,'Pliegos Tarifarios (Quilicura)'!$A:$A,0)),H76&lt;=500,INDEX('Pliegos Tarifarios (Quilicura)'!$G:$G,MATCH($B76,'Pliegos Tarifarios (Quilicura)'!$A:$A,0)),H76&lt;=1000,INDEX('Pliegos Tarifarios (Quilicura)'!$H:$H,MATCH($B76,'Pliegos Tarifarios (Quilicura)'!$A:$A,0)),H76&lt;=5000,INDEX('Pliegos Tarifarios (Quilicura)'!$I:$I,MATCH($B76,'Pliegos Tarifarios (Quilicura)'!$A:$A,0)),H76&gt;5000,INDEX('Pliegos Tarifarios (Quilicura)'!$J:$J,MATCH($B76,'Pliegos Tarifarios (Quilicura)'!$A:$A,0)))/1.19</f>
        <v>12319.43505579832</v>
      </c>
      <c r="R76" s="19">
        <f>INDEX('Pliegos Tarifarios (Quilicura)'!$K:$K,MATCH($B76,'Pliegos Tarifarios (Quilicura)'!$A:$A,0))</f>
        <v>709.36099999999999</v>
      </c>
      <c r="S76" s="21">
        <f t="shared" si="6"/>
        <v>765974.01147339831</v>
      </c>
      <c r="T76" s="21">
        <f t="shared" si="7"/>
        <v>145535.06217994567</v>
      </c>
      <c r="U76" s="19">
        <v>0</v>
      </c>
      <c r="V76" s="21">
        <f t="shared" si="8"/>
        <v>911509.07365334395</v>
      </c>
    </row>
    <row r="77" spans="1:22" x14ac:dyDescent="0.3">
      <c r="A77" s="7" t="s">
        <v>141</v>
      </c>
      <c r="B77" s="7">
        <v>2</v>
      </c>
      <c r="C77" s="8" t="s">
        <v>186</v>
      </c>
      <c r="D77" s="7" t="s">
        <v>190</v>
      </c>
      <c r="E77" s="7" t="s">
        <v>18</v>
      </c>
      <c r="F77" s="8" t="s">
        <v>23</v>
      </c>
      <c r="G77" s="7" t="s">
        <v>16</v>
      </c>
      <c r="H77" s="9">
        <v>3410.6887000000002</v>
      </c>
      <c r="I77" s="9">
        <v>10.052</v>
      </c>
      <c r="J77" s="9">
        <v>10.0343</v>
      </c>
      <c r="K77" s="10">
        <v>0.99823915638678873</v>
      </c>
      <c r="L77" s="9">
        <v>121.81</v>
      </c>
      <c r="M77" s="19">
        <f>H77*INDEX('Pliegos Tarifarios (Quilicura)'!$B:$B,MATCH($B77,'Pliegos Tarifarios (Quilicura)'!$A:$A,0))</f>
        <v>405319.42373059998</v>
      </c>
      <c r="N77" s="19">
        <f>I77*INDEX('Pliegos Tarifarios (Quilicura)'!$C:$C,MATCH($B77,'Pliegos Tarifarios (Quilicura)'!$A:$A,0))</f>
        <v>34485.205411999996</v>
      </c>
      <c r="O77" s="19">
        <f>J77*INDEX('Pliegos Tarifarios (Quilicura)'!$D:$D,MATCH($B77,'Pliegos Tarifarios (Quilicura)'!$A:$A,0))</f>
        <v>141706.15063679998</v>
      </c>
      <c r="P77" s="19">
        <f>H77*INDEX('Pliegos Tarifarios (Quilicura)'!$E:$E,MATCH($B77,'Pliegos Tarifarios (Quilicura)'!$A:$A,0))</f>
        <v>44107.026268400004</v>
      </c>
      <c r="Q77" s="19" cm="1">
        <f t="array" ref="Q77">H77*_xlfn.IFS(H77&lt;=350,INDEX('Pliegos Tarifarios (Quilicura)'!$F:$F,MATCH($B77,'Pliegos Tarifarios (Quilicura)'!$A:$A,0)),H77&lt;=500,INDEX('Pliegos Tarifarios (Quilicura)'!$G:$G,MATCH($B77,'Pliegos Tarifarios (Quilicura)'!$A:$A,0)),H77&lt;=1000,INDEX('Pliegos Tarifarios (Quilicura)'!$H:$H,MATCH($B77,'Pliegos Tarifarios (Quilicura)'!$A:$A,0)),H77&lt;=5000,INDEX('Pliegos Tarifarios (Quilicura)'!$I:$I,MATCH($B77,'Pliegos Tarifarios (Quilicura)'!$A:$A,0)),H77&gt;5000,INDEX('Pliegos Tarifarios (Quilicura)'!$J:$J,MATCH($B77,'Pliegos Tarifarios (Quilicura)'!$A:$A,0)))/1.19</f>
        <v>10234.932224957984</v>
      </c>
      <c r="R77" s="19">
        <f>INDEX('Pliegos Tarifarios (Quilicura)'!$K:$K,MATCH($B77,'Pliegos Tarifarios (Quilicura)'!$A:$A,0))</f>
        <v>709.36099999999999</v>
      </c>
      <c r="S77" s="21">
        <f t="shared" si="6"/>
        <v>636562.099272758</v>
      </c>
      <c r="T77" s="21">
        <f t="shared" si="7"/>
        <v>120946.79886182402</v>
      </c>
      <c r="U77" s="19">
        <v>0</v>
      </c>
      <c r="V77" s="21">
        <f t="shared" si="8"/>
        <v>757508.89813458198</v>
      </c>
    </row>
    <row r="78" spans="1:22" x14ac:dyDescent="0.3">
      <c r="A78" s="7" t="s">
        <v>141</v>
      </c>
      <c r="B78" s="7">
        <v>2</v>
      </c>
      <c r="C78" s="8" t="s">
        <v>186</v>
      </c>
      <c r="D78" s="7" t="s">
        <v>191</v>
      </c>
      <c r="E78" s="7" t="s">
        <v>18</v>
      </c>
      <c r="F78" s="8" t="s">
        <v>25</v>
      </c>
      <c r="G78" s="7" t="s">
        <v>16</v>
      </c>
      <c r="H78" s="9">
        <v>3683.3269</v>
      </c>
      <c r="I78" s="9">
        <v>10.9841</v>
      </c>
      <c r="J78" s="9">
        <v>10.7094</v>
      </c>
      <c r="K78" s="10">
        <v>0.97499112353310702</v>
      </c>
      <c r="L78" s="9">
        <v>131.55000000000001</v>
      </c>
      <c r="M78" s="19">
        <f>H78*INDEX('Pliegos Tarifarios (Quilicura)'!$B:$B,MATCH($B78,'Pliegos Tarifarios (Quilicura)'!$A:$A,0))</f>
        <v>437719.20214219997</v>
      </c>
      <c r="N78" s="19">
        <f>I78*INDEX('Pliegos Tarifarios (Quilicura)'!$C:$C,MATCH($B78,'Pliegos Tarifarios (Quilicura)'!$A:$A,0))</f>
        <v>37682.9431721</v>
      </c>
      <c r="O78" s="19">
        <f>J78*INDEX('Pliegos Tarifarios (Quilicura)'!$D:$D,MATCH($B78,'Pliegos Tarifarios (Quilicura)'!$A:$A,0))</f>
        <v>151240.03165439999</v>
      </c>
      <c r="P78" s="19">
        <f>H78*INDEX('Pliegos Tarifarios (Quilicura)'!$E:$E,MATCH($B78,'Pliegos Tarifarios (Quilicura)'!$A:$A,0))</f>
        <v>47632.783470800001</v>
      </c>
      <c r="Q78" s="19" cm="1">
        <f t="array" ref="Q78">H78*_xlfn.IFS(H78&lt;=350,INDEX('Pliegos Tarifarios (Quilicura)'!$F:$F,MATCH($B78,'Pliegos Tarifarios (Quilicura)'!$A:$A,0)),H78&lt;=500,INDEX('Pliegos Tarifarios (Quilicura)'!$G:$G,MATCH($B78,'Pliegos Tarifarios (Quilicura)'!$A:$A,0)),H78&lt;=1000,INDEX('Pliegos Tarifarios (Quilicura)'!$H:$H,MATCH($B78,'Pliegos Tarifarios (Quilicura)'!$A:$A,0)),H78&lt;=5000,INDEX('Pliegos Tarifarios (Quilicura)'!$I:$I,MATCH($B78,'Pliegos Tarifarios (Quilicura)'!$A:$A,0)),H78&gt;5000,INDEX('Pliegos Tarifarios (Quilicura)'!$J:$J,MATCH($B78,'Pliegos Tarifarios (Quilicura)'!$A:$A,0)))/1.19</f>
        <v>11053.075932689075</v>
      </c>
      <c r="R78" s="19">
        <f>INDEX('Pliegos Tarifarios (Quilicura)'!$K:$K,MATCH($B78,'Pliegos Tarifarios (Quilicura)'!$A:$A,0))</f>
        <v>709.36099999999999</v>
      </c>
      <c r="S78" s="21">
        <f t="shared" si="6"/>
        <v>686037.39737218921</v>
      </c>
      <c r="T78" s="21">
        <f t="shared" si="7"/>
        <v>130347.10550071594</v>
      </c>
      <c r="U78" s="19">
        <v>0</v>
      </c>
      <c r="V78" s="21">
        <f t="shared" si="8"/>
        <v>816384.50287290511</v>
      </c>
    </row>
    <row r="79" spans="1:22" x14ac:dyDescent="0.3">
      <c r="A79" s="7" t="s">
        <v>141</v>
      </c>
      <c r="B79" s="7">
        <v>2</v>
      </c>
      <c r="C79" s="8" t="s">
        <v>186</v>
      </c>
      <c r="D79" s="7" t="s">
        <v>192</v>
      </c>
      <c r="E79" s="7" t="s">
        <v>18</v>
      </c>
      <c r="F79" s="8" t="s">
        <v>27</v>
      </c>
      <c r="G79" s="7" t="s">
        <v>16</v>
      </c>
      <c r="H79" s="9">
        <v>2455.3175999999999</v>
      </c>
      <c r="I79" s="9">
        <v>7.4002999999999997</v>
      </c>
      <c r="J79" s="9">
        <v>7.0819000000000001</v>
      </c>
      <c r="K79" s="10">
        <v>0.95697471724119298</v>
      </c>
      <c r="L79" s="9">
        <v>87.69</v>
      </c>
      <c r="M79" s="19">
        <f>H79*INDEX('Pliegos Tarifarios (Quilicura)'!$B:$B,MATCH($B79,'Pliegos Tarifarios (Quilicura)'!$A:$A,0))</f>
        <v>291785.03294879996</v>
      </c>
      <c r="N79" s="19">
        <f>I79*INDEX('Pliegos Tarifarios (Quilicura)'!$C:$C,MATCH($B79,'Pliegos Tarifarios (Quilicura)'!$A:$A,0))</f>
        <v>25388.068604299999</v>
      </c>
      <c r="O79" s="19">
        <f>J79*INDEX('Pliegos Tarifarios (Quilicura)'!$D:$D,MATCH($B79,'Pliegos Tarifarios (Quilicura)'!$A:$A,0))</f>
        <v>100011.83821439999</v>
      </c>
      <c r="P79" s="19">
        <f>H79*INDEX('Pliegos Tarifarios (Quilicura)'!$E:$E,MATCH($B79,'Pliegos Tarifarios (Quilicura)'!$A:$A,0))</f>
        <v>31752.167203199999</v>
      </c>
      <c r="Q79" s="19" cm="1">
        <f t="array" ref="Q79">H79*_xlfn.IFS(H79&lt;=350,INDEX('Pliegos Tarifarios (Quilicura)'!$F:$F,MATCH($B79,'Pliegos Tarifarios (Quilicura)'!$A:$A,0)),H79&lt;=500,INDEX('Pliegos Tarifarios (Quilicura)'!$G:$G,MATCH($B79,'Pliegos Tarifarios (Quilicura)'!$A:$A,0)),H79&lt;=1000,INDEX('Pliegos Tarifarios (Quilicura)'!$H:$H,MATCH($B79,'Pliegos Tarifarios (Quilicura)'!$A:$A,0)),H79&lt;=5000,INDEX('Pliegos Tarifarios (Quilicura)'!$I:$I,MATCH($B79,'Pliegos Tarifarios (Quilicura)'!$A:$A,0)),H79&gt;5000,INDEX('Pliegos Tarifarios (Quilicura)'!$J:$J,MATCH($B79,'Pliegos Tarifarios (Quilicura)'!$A:$A,0)))/1.19</f>
        <v>7368.0160921008401</v>
      </c>
      <c r="R79" s="19">
        <f>INDEX('Pliegos Tarifarios (Quilicura)'!$K:$K,MATCH($B79,'Pliegos Tarifarios (Quilicura)'!$A:$A,0))</f>
        <v>709.36099999999999</v>
      </c>
      <c r="S79" s="21">
        <f t="shared" si="6"/>
        <v>457014.48406280071</v>
      </c>
      <c r="T79" s="21">
        <f t="shared" si="7"/>
        <v>86832.751971932143</v>
      </c>
      <c r="U79" s="19">
        <v>0</v>
      </c>
      <c r="V79" s="21">
        <f t="shared" si="8"/>
        <v>543847.23603473289</v>
      </c>
    </row>
    <row r="80" spans="1:22" x14ac:dyDescent="0.3">
      <c r="A80" s="7" t="s">
        <v>141</v>
      </c>
      <c r="B80" s="7">
        <v>2</v>
      </c>
      <c r="C80" s="8" t="s">
        <v>186</v>
      </c>
      <c r="D80" s="7" t="s">
        <v>193</v>
      </c>
      <c r="E80" s="7" t="s">
        <v>18</v>
      </c>
      <c r="F80" s="8" t="s">
        <v>29</v>
      </c>
      <c r="G80" s="7" t="s">
        <v>30</v>
      </c>
      <c r="H80" s="9">
        <v>819.94880000000001</v>
      </c>
      <c r="I80" s="9">
        <v>2.4809000000000001</v>
      </c>
      <c r="J80" s="9">
        <v>2.4037999999999999</v>
      </c>
      <c r="K80" s="10">
        <v>0.96892256842274971</v>
      </c>
      <c r="L80" s="9">
        <v>29.28</v>
      </c>
      <c r="M80" s="19">
        <f>H80*INDEX('Pliegos Tarifarios (Quilicura)'!$B:$B,MATCH($B80,'Pliegos Tarifarios (Quilicura)'!$A:$A,0))</f>
        <v>97441.075494399993</v>
      </c>
      <c r="N80" s="19">
        <f>I80*INDEX('Pliegos Tarifarios (Quilicura)'!$C:$C,MATCH($B80,'Pliegos Tarifarios (Quilicura)'!$A:$A,0))</f>
        <v>8511.1764929000001</v>
      </c>
      <c r="O80" s="19">
        <f>J80*INDEX('Pliegos Tarifarios (Quilicura)'!$D:$D,MATCH($B80,'Pliegos Tarifarios (Quilicura)'!$A:$A,0))</f>
        <v>33946.886668799998</v>
      </c>
      <c r="P80" s="19">
        <f>H80*INDEX('Pliegos Tarifarios (Quilicura)'!$E:$E,MATCH($B80,'Pliegos Tarifarios (Quilicura)'!$A:$A,0))</f>
        <v>10603.5778816</v>
      </c>
      <c r="Q80" s="19" cm="1">
        <f t="array" ref="Q80">H80*_xlfn.IFS(H80&lt;=350,INDEX('Pliegos Tarifarios (Quilicura)'!$F:$F,MATCH($B80,'Pliegos Tarifarios (Quilicura)'!$A:$A,0)),H80&lt;=500,INDEX('Pliegos Tarifarios (Quilicura)'!$G:$G,MATCH($B80,'Pliegos Tarifarios (Quilicura)'!$A:$A,0)),H80&lt;=1000,INDEX('Pliegos Tarifarios (Quilicura)'!$H:$H,MATCH($B80,'Pliegos Tarifarios (Quilicura)'!$A:$A,0)),H80&lt;=5000,INDEX('Pliegos Tarifarios (Quilicura)'!$I:$I,MATCH($B80,'Pliegos Tarifarios (Quilicura)'!$A:$A,0)),H80&gt;5000,INDEX('Pliegos Tarifarios (Quilicura)'!$J:$J,MATCH($B80,'Pliegos Tarifarios (Quilicura)'!$A:$A,0)))/1.19</f>
        <v>1923.0900006722693</v>
      </c>
      <c r="R80" s="19">
        <f>INDEX('Pliegos Tarifarios (Quilicura)'!$K:$K,MATCH($B80,'Pliegos Tarifarios (Quilicura)'!$A:$A,0))</f>
        <v>709.36099999999999</v>
      </c>
      <c r="S80" s="21">
        <f t="shared" si="6"/>
        <v>153135.16753837228</v>
      </c>
      <c r="T80" s="21">
        <f t="shared" si="7"/>
        <v>29095.681832290731</v>
      </c>
      <c r="U80" s="19">
        <v>0</v>
      </c>
      <c r="V80" s="21">
        <f t="shared" si="8"/>
        <v>182230.849370663</v>
      </c>
    </row>
    <row r="81" spans="1:22" x14ac:dyDescent="0.3">
      <c r="A81" s="7" t="s">
        <v>141</v>
      </c>
      <c r="B81" s="7">
        <v>2</v>
      </c>
      <c r="C81" s="8" t="s">
        <v>186</v>
      </c>
      <c r="D81" s="7" t="s">
        <v>194</v>
      </c>
      <c r="E81" s="7" t="s">
        <v>18</v>
      </c>
      <c r="F81" s="8" t="s">
        <v>32</v>
      </c>
      <c r="G81" s="7" t="s">
        <v>16</v>
      </c>
      <c r="H81" s="9">
        <v>2453.9164999999998</v>
      </c>
      <c r="I81" s="9">
        <v>7.2744</v>
      </c>
      <c r="J81" s="9">
        <v>7.1891999999999996</v>
      </c>
      <c r="K81" s="10">
        <v>0.98828769383041892</v>
      </c>
      <c r="L81" s="9">
        <v>87.64</v>
      </c>
      <c r="M81" s="19">
        <f>H81*INDEX('Pliegos Tarifarios (Quilicura)'!$B:$B,MATCH($B81,'Pliegos Tarifarios (Quilicura)'!$A:$A,0))</f>
        <v>291618.52902699995</v>
      </c>
      <c r="N81" s="19">
        <f>I81*INDEX('Pliegos Tarifarios (Quilicura)'!$C:$C,MATCH($B81,'Pliegos Tarifarios (Quilicura)'!$A:$A,0))</f>
        <v>24956.145866400002</v>
      </c>
      <c r="O81" s="19">
        <f>J81*INDEX('Pliegos Tarifarios (Quilicura)'!$D:$D,MATCH($B81,'Pliegos Tarifarios (Quilicura)'!$A:$A,0))</f>
        <v>101527.1476992</v>
      </c>
      <c r="P81" s="19">
        <f>H81*INDEX('Pliegos Tarifarios (Quilicura)'!$E:$E,MATCH($B81,'Pliegos Tarifarios (Quilicura)'!$A:$A,0))</f>
        <v>31734.048177999997</v>
      </c>
      <c r="Q81" s="19" cm="1">
        <f t="array" ref="Q81">H81*_xlfn.IFS(H81&lt;=350,INDEX('Pliegos Tarifarios (Quilicura)'!$F:$F,MATCH($B81,'Pliegos Tarifarios (Quilicura)'!$A:$A,0)),H81&lt;=500,INDEX('Pliegos Tarifarios (Quilicura)'!$G:$G,MATCH($B81,'Pliegos Tarifarios (Quilicura)'!$A:$A,0)),H81&lt;=1000,INDEX('Pliegos Tarifarios (Quilicura)'!$H:$H,MATCH($B81,'Pliegos Tarifarios (Quilicura)'!$A:$A,0)),H81&lt;=5000,INDEX('Pliegos Tarifarios (Quilicura)'!$I:$I,MATCH($B81,'Pliegos Tarifarios (Quilicura)'!$A:$A,0)),H81&gt;5000,INDEX('Pliegos Tarifarios (Quilicura)'!$J:$J,MATCH($B81,'Pliegos Tarifarios (Quilicura)'!$A:$A,0)))/1.19</f>
        <v>7363.8116147058818</v>
      </c>
      <c r="R81" s="19">
        <f>INDEX('Pliegos Tarifarios (Quilicura)'!$K:$K,MATCH($B81,'Pliegos Tarifarios (Quilicura)'!$A:$A,0))</f>
        <v>709.36099999999999</v>
      </c>
      <c r="S81" s="21">
        <f t="shared" si="6"/>
        <v>457909.04338530579</v>
      </c>
      <c r="T81" s="21">
        <f t="shared" si="7"/>
        <v>87002.718243208103</v>
      </c>
      <c r="U81" s="19">
        <v>0</v>
      </c>
      <c r="V81" s="21">
        <f t="shared" si="8"/>
        <v>544911.76162851392</v>
      </c>
    </row>
    <row r="82" spans="1:22" x14ac:dyDescent="0.3">
      <c r="A82" s="7" t="s">
        <v>141</v>
      </c>
      <c r="B82" s="7">
        <v>2</v>
      </c>
      <c r="C82" s="8" t="s">
        <v>186</v>
      </c>
      <c r="D82" s="7" t="s">
        <v>195</v>
      </c>
      <c r="E82" s="7" t="s">
        <v>34</v>
      </c>
      <c r="F82" s="8" t="s">
        <v>35</v>
      </c>
      <c r="G82" s="7" t="s">
        <v>30</v>
      </c>
      <c r="H82" s="9">
        <v>1024.0159000000001</v>
      </c>
      <c r="I82" s="9">
        <v>3.0390999999999999</v>
      </c>
      <c r="J82" s="9">
        <v>2.9672999999999998</v>
      </c>
      <c r="K82" s="10">
        <v>0.97637458458096149</v>
      </c>
      <c r="L82" s="9">
        <v>36.57</v>
      </c>
      <c r="M82" s="19">
        <f>H82*INDEX('Pliegos Tarifarios (Quilicura)'!$B:$B,MATCH($B82,'Pliegos Tarifarios (Quilicura)'!$A:$A,0))</f>
        <v>121692.00152420001</v>
      </c>
      <c r="N82" s="19">
        <f>I82*INDEX('Pliegos Tarifarios (Quilicura)'!$C:$C,MATCH($B82,'Pliegos Tarifarios (Quilicura)'!$A:$A,0))</f>
        <v>10426.182627099999</v>
      </c>
      <c r="O82" s="19">
        <f>J82*INDEX('Pliegos Tarifarios (Quilicura)'!$D:$D,MATCH($B82,'Pliegos Tarifarios (Quilicura)'!$A:$A,0))</f>
        <v>41904.732844799997</v>
      </c>
      <c r="P82" s="19">
        <f>H82*INDEX('Pliegos Tarifarios (Quilicura)'!$E:$E,MATCH($B82,'Pliegos Tarifarios (Quilicura)'!$A:$A,0))</f>
        <v>13242.573618800001</v>
      </c>
      <c r="Q82" s="19" cm="1">
        <f t="array" ref="Q82">H82*_xlfn.IFS(H82&lt;=350,INDEX('Pliegos Tarifarios (Quilicura)'!$F:$F,MATCH($B82,'Pliegos Tarifarios (Quilicura)'!$A:$A,0)),H82&lt;=500,INDEX('Pliegos Tarifarios (Quilicura)'!$G:$G,MATCH($B82,'Pliegos Tarifarios (Quilicura)'!$A:$A,0)),H82&lt;=1000,INDEX('Pliegos Tarifarios (Quilicura)'!$H:$H,MATCH($B82,'Pliegos Tarifarios (Quilicura)'!$A:$A,0)),H82&lt;=5000,INDEX('Pliegos Tarifarios (Quilicura)'!$I:$I,MATCH($B82,'Pliegos Tarifarios (Quilicura)'!$A:$A,0)),H82&gt;5000,INDEX('Pliegos Tarifarios (Quilicura)'!$J:$J,MATCH($B82,'Pliegos Tarifarios (Quilicura)'!$A:$A,0)))/1.19</f>
        <v>3072.9082175630251</v>
      </c>
      <c r="R82" s="19">
        <f>INDEX('Pliegos Tarifarios (Quilicura)'!$K:$K,MATCH($B82,'Pliegos Tarifarios (Quilicura)'!$A:$A,0))</f>
        <v>709.36099999999999</v>
      </c>
      <c r="S82" s="21">
        <f t="shared" si="6"/>
        <v>191047.75983246302</v>
      </c>
      <c r="T82" s="21">
        <f t="shared" si="7"/>
        <v>36299.074368167974</v>
      </c>
      <c r="U82" s="19">
        <v>0</v>
      </c>
      <c r="V82" s="21">
        <f t="shared" si="8"/>
        <v>227346.83420063101</v>
      </c>
    </row>
    <row r="83" spans="1:22" x14ac:dyDescent="0.3">
      <c r="A83" s="7" t="s">
        <v>141</v>
      </c>
      <c r="B83" s="7">
        <v>2</v>
      </c>
      <c r="C83" s="8" t="s">
        <v>186</v>
      </c>
      <c r="D83" s="7" t="s">
        <v>196</v>
      </c>
      <c r="E83" s="7" t="s">
        <v>34</v>
      </c>
      <c r="F83" s="8" t="s">
        <v>37</v>
      </c>
      <c r="G83" s="7" t="s">
        <v>30</v>
      </c>
      <c r="H83" s="9">
        <v>818.35799999999995</v>
      </c>
      <c r="I83" s="9">
        <v>2.4453</v>
      </c>
      <c r="J83" s="9">
        <v>2.3746</v>
      </c>
      <c r="K83" s="10">
        <v>0.97108739214002371</v>
      </c>
      <c r="L83" s="9">
        <v>29.23</v>
      </c>
      <c r="M83" s="19">
        <f>H83*INDEX('Pliegos Tarifarios (Quilicura)'!$B:$B,MATCH($B83,'Pliegos Tarifarios (Quilicura)'!$A:$A,0))</f>
        <v>97252.028003999993</v>
      </c>
      <c r="N83" s="19">
        <f>I83*INDEX('Pliegos Tarifarios (Quilicura)'!$C:$C,MATCH($B83,'Pliegos Tarifarios (Quilicura)'!$A:$A,0))</f>
        <v>8389.044249300001</v>
      </c>
      <c r="O83" s="19">
        <f>J83*INDEX('Pliegos Tarifarios (Quilicura)'!$D:$D,MATCH($B83,'Pliegos Tarifarios (Quilicura)'!$A:$A,0))</f>
        <v>33534.519129599998</v>
      </c>
      <c r="P83" s="19">
        <f>H83*INDEX('Pliegos Tarifarios (Quilicura)'!$E:$E,MATCH($B83,'Pliegos Tarifarios (Quilicura)'!$A:$A,0))</f>
        <v>10583.005655999999</v>
      </c>
      <c r="Q83" s="19" cm="1">
        <f t="array" ref="Q83">H83*_xlfn.IFS(H83&lt;=350,INDEX('Pliegos Tarifarios (Quilicura)'!$F:$F,MATCH($B83,'Pliegos Tarifarios (Quilicura)'!$A:$A,0)),H83&lt;=500,INDEX('Pliegos Tarifarios (Quilicura)'!$G:$G,MATCH($B83,'Pliegos Tarifarios (Quilicura)'!$A:$A,0)),H83&lt;=1000,INDEX('Pliegos Tarifarios (Quilicura)'!$H:$H,MATCH($B83,'Pliegos Tarifarios (Quilicura)'!$A:$A,0)),H83&lt;=5000,INDEX('Pliegos Tarifarios (Quilicura)'!$I:$I,MATCH($B83,'Pliegos Tarifarios (Quilicura)'!$A:$A,0)),H83&gt;5000,INDEX('Pliegos Tarifarios (Quilicura)'!$J:$J,MATCH($B83,'Pliegos Tarifarios (Quilicura)'!$A:$A,0)))/1.19</f>
        <v>1919.3589731092438</v>
      </c>
      <c r="R83" s="19">
        <f>INDEX('Pliegos Tarifarios (Quilicura)'!$K:$K,MATCH($B83,'Pliegos Tarifarios (Quilicura)'!$A:$A,0))</f>
        <v>709.36099999999999</v>
      </c>
      <c r="S83" s="21">
        <f t="shared" si="6"/>
        <v>152387.31701200924</v>
      </c>
      <c r="T83" s="21">
        <f t="shared" si="7"/>
        <v>28953.590232281756</v>
      </c>
      <c r="U83" s="19">
        <v>0</v>
      </c>
      <c r="V83" s="21">
        <f t="shared" si="8"/>
        <v>181340.90724429098</v>
      </c>
    </row>
    <row r="84" spans="1:22" x14ac:dyDescent="0.3">
      <c r="A84" s="7" t="s">
        <v>141</v>
      </c>
      <c r="B84" s="7">
        <v>2</v>
      </c>
      <c r="C84" s="8" t="s">
        <v>186</v>
      </c>
      <c r="D84" s="7" t="s">
        <v>197</v>
      </c>
      <c r="E84" s="7" t="s">
        <v>34</v>
      </c>
      <c r="F84" s="8" t="s">
        <v>39</v>
      </c>
      <c r="G84" s="7" t="s">
        <v>30</v>
      </c>
      <c r="H84" s="9">
        <v>818.13009999999997</v>
      </c>
      <c r="I84" s="9">
        <v>2.4022999999999999</v>
      </c>
      <c r="J84" s="9">
        <v>2.3818000000000001</v>
      </c>
      <c r="K84" s="10">
        <v>0.99146651126004259</v>
      </c>
      <c r="L84" s="9">
        <v>29.22</v>
      </c>
      <c r="M84" s="19">
        <f>H84*INDEX('Pliegos Tarifarios (Quilicura)'!$B:$B,MATCH($B84,'Pliegos Tarifarios (Quilicura)'!$A:$A,0))</f>
        <v>97224.94482379999</v>
      </c>
      <c r="N84" s="19">
        <f>I84*INDEX('Pliegos Tarifarios (Quilicura)'!$C:$C,MATCH($B84,'Pliegos Tarifarios (Quilicura)'!$A:$A,0))</f>
        <v>8241.5249662999995</v>
      </c>
      <c r="O84" s="19">
        <f>J84*INDEX('Pliegos Tarifarios (Quilicura)'!$D:$D,MATCH($B84,'Pliegos Tarifarios (Quilicura)'!$A:$A,0))</f>
        <v>33636.198796800003</v>
      </c>
      <c r="P84" s="19">
        <f>H84*INDEX('Pliegos Tarifarios (Quilicura)'!$E:$E,MATCH($B84,'Pliegos Tarifarios (Quilicura)'!$A:$A,0))</f>
        <v>10580.058453199999</v>
      </c>
      <c r="Q84" s="19" cm="1">
        <f t="array" ref="Q84">H84*_xlfn.IFS(H84&lt;=350,INDEX('Pliegos Tarifarios (Quilicura)'!$F:$F,MATCH($B84,'Pliegos Tarifarios (Quilicura)'!$A:$A,0)),H84&lt;=500,INDEX('Pliegos Tarifarios (Quilicura)'!$G:$G,MATCH($B84,'Pliegos Tarifarios (Quilicura)'!$A:$A,0)),H84&lt;=1000,INDEX('Pliegos Tarifarios (Quilicura)'!$H:$H,MATCH($B84,'Pliegos Tarifarios (Quilicura)'!$A:$A,0)),H84&lt;=5000,INDEX('Pliegos Tarifarios (Quilicura)'!$I:$I,MATCH($B84,'Pliegos Tarifarios (Quilicura)'!$A:$A,0)),H84&gt;5000,INDEX('Pliegos Tarifarios (Quilicura)'!$J:$J,MATCH($B84,'Pliegos Tarifarios (Quilicura)'!$A:$A,0)))/1.19</f>
        <v>1918.8244614285718</v>
      </c>
      <c r="R84" s="19">
        <f>INDEX('Pliegos Tarifarios (Quilicura)'!$K:$K,MATCH($B84,'Pliegos Tarifarios (Quilicura)'!$A:$A,0))</f>
        <v>709.36099999999999</v>
      </c>
      <c r="S84" s="21">
        <f t="shared" si="6"/>
        <v>152310.91250152857</v>
      </c>
      <c r="T84" s="21">
        <f t="shared" si="7"/>
        <v>28939.073375290427</v>
      </c>
      <c r="U84" s="19">
        <v>0</v>
      </c>
      <c r="V84" s="21">
        <f t="shared" si="8"/>
        <v>181249.985876819</v>
      </c>
    </row>
    <row r="85" spans="1:22" x14ac:dyDescent="0.3">
      <c r="A85" s="7" t="s">
        <v>141</v>
      </c>
      <c r="B85" s="7">
        <v>2</v>
      </c>
      <c r="C85" s="8" t="s">
        <v>186</v>
      </c>
      <c r="D85" s="7" t="s">
        <v>198</v>
      </c>
      <c r="E85" s="7" t="s">
        <v>34</v>
      </c>
      <c r="F85" s="8" t="s">
        <v>41</v>
      </c>
      <c r="G85" s="7" t="s">
        <v>30</v>
      </c>
      <c r="H85" s="9">
        <v>613.31849999999997</v>
      </c>
      <c r="I85" s="9">
        <v>1.8789</v>
      </c>
      <c r="J85" s="9">
        <v>1.7863</v>
      </c>
      <c r="K85" s="10">
        <v>0.95071584437702905</v>
      </c>
      <c r="L85" s="9">
        <v>21.9</v>
      </c>
      <c r="M85" s="19">
        <f>H85*INDEX('Pliegos Tarifarios (Quilicura)'!$B:$B,MATCH($B85,'Pliegos Tarifarios (Quilicura)'!$A:$A,0))</f>
        <v>72885.543902999998</v>
      </c>
      <c r="N85" s="19">
        <f>I85*INDEX('Pliegos Tarifarios (Quilicura)'!$C:$C,MATCH($B85,'Pliegos Tarifarios (Quilicura)'!$A:$A,0))</f>
        <v>6445.9065308999998</v>
      </c>
      <c r="O85" s="19">
        <f>J85*INDEX('Pliegos Tarifarios (Quilicura)'!$D:$D,MATCH($B85,'Pliegos Tarifarios (Quilicura)'!$A:$A,0))</f>
        <v>25226.442988799998</v>
      </c>
      <c r="P85" s="19">
        <f>H85*INDEX('Pliegos Tarifarios (Quilicura)'!$E:$E,MATCH($B85,'Pliegos Tarifarios (Quilicura)'!$A:$A,0))</f>
        <v>7931.4348419999997</v>
      </c>
      <c r="Q85" s="19" cm="1">
        <f t="array" ref="Q85">H85*_xlfn.IFS(H85&lt;=350,INDEX('Pliegos Tarifarios (Quilicura)'!$F:$F,MATCH($B85,'Pliegos Tarifarios (Quilicura)'!$A:$A,0)),H85&lt;=500,INDEX('Pliegos Tarifarios (Quilicura)'!$G:$G,MATCH($B85,'Pliegos Tarifarios (Quilicura)'!$A:$A,0)),H85&lt;=1000,INDEX('Pliegos Tarifarios (Quilicura)'!$H:$H,MATCH($B85,'Pliegos Tarifarios (Quilicura)'!$A:$A,0)),H85&lt;=5000,INDEX('Pliegos Tarifarios (Quilicura)'!$I:$I,MATCH($B85,'Pliegos Tarifarios (Quilicura)'!$A:$A,0)),H85&gt;5000,INDEX('Pliegos Tarifarios (Quilicura)'!$J:$J,MATCH($B85,'Pliegos Tarifarios (Quilicura)'!$A:$A,0)))/1.19</f>
        <v>1438.4638096638657</v>
      </c>
      <c r="R85" s="19">
        <f>INDEX('Pliegos Tarifarios (Quilicura)'!$K:$K,MATCH($B85,'Pliegos Tarifarios (Quilicura)'!$A:$A,0))</f>
        <v>709.36099999999999</v>
      </c>
      <c r="S85" s="21">
        <f t="shared" si="6"/>
        <v>114637.15307436387</v>
      </c>
      <c r="T85" s="21">
        <f t="shared" si="7"/>
        <v>21781.059084129138</v>
      </c>
      <c r="U85" s="19">
        <v>0</v>
      </c>
      <c r="V85" s="21">
        <f t="shared" si="8"/>
        <v>136418.212158493</v>
      </c>
    </row>
    <row r="86" spans="1:22" x14ac:dyDescent="0.3">
      <c r="A86" s="7" t="s">
        <v>141</v>
      </c>
      <c r="B86" s="7">
        <v>2</v>
      </c>
      <c r="C86" s="8" t="s">
        <v>186</v>
      </c>
      <c r="D86" s="7" t="s">
        <v>199</v>
      </c>
      <c r="E86" s="7" t="s">
        <v>34</v>
      </c>
      <c r="F86" s="8" t="s">
        <v>43</v>
      </c>
      <c r="G86" s="7" t="s">
        <v>30</v>
      </c>
      <c r="H86" s="9">
        <v>613.63009999999997</v>
      </c>
      <c r="I86" s="9">
        <v>1.8290999999999999</v>
      </c>
      <c r="J86" s="9">
        <v>1.7925</v>
      </c>
      <c r="K86" s="10">
        <v>0.97999015909463671</v>
      </c>
      <c r="L86" s="9">
        <v>21.92</v>
      </c>
      <c r="M86" s="19">
        <f>H86*INDEX('Pliegos Tarifarios (Quilicura)'!$B:$B,MATCH($B86,'Pliegos Tarifarios (Quilicura)'!$A:$A,0))</f>
        <v>72922.57382379999</v>
      </c>
      <c r="N86" s="19">
        <f>I86*INDEX('Pliegos Tarifarios (Quilicura)'!$C:$C,MATCH($B86,'Pliegos Tarifarios (Quilicura)'!$A:$A,0))</f>
        <v>6275.0586170999995</v>
      </c>
      <c r="O86" s="19">
        <f>J86*INDEX('Pliegos Tarifarios (Quilicura)'!$D:$D,MATCH($B86,'Pliegos Tarifarios (Quilicura)'!$A:$A,0))</f>
        <v>25314.000479999999</v>
      </c>
      <c r="P86" s="19">
        <f>H86*INDEX('Pliegos Tarifarios (Quilicura)'!$E:$E,MATCH($B86,'Pliegos Tarifarios (Quilicura)'!$A:$A,0))</f>
        <v>7935.4644532000002</v>
      </c>
      <c r="Q86" s="19" cm="1">
        <f t="array" ref="Q86">H86*_xlfn.IFS(H86&lt;=350,INDEX('Pliegos Tarifarios (Quilicura)'!$F:$F,MATCH($B86,'Pliegos Tarifarios (Quilicura)'!$A:$A,0)),H86&lt;=500,INDEX('Pliegos Tarifarios (Quilicura)'!$G:$G,MATCH($B86,'Pliegos Tarifarios (Quilicura)'!$A:$A,0)),H86&lt;=1000,INDEX('Pliegos Tarifarios (Quilicura)'!$H:$H,MATCH($B86,'Pliegos Tarifarios (Quilicura)'!$A:$A,0)),H86&lt;=5000,INDEX('Pliegos Tarifarios (Quilicura)'!$I:$I,MATCH($B86,'Pliegos Tarifarios (Quilicura)'!$A:$A,0)),H86&gt;5000,INDEX('Pliegos Tarifarios (Quilicura)'!$J:$J,MATCH($B86,'Pliegos Tarifarios (Quilicura)'!$A:$A,0)))/1.19</f>
        <v>1439.1946294957984</v>
      </c>
      <c r="R86" s="19">
        <f>INDEX('Pliegos Tarifarios (Quilicura)'!$K:$K,MATCH($B86,'Pliegos Tarifarios (Quilicura)'!$A:$A,0))</f>
        <v>709.36099999999999</v>
      </c>
      <c r="S86" s="21">
        <f t="shared" si="6"/>
        <v>114595.6530035958</v>
      </c>
      <c r="T86" s="21">
        <f t="shared" si="7"/>
        <v>21773.174070683202</v>
      </c>
      <c r="U86" s="19">
        <v>0</v>
      </c>
      <c r="V86" s="21">
        <f t="shared" si="8"/>
        <v>136368.82707427899</v>
      </c>
    </row>
    <row r="87" spans="1:22" x14ac:dyDescent="0.3">
      <c r="A87" s="7" t="s">
        <v>141</v>
      </c>
      <c r="B87" s="7">
        <v>2</v>
      </c>
      <c r="C87" s="8" t="s">
        <v>186</v>
      </c>
      <c r="D87" s="7" t="s">
        <v>200</v>
      </c>
      <c r="E87" s="7" t="s">
        <v>34</v>
      </c>
      <c r="F87" s="8" t="s">
        <v>45</v>
      </c>
      <c r="G87" s="7" t="s">
        <v>30</v>
      </c>
      <c r="H87" s="9">
        <v>614.8732</v>
      </c>
      <c r="I87" s="9">
        <v>1.8306</v>
      </c>
      <c r="J87" s="9">
        <v>1.7888999999999999</v>
      </c>
      <c r="K87" s="10">
        <v>0.97722058341527362</v>
      </c>
      <c r="L87" s="9">
        <v>21.96</v>
      </c>
      <c r="M87" s="19">
        <f>H87*INDEX('Pliegos Tarifarios (Quilicura)'!$B:$B,MATCH($B87,'Pliegos Tarifarios (Quilicura)'!$A:$A,0))</f>
        <v>73070.301341600003</v>
      </c>
      <c r="N87" s="19">
        <f>I87*INDEX('Pliegos Tarifarios (Quilicura)'!$C:$C,MATCH($B87,'Pliegos Tarifarios (Quilicura)'!$A:$A,0))</f>
        <v>6280.2046386000002</v>
      </c>
      <c r="O87" s="19">
        <f>J87*INDEX('Pliegos Tarifarios (Quilicura)'!$D:$D,MATCH($B87,'Pliegos Tarifarios (Quilicura)'!$A:$A,0))</f>
        <v>25263.1606464</v>
      </c>
      <c r="P87" s="19">
        <f>H87*INDEX('Pliegos Tarifarios (Quilicura)'!$E:$E,MATCH($B87,'Pliegos Tarifarios (Quilicura)'!$A:$A,0))</f>
        <v>7951.5402223999999</v>
      </c>
      <c r="Q87" s="19" cm="1">
        <f t="array" ref="Q87">H87*_xlfn.IFS(H87&lt;=350,INDEX('Pliegos Tarifarios (Quilicura)'!$F:$F,MATCH($B87,'Pliegos Tarifarios (Quilicura)'!$A:$A,0)),H87&lt;=500,INDEX('Pliegos Tarifarios (Quilicura)'!$G:$G,MATCH($B87,'Pliegos Tarifarios (Quilicura)'!$A:$A,0)),H87&lt;=1000,INDEX('Pliegos Tarifarios (Quilicura)'!$H:$H,MATCH($B87,'Pliegos Tarifarios (Quilicura)'!$A:$A,0)),H87&lt;=5000,INDEX('Pliegos Tarifarios (Quilicura)'!$I:$I,MATCH($B87,'Pliegos Tarifarios (Quilicura)'!$A:$A,0)),H87&gt;5000,INDEX('Pliegos Tarifarios (Quilicura)'!$J:$J,MATCH($B87,'Pliegos Tarifarios (Quilicura)'!$A:$A,0)))/1.19</f>
        <v>1442.1101690756304</v>
      </c>
      <c r="R87" s="19">
        <f>INDEX('Pliegos Tarifarios (Quilicura)'!$K:$K,MATCH($B87,'Pliegos Tarifarios (Quilicura)'!$A:$A,0))</f>
        <v>709.36099999999999</v>
      </c>
      <c r="S87" s="21">
        <f t="shared" si="6"/>
        <v>114716.67801807563</v>
      </c>
      <c r="T87" s="21">
        <f t="shared" si="7"/>
        <v>21796.168823434371</v>
      </c>
      <c r="U87" s="19">
        <v>0</v>
      </c>
      <c r="V87" s="21">
        <f t="shared" si="8"/>
        <v>136512.84684151001</v>
      </c>
    </row>
    <row r="88" spans="1:22" x14ac:dyDescent="0.3">
      <c r="A88" s="7" t="s">
        <v>141</v>
      </c>
      <c r="B88" s="7">
        <v>2</v>
      </c>
      <c r="C88" s="8" t="s">
        <v>186</v>
      </c>
      <c r="D88" s="7" t="s">
        <v>201</v>
      </c>
      <c r="E88" s="7" t="s">
        <v>47</v>
      </c>
      <c r="F88" s="8" t="s">
        <v>48</v>
      </c>
      <c r="G88" s="7" t="s">
        <v>30</v>
      </c>
      <c r="H88" s="9">
        <v>613.49310000000003</v>
      </c>
      <c r="I88" s="9">
        <v>1.8180000000000001</v>
      </c>
      <c r="J88" s="9">
        <v>1.7924</v>
      </c>
      <c r="K88" s="10">
        <v>0.98591859185918584</v>
      </c>
      <c r="L88" s="9">
        <v>21.91</v>
      </c>
      <c r="M88" s="19">
        <f>H88*INDEX('Pliegos Tarifarios (Quilicura)'!$B:$B,MATCH($B88,'Pliegos Tarifarios (Quilicura)'!$A:$A,0))</f>
        <v>72906.293017799995</v>
      </c>
      <c r="N88" s="19">
        <f>I88*INDEX('Pliegos Tarifarios (Quilicura)'!$C:$C,MATCH($B88,'Pliegos Tarifarios (Quilicura)'!$A:$A,0))</f>
        <v>6236.9780580000006</v>
      </c>
      <c r="O88" s="19">
        <f>J88*INDEX('Pliegos Tarifarios (Quilicura)'!$D:$D,MATCH($B88,'Pliegos Tarifarios (Quilicura)'!$A:$A,0))</f>
        <v>25312.588262400001</v>
      </c>
      <c r="P88" s="19">
        <f>H88*INDEX('Pliegos Tarifarios (Quilicura)'!$E:$E,MATCH($B88,'Pliegos Tarifarios (Quilicura)'!$A:$A,0))</f>
        <v>7933.6927692000008</v>
      </c>
      <c r="Q88" s="19" cm="1">
        <f t="array" ref="Q88">H88*_xlfn.IFS(H88&lt;=350,INDEX('Pliegos Tarifarios (Quilicura)'!$F:$F,MATCH($B88,'Pliegos Tarifarios (Quilicura)'!$A:$A,0)),H88&lt;=500,INDEX('Pliegos Tarifarios (Quilicura)'!$G:$G,MATCH($B88,'Pliegos Tarifarios (Quilicura)'!$A:$A,0)),H88&lt;=1000,INDEX('Pliegos Tarifarios (Quilicura)'!$H:$H,MATCH($B88,'Pliegos Tarifarios (Quilicura)'!$A:$A,0)),H88&lt;=5000,INDEX('Pliegos Tarifarios (Quilicura)'!$I:$I,MATCH($B88,'Pliegos Tarifarios (Quilicura)'!$A:$A,0)),H88&gt;5000,INDEX('Pliegos Tarifarios (Quilicura)'!$J:$J,MATCH($B88,'Pliegos Tarifarios (Quilicura)'!$A:$A,0)))/1.19</f>
        <v>1438.8733126890761</v>
      </c>
      <c r="R88" s="19">
        <f>INDEX('Pliegos Tarifarios (Quilicura)'!$K:$K,MATCH($B88,'Pliegos Tarifarios (Quilicura)'!$A:$A,0))</f>
        <v>709.36099999999999</v>
      </c>
      <c r="S88" s="21">
        <f t="shared" si="6"/>
        <v>114537.78642008909</v>
      </c>
      <c r="T88" s="21">
        <f t="shared" si="7"/>
        <v>21762.179419816926</v>
      </c>
      <c r="U88" s="19">
        <v>0</v>
      </c>
      <c r="V88" s="21">
        <f t="shared" si="8"/>
        <v>136299.96583990601</v>
      </c>
    </row>
    <row r="89" spans="1:22" x14ac:dyDescent="0.3">
      <c r="A89" s="7" t="s">
        <v>141</v>
      </c>
      <c r="B89" s="7">
        <v>2</v>
      </c>
      <c r="C89" s="8" t="s">
        <v>186</v>
      </c>
      <c r="D89" s="7" t="s">
        <v>202</v>
      </c>
      <c r="E89" s="7" t="s">
        <v>47</v>
      </c>
      <c r="F89" s="8" t="s">
        <v>50</v>
      </c>
      <c r="G89" s="7" t="s">
        <v>30</v>
      </c>
      <c r="H89" s="9">
        <v>614.84500000000003</v>
      </c>
      <c r="I89" s="9">
        <v>1.8561000000000001</v>
      </c>
      <c r="J89" s="9">
        <v>1.7701</v>
      </c>
      <c r="K89" s="10">
        <v>0.95366628953181398</v>
      </c>
      <c r="L89" s="9">
        <v>21.96</v>
      </c>
      <c r="M89" s="19">
        <f>H89*INDEX('Pliegos Tarifarios (Quilicura)'!$B:$B,MATCH($B89,'Pliegos Tarifarios (Quilicura)'!$A:$A,0))</f>
        <v>73066.950110000005</v>
      </c>
      <c r="N89" s="19">
        <f>I89*INDEX('Pliegos Tarifarios (Quilicura)'!$C:$C,MATCH($B89,'Pliegos Tarifarios (Quilicura)'!$A:$A,0))</f>
        <v>6367.6870041000002</v>
      </c>
      <c r="O89" s="19">
        <f>J89*INDEX('Pliegos Tarifarios (Quilicura)'!$D:$D,MATCH($B89,'Pliegos Tarifarios (Quilicura)'!$A:$A,0))</f>
        <v>24997.6637376</v>
      </c>
      <c r="P89" s="19">
        <f>H89*INDEX('Pliegos Tarifarios (Quilicura)'!$E:$E,MATCH($B89,'Pliegos Tarifarios (Quilicura)'!$A:$A,0))</f>
        <v>7951.1755400000002</v>
      </c>
      <c r="Q89" s="19" cm="1">
        <f t="array" ref="Q89">H89*_xlfn.IFS(H89&lt;=350,INDEX('Pliegos Tarifarios (Quilicura)'!$F:$F,MATCH($B89,'Pliegos Tarifarios (Quilicura)'!$A:$A,0)),H89&lt;=500,INDEX('Pliegos Tarifarios (Quilicura)'!$G:$G,MATCH($B89,'Pliegos Tarifarios (Quilicura)'!$A:$A,0)),H89&lt;=1000,INDEX('Pliegos Tarifarios (Quilicura)'!$H:$H,MATCH($B89,'Pliegos Tarifarios (Quilicura)'!$A:$A,0)),H89&lt;=5000,INDEX('Pliegos Tarifarios (Quilicura)'!$I:$I,MATCH($B89,'Pliegos Tarifarios (Quilicura)'!$A:$A,0)),H89&gt;5000,INDEX('Pliegos Tarifarios (Quilicura)'!$J:$J,MATCH($B89,'Pliegos Tarifarios (Quilicura)'!$A:$A,0)))/1.19</f>
        <v>1442.0440294117652</v>
      </c>
      <c r="R89" s="19">
        <f>INDEX('Pliegos Tarifarios (Quilicura)'!$K:$K,MATCH($B89,'Pliegos Tarifarios (Quilicura)'!$A:$A,0))</f>
        <v>709.36099999999999</v>
      </c>
      <c r="S89" s="21">
        <f t="shared" si="6"/>
        <v>114534.88142111179</v>
      </c>
      <c r="T89" s="21">
        <f t="shared" si="7"/>
        <v>21761.627470011241</v>
      </c>
      <c r="U89" s="19">
        <v>0</v>
      </c>
      <c r="V89" s="21">
        <f t="shared" si="8"/>
        <v>136296.50889112303</v>
      </c>
    </row>
    <row r="90" spans="1:22" x14ac:dyDescent="0.3">
      <c r="A90" s="7" t="s">
        <v>141</v>
      </c>
      <c r="B90" s="7">
        <v>2</v>
      </c>
      <c r="C90" s="8" t="s">
        <v>186</v>
      </c>
      <c r="D90" s="7" t="s">
        <v>203</v>
      </c>
      <c r="E90" s="7" t="s">
        <v>52</v>
      </c>
      <c r="F90" s="8" t="s">
        <v>53</v>
      </c>
      <c r="G90" s="7" t="s">
        <v>30</v>
      </c>
      <c r="H90" s="9">
        <v>612.91409999999996</v>
      </c>
      <c r="I90" s="9">
        <v>1.8783000000000001</v>
      </c>
      <c r="J90" s="9">
        <v>1.8783000000000001</v>
      </c>
      <c r="K90" s="10">
        <v>1</v>
      </c>
      <c r="L90" s="9">
        <v>21.89</v>
      </c>
      <c r="M90" s="19">
        <f>H90*INDEX('Pliegos Tarifarios (Quilicura)'!$B:$B,MATCH($B90,'Pliegos Tarifarios (Quilicura)'!$A:$A,0))</f>
        <v>72837.485815799999</v>
      </c>
      <c r="N90" s="19">
        <f>I90*INDEX('Pliegos Tarifarios (Quilicura)'!$C:$C,MATCH($B90,'Pliegos Tarifarios (Quilicura)'!$A:$A,0))</f>
        <v>6443.8481223000008</v>
      </c>
      <c r="O90" s="19">
        <f>J90*INDEX('Pliegos Tarifarios (Quilicura)'!$D:$D,MATCH($B90,'Pliegos Tarifarios (Quilicura)'!$A:$A,0))</f>
        <v>26525.683180799999</v>
      </c>
      <c r="P90" s="19">
        <f>H90*INDEX('Pliegos Tarifarios (Quilicura)'!$E:$E,MATCH($B90,'Pliegos Tarifarios (Quilicura)'!$A:$A,0))</f>
        <v>7926.2051412000001</v>
      </c>
      <c r="Q90" s="19" cm="1">
        <f t="array" ref="Q90">H90*_xlfn.IFS(H90&lt;=350,INDEX('Pliegos Tarifarios (Quilicura)'!$F:$F,MATCH($B90,'Pliegos Tarifarios (Quilicura)'!$A:$A,0)),H90&lt;=500,INDEX('Pliegos Tarifarios (Quilicura)'!$G:$G,MATCH($B90,'Pliegos Tarifarios (Quilicura)'!$A:$A,0)),H90&lt;=1000,INDEX('Pliegos Tarifarios (Quilicura)'!$H:$H,MATCH($B90,'Pliegos Tarifarios (Quilicura)'!$A:$A,0)),H90&lt;=5000,INDEX('Pliegos Tarifarios (Quilicura)'!$I:$I,MATCH($B90,'Pliegos Tarifarios (Quilicura)'!$A:$A,0)),H90&gt;5000,INDEX('Pliegos Tarifarios (Quilicura)'!$J:$J,MATCH($B90,'Pliegos Tarifarios (Quilicura)'!$A:$A,0)))/1.19</f>
        <v>1437.515338739496</v>
      </c>
      <c r="R90" s="19">
        <f>INDEX('Pliegos Tarifarios (Quilicura)'!$K:$K,MATCH($B90,'Pliegos Tarifarios (Quilicura)'!$A:$A,0))</f>
        <v>709.36099999999999</v>
      </c>
      <c r="S90" s="21">
        <f t="shared" si="6"/>
        <v>115880.0985988395</v>
      </c>
      <c r="T90" s="21">
        <f t="shared" si="7"/>
        <v>22017.218733779504</v>
      </c>
      <c r="U90" s="19">
        <v>0</v>
      </c>
      <c r="V90" s="21">
        <f t="shared" si="8"/>
        <v>137897.31733261899</v>
      </c>
    </row>
    <row r="91" spans="1:22" x14ac:dyDescent="0.3">
      <c r="A91" s="7" t="s">
        <v>141</v>
      </c>
      <c r="B91" s="7">
        <v>2</v>
      </c>
      <c r="C91" s="8" t="s">
        <v>186</v>
      </c>
      <c r="D91" s="7" t="s">
        <v>204</v>
      </c>
      <c r="E91" s="7" t="s">
        <v>55</v>
      </c>
      <c r="F91" s="8" t="s">
        <v>56</v>
      </c>
      <c r="G91" s="7" t="s">
        <v>30</v>
      </c>
      <c r="H91" s="9">
        <v>409.76209999999998</v>
      </c>
      <c r="I91" s="9">
        <v>1.2117</v>
      </c>
      <c r="J91" s="9">
        <v>1.1964999999999999</v>
      </c>
      <c r="K91" s="10">
        <v>0.98745564083519011</v>
      </c>
      <c r="L91" s="9">
        <v>14.63</v>
      </c>
      <c r="M91" s="19">
        <f>H91*INDEX('Pliegos Tarifarios (Quilicura)'!$B:$B,MATCH($B91,'Pliegos Tarifarios (Quilicura)'!$A:$A,0))</f>
        <v>48695.308439799992</v>
      </c>
      <c r="N91" s="19">
        <f>I91*INDEX('Pliegos Tarifarios (Quilicura)'!$C:$C,MATCH($B91,'Pliegos Tarifarios (Quilicura)'!$A:$A,0))</f>
        <v>4156.9561677000002</v>
      </c>
      <c r="O91" s="19">
        <f>J91*INDEX('Pliegos Tarifarios (Quilicura)'!$D:$D,MATCH($B91,'Pliegos Tarifarios (Quilicura)'!$A:$A,0))</f>
        <v>16897.183583999999</v>
      </c>
      <c r="P91" s="19">
        <f>H91*INDEX('Pliegos Tarifarios (Quilicura)'!$E:$E,MATCH($B91,'Pliegos Tarifarios (Quilicura)'!$A:$A,0))</f>
        <v>5299.0434771999999</v>
      </c>
      <c r="Q91" s="19" cm="1">
        <f t="array" ref="Q91">H91*_xlfn.IFS(H91&lt;=350,INDEX('Pliegos Tarifarios (Quilicura)'!$F:$F,MATCH($B91,'Pliegos Tarifarios (Quilicura)'!$A:$A,0)),H91&lt;=500,INDEX('Pliegos Tarifarios (Quilicura)'!$G:$G,MATCH($B91,'Pliegos Tarifarios (Quilicura)'!$A:$A,0)),H91&lt;=1000,INDEX('Pliegos Tarifarios (Quilicura)'!$H:$H,MATCH($B91,'Pliegos Tarifarios (Quilicura)'!$A:$A,0)),H91&lt;=5000,INDEX('Pliegos Tarifarios (Quilicura)'!$I:$I,MATCH($B91,'Pliegos Tarifarios (Quilicura)'!$A:$A,0)),H91&gt;5000,INDEX('Pliegos Tarifarios (Quilicura)'!$J:$J,MATCH($B91,'Pliegos Tarifarios (Quilicura)'!$A:$A,0)))/1.19</f>
        <v>577.11031899159661</v>
      </c>
      <c r="R91" s="19">
        <f>INDEX('Pliegos Tarifarios (Quilicura)'!$K:$K,MATCH($B91,'Pliegos Tarifarios (Quilicura)'!$A:$A,0))</f>
        <v>709.36099999999999</v>
      </c>
      <c r="S91" s="21">
        <f t="shared" si="6"/>
        <v>76334.962987691601</v>
      </c>
      <c r="T91" s="21">
        <f t="shared" si="7"/>
        <v>14503.642967661404</v>
      </c>
      <c r="U91" s="19">
        <v>0</v>
      </c>
      <c r="V91" s="21">
        <f t="shared" si="8"/>
        <v>90838.605955353007</v>
      </c>
    </row>
    <row r="92" spans="1:22" x14ac:dyDescent="0.3">
      <c r="A92" s="7" t="s">
        <v>141</v>
      </c>
      <c r="B92" s="7">
        <v>2</v>
      </c>
      <c r="C92" s="8" t="s">
        <v>186</v>
      </c>
      <c r="D92" s="7" t="s">
        <v>205</v>
      </c>
      <c r="E92" s="7" t="s">
        <v>58</v>
      </c>
      <c r="F92" s="8" t="s">
        <v>59</v>
      </c>
      <c r="G92" s="7" t="s">
        <v>30</v>
      </c>
      <c r="H92" s="9">
        <v>409.57080000000002</v>
      </c>
      <c r="I92" s="9">
        <v>1.2223999999999999</v>
      </c>
      <c r="J92" s="9">
        <v>1.2047000000000001</v>
      </c>
      <c r="K92" s="10">
        <v>0.9855202879581153</v>
      </c>
      <c r="L92" s="9">
        <v>14.63</v>
      </c>
      <c r="M92" s="19">
        <f>H92*INDEX('Pliegos Tarifarios (Quilicura)'!$B:$B,MATCH($B92,'Pliegos Tarifarios (Quilicura)'!$A:$A,0))</f>
        <v>48672.574730400003</v>
      </c>
      <c r="N92" s="19">
        <f>I92*INDEX('Pliegos Tarifarios (Quilicura)'!$C:$C,MATCH($B92,'Pliegos Tarifarios (Quilicura)'!$A:$A,0))</f>
        <v>4193.6644544000001</v>
      </c>
      <c r="O92" s="19">
        <f>J92*INDEX('Pliegos Tarifarios (Quilicura)'!$D:$D,MATCH($B92,'Pliegos Tarifarios (Quilicura)'!$A:$A,0))</f>
        <v>17012.985427200001</v>
      </c>
      <c r="P92" s="19">
        <f>H92*INDEX('Pliegos Tarifarios (Quilicura)'!$E:$E,MATCH($B92,'Pliegos Tarifarios (Quilicura)'!$A:$A,0))</f>
        <v>5296.5695856000002</v>
      </c>
      <c r="Q92" s="19" cm="1">
        <f t="array" ref="Q92">H92*_xlfn.IFS(H92&lt;=350,INDEX('Pliegos Tarifarios (Quilicura)'!$F:$F,MATCH($B92,'Pliegos Tarifarios (Quilicura)'!$A:$A,0)),H92&lt;=500,INDEX('Pliegos Tarifarios (Quilicura)'!$G:$G,MATCH($B92,'Pliegos Tarifarios (Quilicura)'!$A:$A,0)),H92&lt;=1000,INDEX('Pliegos Tarifarios (Quilicura)'!$H:$H,MATCH($B92,'Pliegos Tarifarios (Quilicura)'!$A:$A,0)),H92&lt;=5000,INDEX('Pliegos Tarifarios (Quilicura)'!$I:$I,MATCH($B92,'Pliegos Tarifarios (Quilicura)'!$A:$A,0)),H92&gt;5000,INDEX('Pliegos Tarifarios (Quilicura)'!$J:$J,MATCH($B92,'Pliegos Tarifarios (Quilicura)'!$A:$A,0)))/1.19</f>
        <v>576.84089142857147</v>
      </c>
      <c r="R92" s="19">
        <f>INDEX('Pliegos Tarifarios (Quilicura)'!$K:$K,MATCH($B92,'Pliegos Tarifarios (Quilicura)'!$A:$A,0))</f>
        <v>709.36099999999999</v>
      </c>
      <c r="S92" s="21">
        <f t="shared" si="6"/>
        <v>76461.996089028573</v>
      </c>
      <c r="T92" s="21">
        <f t="shared" si="7"/>
        <v>14527.77925691543</v>
      </c>
      <c r="U92" s="19">
        <v>0</v>
      </c>
      <c r="V92" s="21">
        <f t="shared" si="8"/>
        <v>90989.775345943999</v>
      </c>
    </row>
    <row r="93" spans="1:22" x14ac:dyDescent="0.3">
      <c r="A93" s="7" t="s">
        <v>141</v>
      </c>
      <c r="B93" s="7">
        <v>2</v>
      </c>
      <c r="C93" s="8" t="s">
        <v>186</v>
      </c>
      <c r="D93" s="7" t="s">
        <v>206</v>
      </c>
      <c r="E93" s="7" t="s">
        <v>61</v>
      </c>
      <c r="F93" s="8" t="s">
        <v>62</v>
      </c>
      <c r="G93" s="7" t="s">
        <v>30</v>
      </c>
      <c r="H93" s="9">
        <v>409.8544</v>
      </c>
      <c r="I93" s="9">
        <v>1.2065999999999999</v>
      </c>
      <c r="J93" s="9">
        <v>1.2010000000000001</v>
      </c>
      <c r="K93" s="10">
        <v>0.99535885960550319</v>
      </c>
      <c r="L93" s="9">
        <v>14.64</v>
      </c>
      <c r="M93" s="19">
        <f>H93*INDEX('Pliegos Tarifarios (Quilicura)'!$B:$B,MATCH($B93,'Pliegos Tarifarios (Quilicura)'!$A:$A,0))</f>
        <v>48706.277187199994</v>
      </c>
      <c r="N93" s="19">
        <f>I93*INDEX('Pliegos Tarifarios (Quilicura)'!$C:$C,MATCH($B93,'Pliegos Tarifarios (Quilicura)'!$A:$A,0))</f>
        <v>4139.4596945999992</v>
      </c>
      <c r="O93" s="19">
        <f>J93*INDEX('Pliegos Tarifarios (Quilicura)'!$D:$D,MATCH($B93,'Pliegos Tarifarios (Quilicura)'!$A:$A,0))</f>
        <v>16960.733376</v>
      </c>
      <c r="P93" s="19">
        <f>H93*INDEX('Pliegos Tarifarios (Quilicura)'!$E:$E,MATCH($B93,'Pliegos Tarifarios (Quilicura)'!$A:$A,0))</f>
        <v>5300.2371008</v>
      </c>
      <c r="Q93" s="19" cm="1">
        <f t="array" ref="Q93">H93*_xlfn.IFS(H93&lt;=350,INDEX('Pliegos Tarifarios (Quilicura)'!$F:$F,MATCH($B93,'Pliegos Tarifarios (Quilicura)'!$A:$A,0)),H93&lt;=500,INDEX('Pliegos Tarifarios (Quilicura)'!$G:$G,MATCH($B93,'Pliegos Tarifarios (Quilicura)'!$A:$A,0)),H93&lt;=1000,INDEX('Pliegos Tarifarios (Quilicura)'!$H:$H,MATCH($B93,'Pliegos Tarifarios (Quilicura)'!$A:$A,0)),H93&lt;=5000,INDEX('Pliegos Tarifarios (Quilicura)'!$I:$I,MATCH($B93,'Pliegos Tarifarios (Quilicura)'!$A:$A,0)),H93&gt;5000,INDEX('Pliegos Tarifarios (Quilicura)'!$J:$J,MATCH($B93,'Pliegos Tarifarios (Quilicura)'!$A:$A,0)))/1.19</f>
        <v>577.24031462184882</v>
      </c>
      <c r="R93" s="19">
        <f>INDEX('Pliegos Tarifarios (Quilicura)'!$K:$K,MATCH($B93,'Pliegos Tarifarios (Quilicura)'!$A:$A,0))</f>
        <v>709.36099999999999</v>
      </c>
      <c r="S93" s="21">
        <f t="shared" si="6"/>
        <v>76393.308673221851</v>
      </c>
      <c r="T93" s="21">
        <f t="shared" si="7"/>
        <v>14514.728647912152</v>
      </c>
      <c r="U93" s="19">
        <v>0</v>
      </c>
      <c r="V93" s="21">
        <f t="shared" si="8"/>
        <v>90908.037321134005</v>
      </c>
    </row>
    <row r="94" spans="1:22" x14ac:dyDescent="0.3">
      <c r="A94" s="7" t="s">
        <v>141</v>
      </c>
      <c r="B94" s="7">
        <v>2</v>
      </c>
      <c r="C94" s="8" t="s">
        <v>186</v>
      </c>
      <c r="D94" s="7" t="s">
        <v>207</v>
      </c>
      <c r="E94" s="7" t="s">
        <v>34</v>
      </c>
      <c r="F94" s="8" t="s">
        <v>64</v>
      </c>
      <c r="G94" s="7" t="s">
        <v>30</v>
      </c>
      <c r="H94" s="9">
        <v>819.87710000000004</v>
      </c>
      <c r="I94" s="9">
        <v>2.4647000000000001</v>
      </c>
      <c r="J94" s="9">
        <v>2.4262000000000001</v>
      </c>
      <c r="K94" s="10">
        <v>0.98437943765975577</v>
      </c>
      <c r="L94" s="9">
        <v>29.28</v>
      </c>
      <c r="M94" s="19">
        <f>H94*INDEX('Pliegos Tarifarios (Quilicura)'!$B:$B,MATCH($B94,'Pliegos Tarifarios (Quilicura)'!$A:$A,0))</f>
        <v>97432.5548098</v>
      </c>
      <c r="N94" s="19">
        <f>I94*INDEX('Pliegos Tarifarios (Quilicura)'!$C:$C,MATCH($B94,'Pliegos Tarifarios (Quilicura)'!$A:$A,0))</f>
        <v>8455.5994607000011</v>
      </c>
      <c r="O94" s="19">
        <f>J94*INDEX('Pliegos Tarifarios (Quilicura)'!$D:$D,MATCH($B94,'Pliegos Tarifarios (Quilicura)'!$A:$A,0))</f>
        <v>34263.223411200001</v>
      </c>
      <c r="P94" s="19">
        <f>H94*INDEX('Pliegos Tarifarios (Quilicura)'!$E:$E,MATCH($B94,'Pliegos Tarifarios (Quilicura)'!$A:$A,0))</f>
        <v>10602.650657200002</v>
      </c>
      <c r="Q94" s="19" cm="1">
        <f t="array" ref="Q94">H94*_xlfn.IFS(H94&lt;=350,INDEX('Pliegos Tarifarios (Quilicura)'!$F:$F,MATCH($B94,'Pliegos Tarifarios (Quilicura)'!$A:$A,0)),H94&lt;=500,INDEX('Pliegos Tarifarios (Quilicura)'!$G:$G,MATCH($B94,'Pliegos Tarifarios (Quilicura)'!$A:$A,0)),H94&lt;=1000,INDEX('Pliegos Tarifarios (Quilicura)'!$H:$H,MATCH($B94,'Pliegos Tarifarios (Quilicura)'!$A:$A,0)),H94&lt;=5000,INDEX('Pliegos Tarifarios (Quilicura)'!$I:$I,MATCH($B94,'Pliegos Tarifarios (Quilicura)'!$A:$A,0)),H94&gt;5000,INDEX('Pliegos Tarifarios (Quilicura)'!$J:$J,MATCH($B94,'Pliegos Tarifarios (Quilicura)'!$A:$A,0)))/1.19</f>
        <v>1922.9218370588242</v>
      </c>
      <c r="R94" s="19">
        <f>INDEX('Pliegos Tarifarios (Quilicura)'!$K:$K,MATCH($B94,'Pliegos Tarifarios (Quilicura)'!$A:$A,0))</f>
        <v>709.36099999999999</v>
      </c>
      <c r="S94" s="21">
        <f t="shared" si="6"/>
        <v>153386.31117595881</v>
      </c>
      <c r="T94" s="21">
        <f t="shared" si="7"/>
        <v>29143.399123432173</v>
      </c>
      <c r="U94" s="19">
        <v>0</v>
      </c>
      <c r="V94" s="21">
        <f t="shared" si="8"/>
        <v>182529.71029939098</v>
      </c>
    </row>
    <row r="95" spans="1:22" x14ac:dyDescent="0.3">
      <c r="A95" s="7" t="s">
        <v>141</v>
      </c>
      <c r="B95" s="7">
        <v>2</v>
      </c>
      <c r="C95" s="8" t="s">
        <v>186</v>
      </c>
      <c r="D95" s="7" t="s">
        <v>208</v>
      </c>
      <c r="E95" s="7" t="s">
        <v>34</v>
      </c>
      <c r="F95" s="8" t="s">
        <v>66</v>
      </c>
      <c r="G95" s="7" t="s">
        <v>30</v>
      </c>
      <c r="H95" s="9">
        <v>819.30799999999999</v>
      </c>
      <c r="I95" s="9">
        <v>2.4483000000000001</v>
      </c>
      <c r="J95" s="9">
        <v>2.4247000000000001</v>
      </c>
      <c r="K95" s="10">
        <v>0.9903606584160437</v>
      </c>
      <c r="L95" s="9">
        <v>29.26</v>
      </c>
      <c r="M95" s="19">
        <f>H95*INDEX('Pliegos Tarifarios (Quilicura)'!$B:$B,MATCH($B95,'Pliegos Tarifarios (Quilicura)'!$A:$A,0))</f>
        <v>97364.924103999991</v>
      </c>
      <c r="N95" s="19">
        <f>I95*INDEX('Pliegos Tarifarios (Quilicura)'!$C:$C,MATCH($B95,'Pliegos Tarifarios (Quilicura)'!$A:$A,0))</f>
        <v>8399.3362923000004</v>
      </c>
      <c r="O95" s="19">
        <f>J95*INDEX('Pliegos Tarifarios (Quilicura)'!$D:$D,MATCH($B95,'Pliegos Tarifarios (Quilicura)'!$A:$A,0))</f>
        <v>34242.040147200001</v>
      </c>
      <c r="P95" s="19">
        <f>H95*INDEX('Pliegos Tarifarios (Quilicura)'!$E:$E,MATCH($B95,'Pliegos Tarifarios (Quilicura)'!$A:$A,0))</f>
        <v>10595.291056</v>
      </c>
      <c r="Q95" s="19" cm="1">
        <f t="array" ref="Q95">H95*_xlfn.IFS(H95&lt;=350,INDEX('Pliegos Tarifarios (Quilicura)'!$F:$F,MATCH($B95,'Pliegos Tarifarios (Quilicura)'!$A:$A,0)),H95&lt;=500,INDEX('Pliegos Tarifarios (Quilicura)'!$G:$G,MATCH($B95,'Pliegos Tarifarios (Quilicura)'!$A:$A,0)),H95&lt;=1000,INDEX('Pliegos Tarifarios (Quilicura)'!$H:$H,MATCH($B95,'Pliegos Tarifarios (Quilicura)'!$A:$A,0)),H95&lt;=5000,INDEX('Pliegos Tarifarios (Quilicura)'!$I:$I,MATCH($B95,'Pliegos Tarifarios (Quilicura)'!$A:$A,0)),H95&gt;5000,INDEX('Pliegos Tarifarios (Quilicura)'!$J:$J,MATCH($B95,'Pliegos Tarifarios (Quilicura)'!$A:$A,0)))/1.19</f>
        <v>1921.5870823529415</v>
      </c>
      <c r="R95" s="19">
        <f>INDEX('Pliegos Tarifarios (Quilicura)'!$K:$K,MATCH($B95,'Pliegos Tarifarios (Quilicura)'!$A:$A,0))</f>
        <v>709.36099999999999</v>
      </c>
      <c r="S95" s="21">
        <f t="shared" si="6"/>
        <v>153232.53968185294</v>
      </c>
      <c r="T95" s="21">
        <f t="shared" si="7"/>
        <v>29114.182539552057</v>
      </c>
      <c r="U95" s="19">
        <v>0</v>
      </c>
      <c r="V95" s="21">
        <f t="shared" si="8"/>
        <v>182346.72222140501</v>
      </c>
    </row>
    <row r="96" spans="1:22" x14ac:dyDescent="0.3">
      <c r="A96" s="7" t="s">
        <v>141</v>
      </c>
      <c r="B96" s="7">
        <v>2</v>
      </c>
      <c r="C96" s="8" t="s">
        <v>186</v>
      </c>
      <c r="D96" s="7" t="s">
        <v>209</v>
      </c>
      <c r="E96" s="7" t="s">
        <v>34</v>
      </c>
      <c r="F96" s="8" t="s">
        <v>68</v>
      </c>
      <c r="G96" s="7" t="s">
        <v>30</v>
      </c>
      <c r="H96" s="9">
        <v>818.3913</v>
      </c>
      <c r="I96" s="9">
        <v>2.4348000000000001</v>
      </c>
      <c r="J96" s="9">
        <v>2.4083000000000001</v>
      </c>
      <c r="K96" s="10">
        <v>0.98911614917036306</v>
      </c>
      <c r="L96" s="9">
        <v>29.23</v>
      </c>
      <c r="M96" s="19">
        <f>H96*INDEX('Pliegos Tarifarios (Quilicura)'!$B:$B,MATCH($B96,'Pliegos Tarifarios (Quilicura)'!$A:$A,0))</f>
        <v>97255.985309399999</v>
      </c>
      <c r="N96" s="19">
        <f>I96*INDEX('Pliegos Tarifarios (Quilicura)'!$C:$C,MATCH($B96,'Pliegos Tarifarios (Quilicura)'!$A:$A,0))</f>
        <v>8353.0220988000001</v>
      </c>
      <c r="O96" s="19">
        <f>J96*INDEX('Pliegos Tarifarios (Quilicura)'!$D:$D,MATCH($B96,'Pliegos Tarifarios (Quilicura)'!$A:$A,0))</f>
        <v>34010.436460800003</v>
      </c>
      <c r="P96" s="19">
        <f>H96*INDEX('Pliegos Tarifarios (Quilicura)'!$E:$E,MATCH($B96,'Pliegos Tarifarios (Quilicura)'!$A:$A,0))</f>
        <v>10583.436291600001</v>
      </c>
      <c r="Q96" s="19" cm="1">
        <f t="array" ref="Q96">H96*_xlfn.IFS(H96&lt;=350,INDEX('Pliegos Tarifarios (Quilicura)'!$F:$F,MATCH($B96,'Pliegos Tarifarios (Quilicura)'!$A:$A,0)),H96&lt;=500,INDEX('Pliegos Tarifarios (Quilicura)'!$G:$G,MATCH($B96,'Pliegos Tarifarios (Quilicura)'!$A:$A,0)),H96&lt;=1000,INDEX('Pliegos Tarifarios (Quilicura)'!$H:$H,MATCH($B96,'Pliegos Tarifarios (Quilicura)'!$A:$A,0)),H96&lt;=5000,INDEX('Pliegos Tarifarios (Quilicura)'!$I:$I,MATCH($B96,'Pliegos Tarifarios (Quilicura)'!$A:$A,0)),H96&gt;5000,INDEX('Pliegos Tarifarios (Quilicura)'!$J:$J,MATCH($B96,'Pliegos Tarifarios (Quilicura)'!$A:$A,0)))/1.19</f>
        <v>1919.4370742016811</v>
      </c>
      <c r="R96" s="19">
        <f>INDEX('Pliegos Tarifarios (Quilicura)'!$K:$K,MATCH($B96,'Pliegos Tarifarios (Quilicura)'!$A:$A,0))</f>
        <v>709.36099999999999</v>
      </c>
      <c r="S96" s="21">
        <f t="shared" si="6"/>
        <v>152831.67823480169</v>
      </c>
      <c r="T96" s="21">
        <f t="shared" si="7"/>
        <v>29038.018864612321</v>
      </c>
      <c r="U96" s="19">
        <v>0</v>
      </c>
      <c r="V96" s="21">
        <f t="shared" si="8"/>
        <v>181869.69709941401</v>
      </c>
    </row>
    <row r="97" spans="1:22" x14ac:dyDescent="0.3">
      <c r="A97" s="7" t="s">
        <v>141</v>
      </c>
      <c r="B97" s="7">
        <v>2</v>
      </c>
      <c r="C97" s="8" t="s">
        <v>186</v>
      </c>
      <c r="D97" s="7" t="s">
        <v>210</v>
      </c>
      <c r="E97" s="7" t="s">
        <v>70</v>
      </c>
      <c r="F97" s="8" t="s">
        <v>71</v>
      </c>
      <c r="G97" s="7" t="s">
        <v>30</v>
      </c>
      <c r="H97" s="9">
        <v>1023.7383</v>
      </c>
      <c r="I97" s="9">
        <v>3.2029000000000001</v>
      </c>
      <c r="J97" s="9">
        <v>3.2029000000000001</v>
      </c>
      <c r="K97" s="10">
        <v>1</v>
      </c>
      <c r="L97" s="9">
        <v>36.56</v>
      </c>
      <c r="M97" s="19">
        <f>H97*INDEX('Pliegos Tarifarios (Quilicura)'!$B:$B,MATCH($B97,'Pliegos Tarifarios (Quilicura)'!$A:$A,0))</f>
        <v>121659.01209539999</v>
      </c>
      <c r="N97" s="19">
        <f>I97*INDEX('Pliegos Tarifarios (Quilicura)'!$C:$C,MATCH($B97,'Pliegos Tarifarios (Quilicura)'!$A:$A,0))</f>
        <v>10988.128174900001</v>
      </c>
      <c r="O97" s="19">
        <f>J97*INDEX('Pliegos Tarifarios (Quilicura)'!$D:$D,MATCH($B97,'Pliegos Tarifarios (Quilicura)'!$A:$A,0))</f>
        <v>45231.917510400002</v>
      </c>
      <c r="P97" s="19">
        <f>H97*INDEX('Pliegos Tarifarios (Quilicura)'!$E:$E,MATCH($B97,'Pliegos Tarifarios (Quilicura)'!$A:$A,0))</f>
        <v>13238.9836956</v>
      </c>
      <c r="Q97" s="19" cm="1">
        <f t="array" ref="Q97">H97*_xlfn.IFS(H97&lt;=350,INDEX('Pliegos Tarifarios (Quilicura)'!$F:$F,MATCH($B97,'Pliegos Tarifarios (Quilicura)'!$A:$A,0)),H97&lt;=500,INDEX('Pliegos Tarifarios (Quilicura)'!$G:$G,MATCH($B97,'Pliegos Tarifarios (Quilicura)'!$A:$A,0)),H97&lt;=1000,INDEX('Pliegos Tarifarios (Quilicura)'!$H:$H,MATCH($B97,'Pliegos Tarifarios (Quilicura)'!$A:$A,0)),H97&lt;=5000,INDEX('Pliegos Tarifarios (Quilicura)'!$I:$I,MATCH($B97,'Pliegos Tarifarios (Quilicura)'!$A:$A,0)),H97&gt;5000,INDEX('Pliegos Tarifarios (Quilicura)'!$J:$J,MATCH($B97,'Pliegos Tarifarios (Quilicura)'!$A:$A,0)))/1.19</f>
        <v>3072.0751842857144</v>
      </c>
      <c r="R97" s="19">
        <f>INDEX('Pliegos Tarifarios (Quilicura)'!$K:$K,MATCH($B97,'Pliegos Tarifarios (Quilicura)'!$A:$A,0))</f>
        <v>709.36099999999999</v>
      </c>
      <c r="S97" s="21">
        <f t="shared" si="6"/>
        <v>194899.47766058572</v>
      </c>
      <c r="T97" s="21">
        <f t="shared" si="7"/>
        <v>37030.900755511284</v>
      </c>
      <c r="U97" s="19">
        <v>0</v>
      </c>
      <c r="V97" s="21">
        <f t="shared" si="8"/>
        <v>231930.378416097</v>
      </c>
    </row>
    <row r="98" spans="1:22" x14ac:dyDescent="0.3">
      <c r="A98" s="7" t="s">
        <v>141</v>
      </c>
      <c r="B98" s="7">
        <v>2</v>
      </c>
      <c r="C98" s="8" t="s">
        <v>186</v>
      </c>
      <c r="D98" s="7" t="s">
        <v>211</v>
      </c>
      <c r="E98" s="7" t="s">
        <v>73</v>
      </c>
      <c r="F98" s="8" t="s">
        <v>74</v>
      </c>
      <c r="G98" s="7" t="s">
        <v>16</v>
      </c>
      <c r="H98" s="9">
        <v>1636.7166</v>
      </c>
      <c r="I98" s="9">
        <v>4.758</v>
      </c>
      <c r="J98" s="9">
        <v>4.758</v>
      </c>
      <c r="K98" s="10">
        <v>1</v>
      </c>
      <c r="L98" s="9">
        <v>58.45</v>
      </c>
      <c r="M98" s="19">
        <f>H98*INDEX('Pliegos Tarifarios (Quilicura)'!$B:$B,MATCH($B98,'Pliegos Tarifarios (Quilicura)'!$A:$A,0))</f>
        <v>194504.12731079999</v>
      </c>
      <c r="N98" s="19">
        <f>I98*INDEX('Pliegos Tarifarios (Quilicura)'!$C:$C,MATCH($B98,'Pliegos Tarifarios (Quilicura)'!$A:$A,0))</f>
        <v>16323.180198</v>
      </c>
      <c r="O98" s="19">
        <f>J98*INDEX('Pliegos Tarifarios (Quilicura)'!$D:$D,MATCH($B98,'Pliegos Tarifarios (Quilicura)'!$A:$A,0))</f>
        <v>67193.313408000002</v>
      </c>
      <c r="P98" s="19">
        <f>H98*INDEX('Pliegos Tarifarios (Quilicura)'!$E:$E,MATCH($B98,'Pliegos Tarifarios (Quilicura)'!$A:$A,0))</f>
        <v>21166.0190712</v>
      </c>
      <c r="Q98" s="19" cm="1">
        <f t="array" ref="Q98">H98*_xlfn.IFS(H98&lt;=350,INDEX('Pliegos Tarifarios (Quilicura)'!$F:$F,MATCH($B98,'Pliegos Tarifarios (Quilicura)'!$A:$A,0)),H98&lt;=500,INDEX('Pliegos Tarifarios (Quilicura)'!$G:$G,MATCH($B98,'Pliegos Tarifarios (Quilicura)'!$A:$A,0)),H98&lt;=1000,INDEX('Pliegos Tarifarios (Quilicura)'!$H:$H,MATCH($B98,'Pliegos Tarifarios (Quilicura)'!$A:$A,0)),H98&lt;=5000,INDEX('Pliegos Tarifarios (Quilicura)'!$I:$I,MATCH($B98,'Pliegos Tarifarios (Quilicura)'!$A:$A,0)),H98&gt;5000,INDEX('Pliegos Tarifarios (Quilicura)'!$J:$J,MATCH($B98,'Pliegos Tarifarios (Quilicura)'!$A:$A,0)))/1.19</f>
        <v>4911.5251921008394</v>
      </c>
      <c r="R98" s="19">
        <f>INDEX('Pliegos Tarifarios (Quilicura)'!$K:$K,MATCH($B98,'Pliegos Tarifarios (Quilicura)'!$A:$A,0))</f>
        <v>709.36099999999999</v>
      </c>
      <c r="S98" s="21">
        <f t="shared" si="6"/>
        <v>304807.5261801008</v>
      </c>
      <c r="T98" s="21">
        <f t="shared" si="7"/>
        <v>57913.429974219151</v>
      </c>
      <c r="U98" s="19">
        <v>0</v>
      </c>
      <c r="V98" s="21">
        <f t="shared" si="8"/>
        <v>362720.95615431992</v>
      </c>
    </row>
    <row r="99" spans="1:22" x14ac:dyDescent="0.3">
      <c r="A99" s="7" t="s">
        <v>141</v>
      </c>
      <c r="B99" s="7">
        <v>2</v>
      </c>
      <c r="C99" s="8" t="s">
        <v>186</v>
      </c>
      <c r="D99" s="7" t="s">
        <v>212</v>
      </c>
      <c r="E99" s="7" t="s">
        <v>73</v>
      </c>
      <c r="F99" s="8" t="s">
        <v>76</v>
      </c>
      <c r="G99" s="7" t="s">
        <v>16</v>
      </c>
      <c r="H99" s="9">
        <v>1228.8993</v>
      </c>
      <c r="I99" s="9">
        <v>3.6518000000000002</v>
      </c>
      <c r="J99" s="9">
        <v>3.5832999999999999</v>
      </c>
      <c r="K99" s="10">
        <v>0.98124212717016257</v>
      </c>
      <c r="L99" s="9">
        <v>43.89</v>
      </c>
      <c r="M99" s="19">
        <f>H99*INDEX('Pliegos Tarifarios (Quilicura)'!$B:$B,MATCH($B99,'Pliegos Tarifarios (Quilicura)'!$A:$A,0))</f>
        <v>146039.93501339998</v>
      </c>
      <c r="N99" s="19">
        <f>I99*INDEX('Pliegos Tarifarios (Quilicura)'!$C:$C,MATCH($B99,'Pliegos Tarifarios (Quilicura)'!$A:$A,0))</f>
        <v>12528.1608758</v>
      </c>
      <c r="O99" s="19">
        <f>J99*INDEX('Pliegos Tarifarios (Quilicura)'!$D:$D,MATCH($B99,'Pliegos Tarifarios (Quilicura)'!$A:$A,0))</f>
        <v>50603.993260799994</v>
      </c>
      <c r="P99" s="19">
        <f>H99*INDEX('Pliegos Tarifarios (Quilicura)'!$E:$E,MATCH($B99,'Pliegos Tarifarios (Quilicura)'!$A:$A,0))</f>
        <v>15892.125747600001</v>
      </c>
      <c r="Q99" s="19" cm="1">
        <f t="array" ref="Q99">H99*_xlfn.IFS(H99&lt;=350,INDEX('Pliegos Tarifarios (Quilicura)'!$F:$F,MATCH($B99,'Pliegos Tarifarios (Quilicura)'!$A:$A,0)),H99&lt;=500,INDEX('Pliegos Tarifarios (Quilicura)'!$G:$G,MATCH($B99,'Pliegos Tarifarios (Quilicura)'!$A:$A,0)),H99&lt;=1000,INDEX('Pliegos Tarifarios (Quilicura)'!$H:$H,MATCH($B99,'Pliegos Tarifarios (Quilicura)'!$A:$A,0)),H99&lt;=5000,INDEX('Pliegos Tarifarios (Quilicura)'!$I:$I,MATCH($B99,'Pliegos Tarifarios (Quilicura)'!$A:$A,0)),H99&gt;5000,INDEX('Pliegos Tarifarios (Quilicura)'!$J:$J,MATCH($B99,'Pliegos Tarifarios (Quilicura)'!$A:$A,0)))/1.19</f>
        <v>3687.7305884873949</v>
      </c>
      <c r="R99" s="19">
        <f>INDEX('Pliegos Tarifarios (Quilicura)'!$K:$K,MATCH($B99,'Pliegos Tarifarios (Quilicura)'!$A:$A,0))</f>
        <v>709.36099999999999</v>
      </c>
      <c r="S99" s="21">
        <f t="shared" si="6"/>
        <v>229461.30648608739</v>
      </c>
      <c r="T99" s="21">
        <f t="shared" si="7"/>
        <v>43597.648232356602</v>
      </c>
      <c r="U99" s="19">
        <v>0</v>
      </c>
      <c r="V99" s="21">
        <f t="shared" si="8"/>
        <v>273058.95471844397</v>
      </c>
    </row>
    <row r="100" spans="1:22" x14ac:dyDescent="0.3">
      <c r="A100" s="7" t="s">
        <v>141</v>
      </c>
      <c r="B100" s="7">
        <v>2</v>
      </c>
      <c r="C100" s="8" t="s">
        <v>186</v>
      </c>
      <c r="D100" s="7" t="s">
        <v>213</v>
      </c>
      <c r="E100" s="7" t="s">
        <v>78</v>
      </c>
      <c r="F100" s="8" t="s">
        <v>79</v>
      </c>
      <c r="G100" s="7" t="s">
        <v>16</v>
      </c>
      <c r="H100" s="9">
        <v>1023.3251</v>
      </c>
      <c r="I100" s="9">
        <v>3.0463</v>
      </c>
      <c r="J100" s="9">
        <v>2.9735</v>
      </c>
      <c r="K100" s="10">
        <v>0.97610215671470313</v>
      </c>
      <c r="L100" s="9">
        <v>36.549999999999997</v>
      </c>
      <c r="M100" s="19">
        <f>H100*INDEX('Pliegos Tarifarios (Quilicura)'!$B:$B,MATCH($B100,'Pliegos Tarifarios (Quilicura)'!$A:$A,0))</f>
        <v>121609.9082338</v>
      </c>
      <c r="N100" s="19">
        <f>I100*INDEX('Pliegos Tarifarios (Quilicura)'!$C:$C,MATCH($B100,'Pliegos Tarifarios (Quilicura)'!$A:$A,0))</f>
        <v>10450.8835303</v>
      </c>
      <c r="O100" s="19">
        <f>J100*INDEX('Pliegos Tarifarios (Quilicura)'!$D:$D,MATCH($B100,'Pliegos Tarifarios (Quilicura)'!$A:$A,0))</f>
        <v>41992.290335999998</v>
      </c>
      <c r="P100" s="19">
        <f>H100*INDEX('Pliegos Tarifarios (Quilicura)'!$E:$E,MATCH($B100,'Pliegos Tarifarios (Quilicura)'!$A:$A,0))</f>
        <v>13233.640193200001</v>
      </c>
      <c r="Q100" s="19" cm="1">
        <f t="array" ref="Q100">H100*_xlfn.IFS(H100&lt;=350,INDEX('Pliegos Tarifarios (Quilicura)'!$F:$F,MATCH($B100,'Pliegos Tarifarios (Quilicura)'!$A:$A,0)),H100&lt;=500,INDEX('Pliegos Tarifarios (Quilicura)'!$G:$G,MATCH($B100,'Pliegos Tarifarios (Quilicura)'!$A:$A,0)),H100&lt;=1000,INDEX('Pliegos Tarifarios (Quilicura)'!$H:$H,MATCH($B100,'Pliegos Tarifarios (Quilicura)'!$A:$A,0)),H100&lt;=5000,INDEX('Pliegos Tarifarios (Quilicura)'!$I:$I,MATCH($B100,'Pliegos Tarifarios (Quilicura)'!$A:$A,0)),H100&gt;5000,INDEX('Pliegos Tarifarios (Quilicura)'!$J:$J,MATCH($B100,'Pliegos Tarifarios (Quilicura)'!$A:$A,0)))/1.19</f>
        <v>3070.8352370588236</v>
      </c>
      <c r="R100" s="19">
        <f>INDEX('Pliegos Tarifarios (Quilicura)'!$K:$K,MATCH($B100,'Pliegos Tarifarios (Quilicura)'!$A:$A,0))</f>
        <v>709.36099999999999</v>
      </c>
      <c r="S100" s="21">
        <f t="shared" si="6"/>
        <v>191066.91853035882</v>
      </c>
      <c r="T100" s="21">
        <f t="shared" si="7"/>
        <v>36302.714520768175</v>
      </c>
      <c r="U100" s="19">
        <v>0</v>
      </c>
      <c r="V100" s="21">
        <f t="shared" si="8"/>
        <v>227369.63305112699</v>
      </c>
    </row>
    <row r="101" spans="1:22" x14ac:dyDescent="0.3">
      <c r="A101" s="7" t="s">
        <v>141</v>
      </c>
      <c r="B101" s="7">
        <v>2</v>
      </c>
      <c r="C101" s="8" t="s">
        <v>186</v>
      </c>
      <c r="D101" s="7" t="s">
        <v>214</v>
      </c>
      <c r="E101" s="7" t="s">
        <v>78</v>
      </c>
      <c r="F101" s="8" t="s">
        <v>81</v>
      </c>
      <c r="G101" s="7" t="s">
        <v>16</v>
      </c>
      <c r="H101" s="9">
        <v>682.73659999999995</v>
      </c>
      <c r="I101" s="9">
        <v>2.0566</v>
      </c>
      <c r="J101" s="9">
        <v>1.9874000000000001</v>
      </c>
      <c r="K101" s="10">
        <v>0.96635223183895758</v>
      </c>
      <c r="L101" s="9">
        <v>24.38</v>
      </c>
      <c r="M101" s="19">
        <f>H101*INDEX('Pliegos Tarifarios (Quilicura)'!$B:$B,MATCH($B101,'Pliegos Tarifarios (Quilicura)'!$A:$A,0))</f>
        <v>81135.052070799997</v>
      </c>
      <c r="N101" s="19">
        <f>I101*INDEX('Pliegos Tarifarios (Quilicura)'!$C:$C,MATCH($B101,'Pliegos Tarifarios (Quilicura)'!$A:$A,0))</f>
        <v>7055.5385446</v>
      </c>
      <c r="O101" s="19">
        <f>J101*INDEX('Pliegos Tarifarios (Quilicura)'!$D:$D,MATCH($B101,'Pliegos Tarifarios (Quilicura)'!$A:$A,0))</f>
        <v>28066.4125824</v>
      </c>
      <c r="P101" s="19">
        <f>H101*INDEX('Pliegos Tarifarios (Quilicura)'!$E:$E,MATCH($B101,'Pliegos Tarifarios (Quilicura)'!$A:$A,0))</f>
        <v>8829.1497111999997</v>
      </c>
      <c r="Q101" s="19" cm="1">
        <f t="array" ref="Q101">H101*_xlfn.IFS(H101&lt;=350,INDEX('Pliegos Tarifarios (Quilicura)'!$F:$F,MATCH($B101,'Pliegos Tarifarios (Quilicura)'!$A:$A,0)),H101&lt;=500,INDEX('Pliegos Tarifarios (Quilicura)'!$G:$G,MATCH($B101,'Pliegos Tarifarios (Quilicura)'!$A:$A,0)),H101&lt;=1000,INDEX('Pliegos Tarifarios (Quilicura)'!$H:$H,MATCH($B101,'Pliegos Tarifarios (Quilicura)'!$A:$A,0)),H101&lt;=5000,INDEX('Pliegos Tarifarios (Quilicura)'!$I:$I,MATCH($B101,'Pliegos Tarifarios (Quilicura)'!$A:$A,0)),H101&gt;5000,INDEX('Pliegos Tarifarios (Quilicura)'!$J:$J,MATCH($B101,'Pliegos Tarifarios (Quilicura)'!$A:$A,0)))/1.19</f>
        <v>1601.2755047058827</v>
      </c>
      <c r="R101" s="19">
        <f>INDEX('Pliegos Tarifarios (Quilicura)'!$K:$K,MATCH($B101,'Pliegos Tarifarios (Quilicura)'!$A:$A,0))</f>
        <v>709.36099999999999</v>
      </c>
      <c r="S101" s="21">
        <f t="shared" si="6"/>
        <v>127396.78941370589</v>
      </c>
      <c r="T101" s="21">
        <f t="shared" si="7"/>
        <v>24205.389988604118</v>
      </c>
      <c r="U101" s="19">
        <v>0</v>
      </c>
      <c r="V101" s="21">
        <f t="shared" si="8"/>
        <v>151602.17940230999</v>
      </c>
    </row>
    <row r="102" spans="1:22" x14ac:dyDescent="0.3">
      <c r="A102" s="7" t="s">
        <v>141</v>
      </c>
      <c r="B102" s="7">
        <v>2</v>
      </c>
      <c r="C102" s="8" t="s">
        <v>186</v>
      </c>
      <c r="D102" s="7" t="s">
        <v>215</v>
      </c>
      <c r="E102" s="7" t="s">
        <v>78</v>
      </c>
      <c r="F102" s="8" t="s">
        <v>83</v>
      </c>
      <c r="G102" s="7" t="s">
        <v>16</v>
      </c>
      <c r="H102" s="9">
        <v>683.03890000000001</v>
      </c>
      <c r="I102" s="9">
        <v>2.0526</v>
      </c>
      <c r="J102" s="9">
        <v>2.0526</v>
      </c>
      <c r="K102" s="10">
        <v>1</v>
      </c>
      <c r="L102" s="9">
        <v>24.39</v>
      </c>
      <c r="M102" s="19">
        <f>H102*INDEX('Pliegos Tarifarios (Quilicura)'!$B:$B,MATCH($B102,'Pliegos Tarifarios (Quilicura)'!$A:$A,0))</f>
        <v>81170.97679819999</v>
      </c>
      <c r="N102" s="19">
        <f>I102*INDEX('Pliegos Tarifarios (Quilicura)'!$C:$C,MATCH($B102,'Pliegos Tarifarios (Quilicura)'!$A:$A,0))</f>
        <v>7041.8158205999998</v>
      </c>
      <c r="O102" s="19">
        <f>J102*INDEX('Pliegos Tarifarios (Quilicura)'!$D:$D,MATCH($B102,'Pliegos Tarifarios (Quilicura)'!$A:$A,0))</f>
        <v>28987.178457599999</v>
      </c>
      <c r="P102" s="19">
        <f>H102*INDEX('Pliegos Tarifarios (Quilicura)'!$E:$E,MATCH($B102,'Pliegos Tarifarios (Quilicura)'!$A:$A,0))</f>
        <v>8833.0590548</v>
      </c>
      <c r="Q102" s="19" cm="1">
        <f t="array" ref="Q102">H102*_xlfn.IFS(H102&lt;=350,INDEX('Pliegos Tarifarios (Quilicura)'!$F:$F,MATCH($B102,'Pliegos Tarifarios (Quilicura)'!$A:$A,0)),H102&lt;=500,INDEX('Pliegos Tarifarios (Quilicura)'!$G:$G,MATCH($B102,'Pliegos Tarifarios (Quilicura)'!$A:$A,0)),H102&lt;=1000,INDEX('Pliegos Tarifarios (Quilicura)'!$H:$H,MATCH($B102,'Pliegos Tarifarios (Quilicura)'!$A:$A,0)),H102&lt;=5000,INDEX('Pliegos Tarifarios (Quilicura)'!$I:$I,MATCH($B102,'Pliegos Tarifarios (Quilicura)'!$A:$A,0)),H102&gt;5000,INDEX('Pliegos Tarifarios (Quilicura)'!$J:$J,MATCH($B102,'Pliegos Tarifarios (Quilicura)'!$A:$A,0)))/1.19</f>
        <v>1601.9845125210086</v>
      </c>
      <c r="R102" s="19">
        <f>INDEX('Pliegos Tarifarios (Quilicura)'!$K:$K,MATCH($B102,'Pliegos Tarifarios (Quilicura)'!$A:$A,0))</f>
        <v>709.36099999999999</v>
      </c>
      <c r="S102" s="21">
        <f t="shared" si="6"/>
        <v>128344.37564372101</v>
      </c>
      <c r="T102" s="21">
        <f t="shared" si="7"/>
        <v>24385.431372306994</v>
      </c>
      <c r="U102" s="19">
        <v>0</v>
      </c>
      <c r="V102" s="21">
        <f t="shared" si="8"/>
        <v>152729.807016028</v>
      </c>
    </row>
    <row r="103" spans="1:22" x14ac:dyDescent="0.3">
      <c r="A103" s="7" t="s">
        <v>141</v>
      </c>
      <c r="B103" s="7">
        <v>2</v>
      </c>
      <c r="C103" s="8" t="s">
        <v>186</v>
      </c>
      <c r="D103" s="7" t="s">
        <v>216</v>
      </c>
      <c r="E103" s="7" t="s">
        <v>78</v>
      </c>
      <c r="F103" s="8" t="s">
        <v>85</v>
      </c>
      <c r="G103" s="7" t="s">
        <v>16</v>
      </c>
      <c r="H103" s="9">
        <v>818.61090000000002</v>
      </c>
      <c r="I103" s="9">
        <v>2.4344999999999999</v>
      </c>
      <c r="J103" s="9">
        <v>2.4283000000000001</v>
      </c>
      <c r="K103" s="10">
        <v>0.99745327582665855</v>
      </c>
      <c r="L103" s="9">
        <v>29.24</v>
      </c>
      <c r="M103" s="19">
        <f>H103*INDEX('Pliegos Tarifarios (Quilicura)'!$B:$B,MATCH($B103,'Pliegos Tarifarios (Quilicura)'!$A:$A,0))</f>
        <v>97282.082134199998</v>
      </c>
      <c r="N103" s="19">
        <f>I103*INDEX('Pliegos Tarifarios (Quilicura)'!$C:$C,MATCH($B103,'Pliegos Tarifarios (Quilicura)'!$A:$A,0))</f>
        <v>8351.9928944999992</v>
      </c>
      <c r="O103" s="19">
        <f>J103*INDEX('Pliegos Tarifarios (Quilicura)'!$D:$D,MATCH($B103,'Pliegos Tarifarios (Quilicura)'!$A:$A,0))</f>
        <v>34292.879980800004</v>
      </c>
      <c r="P103" s="19">
        <f>H103*INDEX('Pliegos Tarifarios (Quilicura)'!$E:$E,MATCH($B103,'Pliegos Tarifarios (Quilicura)'!$A:$A,0))</f>
        <v>10586.276158800001</v>
      </c>
      <c r="Q103" s="19" cm="1">
        <f t="array" ref="Q103">H103*_xlfn.IFS(H103&lt;=350,INDEX('Pliegos Tarifarios (Quilicura)'!$F:$F,MATCH($B103,'Pliegos Tarifarios (Quilicura)'!$A:$A,0)),H103&lt;=500,INDEX('Pliegos Tarifarios (Quilicura)'!$G:$G,MATCH($B103,'Pliegos Tarifarios (Quilicura)'!$A:$A,0)),H103&lt;=1000,INDEX('Pliegos Tarifarios (Quilicura)'!$H:$H,MATCH($B103,'Pliegos Tarifarios (Quilicura)'!$A:$A,0)),H103&lt;=5000,INDEX('Pliegos Tarifarios (Quilicura)'!$I:$I,MATCH($B103,'Pliegos Tarifarios (Quilicura)'!$A:$A,0)),H103&gt;5000,INDEX('Pliegos Tarifarios (Quilicura)'!$J:$J,MATCH($B103,'Pliegos Tarifarios (Quilicura)'!$A:$A,0)))/1.19</f>
        <v>1919.9521192436978</v>
      </c>
      <c r="R103" s="19">
        <f>INDEX('Pliegos Tarifarios (Quilicura)'!$K:$K,MATCH($B103,'Pliegos Tarifarios (Quilicura)'!$A:$A,0))</f>
        <v>709.36099999999999</v>
      </c>
      <c r="S103" s="21">
        <f t="shared" si="6"/>
        <v>153142.54428754371</v>
      </c>
      <c r="T103" s="21">
        <f t="shared" si="7"/>
        <v>29097.083414633307</v>
      </c>
      <c r="U103" s="19">
        <v>0</v>
      </c>
      <c r="V103" s="21">
        <f t="shared" si="8"/>
        <v>182239.62770217704</v>
      </c>
    </row>
    <row r="104" spans="1:22" x14ac:dyDescent="0.3">
      <c r="A104" s="7" t="s">
        <v>141</v>
      </c>
      <c r="B104" s="7">
        <v>2</v>
      </c>
      <c r="C104" s="8" t="s">
        <v>186</v>
      </c>
      <c r="D104" s="7" t="s">
        <v>217</v>
      </c>
      <c r="E104" s="7" t="s">
        <v>78</v>
      </c>
      <c r="F104" s="8" t="s">
        <v>87</v>
      </c>
      <c r="G104" s="7" t="s">
        <v>16</v>
      </c>
      <c r="H104" s="9">
        <v>819.70600000000002</v>
      </c>
      <c r="I104" s="9">
        <v>2.4883000000000002</v>
      </c>
      <c r="J104" s="9">
        <v>2.4033000000000002</v>
      </c>
      <c r="K104" s="10">
        <v>0.96584013181690309</v>
      </c>
      <c r="L104" s="9">
        <v>29.28</v>
      </c>
      <c r="M104" s="19">
        <f>H104*INDEX('Pliegos Tarifarios (Quilicura)'!$B:$B,MATCH($B104,'Pliegos Tarifarios (Quilicura)'!$A:$A,0))</f>
        <v>97412.221627999999</v>
      </c>
      <c r="N104" s="19">
        <f>I104*INDEX('Pliegos Tarifarios (Quilicura)'!$C:$C,MATCH($B104,'Pliegos Tarifarios (Quilicura)'!$A:$A,0))</f>
        <v>8536.5635323000006</v>
      </c>
      <c r="O104" s="19">
        <f>J104*INDEX('Pliegos Tarifarios (Quilicura)'!$D:$D,MATCH($B104,'Pliegos Tarifarios (Quilicura)'!$A:$A,0))</f>
        <v>33939.825580800003</v>
      </c>
      <c r="P104" s="19">
        <f>H104*INDEX('Pliegos Tarifarios (Quilicura)'!$E:$E,MATCH($B104,'Pliegos Tarifarios (Quilicura)'!$A:$A,0))</f>
        <v>10600.437992000001</v>
      </c>
      <c r="Q104" s="19" cm="1">
        <f t="array" ref="Q104">H104*_xlfn.IFS(H104&lt;=350,INDEX('Pliegos Tarifarios (Quilicura)'!$F:$F,MATCH($B104,'Pliegos Tarifarios (Quilicura)'!$A:$A,0)),H104&lt;=500,INDEX('Pliegos Tarifarios (Quilicura)'!$G:$G,MATCH($B104,'Pliegos Tarifarios (Quilicura)'!$A:$A,0)),H104&lt;=1000,INDEX('Pliegos Tarifarios (Quilicura)'!$H:$H,MATCH($B104,'Pliegos Tarifarios (Quilicura)'!$A:$A,0)),H104&lt;=5000,INDEX('Pliegos Tarifarios (Quilicura)'!$I:$I,MATCH($B104,'Pliegos Tarifarios (Quilicura)'!$A:$A,0)),H104&gt;5000,INDEX('Pliegos Tarifarios (Quilicura)'!$J:$J,MATCH($B104,'Pliegos Tarifarios (Quilicura)'!$A:$A,0)))/1.19</f>
        <v>1922.5205428571433</v>
      </c>
      <c r="R104" s="19">
        <f>INDEX('Pliegos Tarifarios (Quilicura)'!$K:$K,MATCH($B104,'Pliegos Tarifarios (Quilicura)'!$A:$A,0))</f>
        <v>709.36099999999999</v>
      </c>
      <c r="S104" s="21">
        <f t="shared" si="6"/>
        <v>153120.93027595716</v>
      </c>
      <c r="T104" s="21">
        <f t="shared" si="7"/>
        <v>29092.976752431859</v>
      </c>
      <c r="U104" s="19">
        <v>0</v>
      </c>
      <c r="V104" s="21">
        <f t="shared" si="8"/>
        <v>182213.90702838902</v>
      </c>
    </row>
    <row r="105" spans="1:22" x14ac:dyDescent="0.3">
      <c r="A105" s="7" t="s">
        <v>141</v>
      </c>
      <c r="B105" s="7">
        <v>2</v>
      </c>
      <c r="C105" s="8" t="s">
        <v>186</v>
      </c>
      <c r="D105" s="7" t="s">
        <v>218</v>
      </c>
      <c r="E105" s="7" t="s">
        <v>78</v>
      </c>
      <c r="F105" s="8" t="s">
        <v>89</v>
      </c>
      <c r="G105" s="7" t="s">
        <v>16</v>
      </c>
      <c r="H105" s="9">
        <v>1024.2338999999999</v>
      </c>
      <c r="I105" s="9">
        <v>3.0625</v>
      </c>
      <c r="J105" s="9">
        <v>3.0615999999999999</v>
      </c>
      <c r="K105" s="10">
        <v>0.99970612244897961</v>
      </c>
      <c r="L105" s="9">
        <v>36.58</v>
      </c>
      <c r="M105" s="19">
        <f>H105*INDEX('Pliegos Tarifarios (Quilicura)'!$B:$B,MATCH($B105,'Pliegos Tarifarios (Quilicura)'!$A:$A,0))</f>
        <v>121717.90820819998</v>
      </c>
      <c r="N105" s="19">
        <f>I105*INDEX('Pliegos Tarifarios (Quilicura)'!$C:$C,MATCH($B105,'Pliegos Tarifarios (Quilicura)'!$A:$A,0))</f>
        <v>10506.4605625</v>
      </c>
      <c r="O105" s="19">
        <f>J105*INDEX('Pliegos Tarifarios (Quilicura)'!$D:$D,MATCH($B105,'Pliegos Tarifarios (Quilicura)'!$A:$A,0))</f>
        <v>43236.454041599995</v>
      </c>
      <c r="P105" s="19">
        <f>H105*INDEX('Pliegos Tarifarios (Quilicura)'!$E:$E,MATCH($B105,'Pliegos Tarifarios (Quilicura)'!$A:$A,0))</f>
        <v>13245.3927948</v>
      </c>
      <c r="Q105" s="19" cm="1">
        <f t="array" ref="Q105">H105*_xlfn.IFS(H105&lt;=350,INDEX('Pliegos Tarifarios (Quilicura)'!$F:$F,MATCH($B105,'Pliegos Tarifarios (Quilicura)'!$A:$A,0)),H105&lt;=500,INDEX('Pliegos Tarifarios (Quilicura)'!$G:$G,MATCH($B105,'Pliegos Tarifarios (Quilicura)'!$A:$A,0)),H105&lt;=1000,INDEX('Pliegos Tarifarios (Quilicura)'!$H:$H,MATCH($B105,'Pliegos Tarifarios (Quilicura)'!$A:$A,0)),H105&lt;=5000,INDEX('Pliegos Tarifarios (Quilicura)'!$I:$I,MATCH($B105,'Pliegos Tarifarios (Quilicura)'!$A:$A,0)),H105&gt;5000,INDEX('Pliegos Tarifarios (Quilicura)'!$J:$J,MATCH($B105,'Pliegos Tarifarios (Quilicura)'!$A:$A,0)))/1.19</f>
        <v>3073.5624007563024</v>
      </c>
      <c r="R105" s="19">
        <f>INDEX('Pliegos Tarifarios (Quilicura)'!$K:$K,MATCH($B105,'Pliegos Tarifarios (Quilicura)'!$A:$A,0))</f>
        <v>709.36099999999999</v>
      </c>
      <c r="S105" s="21">
        <f t="shared" si="6"/>
        <v>192489.13900785628</v>
      </c>
      <c r="T105" s="21">
        <f t="shared" si="7"/>
        <v>36572.936411492694</v>
      </c>
      <c r="U105" s="19">
        <v>0</v>
      </c>
      <c r="V105" s="21">
        <f t="shared" si="8"/>
        <v>229062.07541934898</v>
      </c>
    </row>
    <row r="106" spans="1:22" x14ac:dyDescent="0.3">
      <c r="A106" s="7" t="s">
        <v>141</v>
      </c>
      <c r="B106" s="7">
        <v>2</v>
      </c>
      <c r="C106" s="8" t="s">
        <v>186</v>
      </c>
      <c r="D106" s="7" t="s">
        <v>219</v>
      </c>
      <c r="E106" s="7" t="s">
        <v>91</v>
      </c>
      <c r="F106" s="8" t="s">
        <v>92</v>
      </c>
      <c r="G106" s="7" t="s">
        <v>16</v>
      </c>
      <c r="H106" s="9">
        <v>819.49120000000005</v>
      </c>
      <c r="I106" s="9">
        <v>2.4594</v>
      </c>
      <c r="J106" s="9">
        <v>2.4066999999999998</v>
      </c>
      <c r="K106" s="10">
        <v>0.978572009433195</v>
      </c>
      <c r="L106" s="9">
        <v>29.27</v>
      </c>
      <c r="M106" s="19">
        <f>H106*INDEX('Pliegos Tarifarios (Quilicura)'!$B:$B,MATCH($B106,'Pliegos Tarifarios (Quilicura)'!$A:$A,0))</f>
        <v>97386.695225600008</v>
      </c>
      <c r="N106" s="19">
        <f>I106*INDEX('Pliegos Tarifarios (Quilicura)'!$C:$C,MATCH($B106,'Pliegos Tarifarios (Quilicura)'!$A:$A,0))</f>
        <v>8437.4168513999994</v>
      </c>
      <c r="O106" s="19">
        <f>J106*INDEX('Pliegos Tarifarios (Quilicura)'!$D:$D,MATCH($B106,'Pliegos Tarifarios (Quilicura)'!$A:$A,0))</f>
        <v>33987.840979199995</v>
      </c>
      <c r="P106" s="19">
        <f>H106*INDEX('Pliegos Tarifarios (Quilicura)'!$E:$E,MATCH($B106,'Pliegos Tarifarios (Quilicura)'!$A:$A,0))</f>
        <v>10597.660198400001</v>
      </c>
      <c r="Q106" s="19" cm="1">
        <f t="array" ref="Q106">H106*_xlfn.IFS(H106&lt;=350,INDEX('Pliegos Tarifarios (Quilicura)'!$F:$F,MATCH($B106,'Pliegos Tarifarios (Quilicura)'!$A:$A,0)),H106&lt;=500,INDEX('Pliegos Tarifarios (Quilicura)'!$G:$G,MATCH($B106,'Pliegos Tarifarios (Quilicura)'!$A:$A,0)),H106&lt;=1000,INDEX('Pliegos Tarifarios (Quilicura)'!$H:$H,MATCH($B106,'Pliegos Tarifarios (Quilicura)'!$A:$A,0)),H106&lt;=5000,INDEX('Pliegos Tarifarios (Quilicura)'!$I:$I,MATCH($B106,'Pliegos Tarifarios (Quilicura)'!$A:$A,0)),H106&gt;5000,INDEX('Pliegos Tarifarios (Quilicura)'!$J:$J,MATCH($B106,'Pliegos Tarifarios (Quilicura)'!$A:$A,0)))/1.19</f>
        <v>1922.0167556302524</v>
      </c>
      <c r="R106" s="19">
        <f>INDEX('Pliegos Tarifarios (Quilicura)'!$K:$K,MATCH($B106,'Pliegos Tarifarios (Quilicura)'!$A:$A,0))</f>
        <v>709.36099999999999</v>
      </c>
      <c r="S106" s="21">
        <f t="shared" si="6"/>
        <v>153040.99101023027</v>
      </c>
      <c r="T106" s="21">
        <f t="shared" si="7"/>
        <v>29077.788291943751</v>
      </c>
      <c r="U106" s="19">
        <v>0</v>
      </c>
      <c r="V106" s="21">
        <f t="shared" si="8"/>
        <v>182118.77930217402</v>
      </c>
    </row>
    <row r="107" spans="1:22" x14ac:dyDescent="0.3">
      <c r="A107" s="7" t="s">
        <v>141</v>
      </c>
      <c r="B107" s="7">
        <v>2</v>
      </c>
      <c r="C107" s="8" t="s">
        <v>186</v>
      </c>
      <c r="D107" s="7" t="s">
        <v>220</v>
      </c>
      <c r="E107" s="7" t="s">
        <v>94</v>
      </c>
      <c r="F107" s="8" t="s">
        <v>95</v>
      </c>
      <c r="G107" s="7" t="s">
        <v>16</v>
      </c>
      <c r="H107" s="9">
        <v>614.6866</v>
      </c>
      <c r="I107" s="9">
        <v>1.7969999999999999</v>
      </c>
      <c r="J107" s="9">
        <v>1.7952999999999999</v>
      </c>
      <c r="K107" s="10">
        <v>0.999053978853645</v>
      </c>
      <c r="L107" s="9">
        <v>21.95</v>
      </c>
      <c r="M107" s="19">
        <f>H107*INDEX('Pliegos Tarifarios (Quilicura)'!$B:$B,MATCH($B107,'Pliegos Tarifarios (Quilicura)'!$A:$A,0))</f>
        <v>73048.126170799995</v>
      </c>
      <c r="N107" s="19">
        <f>I107*INDEX('Pliegos Tarifarios (Quilicura)'!$C:$C,MATCH($B107,'Pliegos Tarifarios (Quilicura)'!$A:$A,0))</f>
        <v>6164.9337569999998</v>
      </c>
      <c r="O107" s="19">
        <f>J107*INDEX('Pliegos Tarifarios (Quilicura)'!$D:$D,MATCH($B107,'Pliegos Tarifarios (Quilicura)'!$A:$A,0))</f>
        <v>25353.542572799997</v>
      </c>
      <c r="P107" s="19">
        <f>H107*INDEX('Pliegos Tarifarios (Quilicura)'!$E:$E,MATCH($B107,'Pliegos Tarifarios (Quilicura)'!$A:$A,0))</f>
        <v>7949.1271112000004</v>
      </c>
      <c r="Q107" s="19" cm="1">
        <f t="array" ref="Q107">H107*_xlfn.IFS(H107&lt;=350,INDEX('Pliegos Tarifarios (Quilicura)'!$F:$F,MATCH($B107,'Pliegos Tarifarios (Quilicura)'!$A:$A,0)),H107&lt;=500,INDEX('Pliegos Tarifarios (Quilicura)'!$G:$G,MATCH($B107,'Pliegos Tarifarios (Quilicura)'!$A:$A,0)),H107&lt;=1000,INDEX('Pliegos Tarifarios (Quilicura)'!$H:$H,MATCH($B107,'Pliegos Tarifarios (Quilicura)'!$A:$A,0)),H107&lt;=5000,INDEX('Pliegos Tarifarios (Quilicura)'!$I:$I,MATCH($B107,'Pliegos Tarifarios (Quilicura)'!$A:$A,0)),H107&gt;5000,INDEX('Pliegos Tarifarios (Quilicura)'!$J:$J,MATCH($B107,'Pliegos Tarifarios (Quilicura)'!$A:$A,0)))/1.19</f>
        <v>1441.6725215126053</v>
      </c>
      <c r="R107" s="19">
        <f>INDEX('Pliegos Tarifarios (Quilicura)'!$K:$K,MATCH($B107,'Pliegos Tarifarios (Quilicura)'!$A:$A,0))</f>
        <v>709.36099999999999</v>
      </c>
      <c r="S107" s="21">
        <f t="shared" si="6"/>
        <v>114666.7631333126</v>
      </c>
      <c r="T107" s="21">
        <f t="shared" si="7"/>
        <v>21786.684995329397</v>
      </c>
      <c r="U107" s="19">
        <v>0</v>
      </c>
      <c r="V107" s="21">
        <f t="shared" si="8"/>
        <v>136453.44812864199</v>
      </c>
    </row>
    <row r="108" spans="1:22" x14ac:dyDescent="0.3">
      <c r="A108" s="7" t="s">
        <v>141</v>
      </c>
      <c r="B108" s="7">
        <v>2</v>
      </c>
      <c r="C108" s="8" t="s">
        <v>186</v>
      </c>
      <c r="D108" s="7" t="s">
        <v>221</v>
      </c>
      <c r="E108" s="7" t="s">
        <v>91</v>
      </c>
      <c r="F108" s="8" t="s">
        <v>97</v>
      </c>
      <c r="G108" s="7" t="s">
        <v>16</v>
      </c>
      <c r="H108" s="9">
        <v>614.25160000000005</v>
      </c>
      <c r="I108" s="9">
        <v>1.9142999999999999</v>
      </c>
      <c r="J108" s="9">
        <v>1.9142999999999999</v>
      </c>
      <c r="K108" s="10">
        <v>1</v>
      </c>
      <c r="L108" s="9">
        <v>21.94</v>
      </c>
      <c r="M108" s="19">
        <f>H108*INDEX('Pliegos Tarifarios (Quilicura)'!$B:$B,MATCH($B108,'Pliegos Tarifarios (Quilicura)'!$A:$A,0))</f>
        <v>72996.431640800001</v>
      </c>
      <c r="N108" s="19">
        <f>I108*INDEX('Pliegos Tarifarios (Quilicura)'!$C:$C,MATCH($B108,'Pliegos Tarifarios (Quilicura)'!$A:$A,0))</f>
        <v>6567.3526382999999</v>
      </c>
      <c r="O108" s="19">
        <f>J108*INDEX('Pliegos Tarifarios (Quilicura)'!$D:$D,MATCH($B108,'Pliegos Tarifarios (Quilicura)'!$A:$A,0))</f>
        <v>27034.081516799997</v>
      </c>
      <c r="P108" s="19">
        <f>H108*INDEX('Pliegos Tarifarios (Quilicura)'!$E:$E,MATCH($B108,'Pliegos Tarifarios (Quilicura)'!$A:$A,0))</f>
        <v>7943.501691200001</v>
      </c>
      <c r="Q108" s="19" cm="1">
        <f t="array" ref="Q108">H108*_xlfn.IFS(H108&lt;=350,INDEX('Pliegos Tarifarios (Quilicura)'!$F:$F,MATCH($B108,'Pliegos Tarifarios (Quilicura)'!$A:$A,0)),H108&lt;=500,INDEX('Pliegos Tarifarios (Quilicura)'!$G:$G,MATCH($B108,'Pliegos Tarifarios (Quilicura)'!$A:$A,0)),H108&lt;=1000,INDEX('Pliegos Tarifarios (Quilicura)'!$H:$H,MATCH($B108,'Pliegos Tarifarios (Quilicura)'!$A:$A,0)),H108&lt;=5000,INDEX('Pliegos Tarifarios (Quilicura)'!$I:$I,MATCH($B108,'Pliegos Tarifarios (Quilicura)'!$A:$A,0)),H108&gt;5000,INDEX('Pliegos Tarifarios (Quilicura)'!$J:$J,MATCH($B108,'Pliegos Tarifarios (Quilicura)'!$A:$A,0)))/1.19</f>
        <v>1440.6522820168072</v>
      </c>
      <c r="R108" s="19">
        <f>INDEX('Pliegos Tarifarios (Quilicura)'!$K:$K,MATCH($B108,'Pliegos Tarifarios (Quilicura)'!$A:$A,0))</f>
        <v>709.36099999999999</v>
      </c>
      <c r="S108" s="21">
        <f t="shared" si="6"/>
        <v>116691.3807691168</v>
      </c>
      <c r="T108" s="21">
        <f t="shared" si="7"/>
        <v>22171.362346132191</v>
      </c>
      <c r="U108" s="19">
        <v>0</v>
      </c>
      <c r="V108" s="21">
        <f t="shared" si="8"/>
        <v>138862.743115249</v>
      </c>
    </row>
    <row r="109" spans="1:22" x14ac:dyDescent="0.3">
      <c r="A109" s="7" t="s">
        <v>141</v>
      </c>
      <c r="B109" s="7">
        <v>2</v>
      </c>
      <c r="C109" s="8" t="s">
        <v>186</v>
      </c>
      <c r="D109" s="7" t="s">
        <v>222</v>
      </c>
      <c r="E109" s="7" t="s">
        <v>99</v>
      </c>
      <c r="F109" s="8" t="s">
        <v>100</v>
      </c>
      <c r="G109" s="7" t="s">
        <v>16</v>
      </c>
      <c r="H109" s="9">
        <v>3068.8371999999999</v>
      </c>
      <c r="I109" s="9">
        <v>9.0738000000000003</v>
      </c>
      <c r="J109" s="9">
        <v>8.9894999999999996</v>
      </c>
      <c r="K109" s="10">
        <v>0.99070951530780926</v>
      </c>
      <c r="L109" s="9">
        <v>109.6</v>
      </c>
      <c r="M109" s="19">
        <f>H109*INDEX('Pliegos Tarifarios (Quilicura)'!$B:$B,MATCH($B109,'Pliegos Tarifarios (Quilicura)'!$A:$A,0))</f>
        <v>364694.47517359996</v>
      </c>
      <c r="N109" s="19">
        <f>I109*INDEX('Pliegos Tarifarios (Quilicura)'!$C:$C,MATCH($B109,'Pliegos Tarifarios (Quilicura)'!$A:$A,0))</f>
        <v>31129.3132578</v>
      </c>
      <c r="O109" s="19">
        <f>J109*INDEX('Pliegos Tarifarios (Quilicura)'!$D:$D,MATCH($B109,'Pliegos Tarifarios (Quilicura)'!$A:$A,0))</f>
        <v>126951.30115199999</v>
      </c>
      <c r="P109" s="19">
        <f>H109*INDEX('Pliegos Tarifarios (Quilicura)'!$E:$E,MATCH($B109,'Pliegos Tarifarios (Quilicura)'!$A:$A,0))</f>
        <v>39686.202670400002</v>
      </c>
      <c r="Q109" s="19" cm="1">
        <f t="array" ref="Q109">H109*_xlfn.IFS(H109&lt;=350,INDEX('Pliegos Tarifarios (Quilicura)'!$F:$F,MATCH($B109,'Pliegos Tarifarios (Quilicura)'!$A:$A,0)),H109&lt;=500,INDEX('Pliegos Tarifarios (Quilicura)'!$G:$G,MATCH($B109,'Pliegos Tarifarios (Quilicura)'!$A:$A,0)),H109&lt;=1000,INDEX('Pliegos Tarifarios (Quilicura)'!$H:$H,MATCH($B109,'Pliegos Tarifarios (Quilicura)'!$A:$A,0)),H109&lt;=5000,INDEX('Pliegos Tarifarios (Quilicura)'!$I:$I,MATCH($B109,'Pliegos Tarifarios (Quilicura)'!$A:$A,0)),H109&gt;5000,INDEX('Pliegos Tarifarios (Quilicura)'!$J:$J,MATCH($B109,'Pliegos Tarifarios (Quilicura)'!$A:$A,0)))/1.19</f>
        <v>9209.0904547899154</v>
      </c>
      <c r="R109" s="19">
        <f>INDEX('Pliegos Tarifarios (Quilicura)'!$K:$K,MATCH($B109,'Pliegos Tarifarios (Quilicura)'!$A:$A,0))</f>
        <v>709.36099999999999</v>
      </c>
      <c r="S109" s="21">
        <f t="shared" si="6"/>
        <v>572379.74370858993</v>
      </c>
      <c r="T109" s="21">
        <f t="shared" si="7"/>
        <v>108752.15130463209</v>
      </c>
      <c r="U109" s="19">
        <v>0</v>
      </c>
      <c r="V109" s="21">
        <f t="shared" si="8"/>
        <v>681131.89501322201</v>
      </c>
    </row>
    <row r="110" spans="1:22" x14ac:dyDescent="0.3">
      <c r="A110" s="7" t="s">
        <v>141</v>
      </c>
      <c r="B110" s="7">
        <v>2</v>
      </c>
      <c r="C110" s="8" t="s">
        <v>186</v>
      </c>
      <c r="D110" s="7" t="s">
        <v>223</v>
      </c>
      <c r="E110" s="7" t="s">
        <v>102</v>
      </c>
      <c r="F110" s="8" t="s">
        <v>103</v>
      </c>
      <c r="G110" s="7" t="s">
        <v>16</v>
      </c>
      <c r="H110" s="9">
        <v>2460.0644000000002</v>
      </c>
      <c r="I110" s="9">
        <v>7.49</v>
      </c>
      <c r="J110" s="9">
        <v>7.49</v>
      </c>
      <c r="K110" s="10">
        <v>1</v>
      </c>
      <c r="L110" s="9">
        <v>87.86</v>
      </c>
      <c r="M110" s="19">
        <f>H110*INDEX('Pliegos Tarifarios (Quilicura)'!$B:$B,MATCH($B110,'Pliegos Tarifarios (Quilicura)'!$A:$A,0))</f>
        <v>292349.13316720002</v>
      </c>
      <c r="N110" s="19">
        <f>I110*INDEX('Pliegos Tarifarios (Quilicura)'!$C:$C,MATCH($B110,'Pliegos Tarifarios (Quilicura)'!$A:$A,0))</f>
        <v>25695.80069</v>
      </c>
      <c r="O110" s="19">
        <f>J110*INDEX('Pliegos Tarifarios (Quilicura)'!$D:$D,MATCH($B110,'Pliegos Tarifarios (Quilicura)'!$A:$A,0))</f>
        <v>105775.09823999999</v>
      </c>
      <c r="P110" s="19">
        <f>H110*INDEX('Pliegos Tarifarios (Quilicura)'!$E:$E,MATCH($B110,'Pliegos Tarifarios (Quilicura)'!$A:$A,0))</f>
        <v>31813.552820800003</v>
      </c>
      <c r="Q110" s="19" cm="1">
        <f t="array" ref="Q110">H110*_xlfn.IFS(H110&lt;=350,INDEX('Pliegos Tarifarios (Quilicura)'!$F:$F,MATCH($B110,'Pliegos Tarifarios (Quilicura)'!$A:$A,0)),H110&lt;=500,INDEX('Pliegos Tarifarios (Quilicura)'!$G:$G,MATCH($B110,'Pliegos Tarifarios (Quilicura)'!$A:$A,0)),H110&lt;=1000,INDEX('Pliegos Tarifarios (Quilicura)'!$H:$H,MATCH($B110,'Pliegos Tarifarios (Quilicura)'!$A:$A,0)),H110&lt;=5000,INDEX('Pliegos Tarifarios (Quilicura)'!$I:$I,MATCH($B110,'Pliegos Tarifarios (Quilicura)'!$A:$A,0)),H110&gt;5000,INDEX('Pliegos Tarifarios (Quilicura)'!$J:$J,MATCH($B110,'Pliegos Tarifarios (Quilicura)'!$A:$A,0)))/1.19</f>
        <v>7382.260481008404</v>
      </c>
      <c r="R110" s="19">
        <f>INDEX('Pliegos Tarifarios (Quilicura)'!$K:$K,MATCH($B110,'Pliegos Tarifarios (Quilicura)'!$A:$A,0))</f>
        <v>709.36099999999999</v>
      </c>
      <c r="S110" s="21">
        <f t="shared" si="6"/>
        <v>463725.2063990084</v>
      </c>
      <c r="T110" s="21">
        <f t="shared" si="7"/>
        <v>88107.789215811601</v>
      </c>
      <c r="U110" s="19">
        <v>0</v>
      </c>
      <c r="V110" s="21">
        <f t="shared" si="8"/>
        <v>551832.99561482004</v>
      </c>
    </row>
    <row r="111" spans="1:22" x14ac:dyDescent="0.3">
      <c r="A111" s="7" t="s">
        <v>141</v>
      </c>
      <c r="B111" s="7">
        <v>2</v>
      </c>
      <c r="C111" s="8" t="s">
        <v>186</v>
      </c>
      <c r="D111" s="7" t="s">
        <v>224</v>
      </c>
      <c r="E111" s="7" t="s">
        <v>105</v>
      </c>
      <c r="F111" s="8" t="s">
        <v>106</v>
      </c>
      <c r="G111" s="7" t="s">
        <v>30</v>
      </c>
      <c r="H111" s="9">
        <v>817.55859999999996</v>
      </c>
      <c r="I111" s="9">
        <v>2.4626000000000001</v>
      </c>
      <c r="J111" s="9">
        <v>2.3871000000000002</v>
      </c>
      <c r="K111" s="10">
        <v>0.96934134654430282</v>
      </c>
      <c r="L111" s="9">
        <v>29.2</v>
      </c>
      <c r="M111" s="19">
        <f>H111*INDEX('Pliegos Tarifarios (Quilicura)'!$B:$B,MATCH($B111,'Pliegos Tarifarios (Quilicura)'!$A:$A,0))</f>
        <v>97157.028906799984</v>
      </c>
      <c r="N111" s="19">
        <f>I111*INDEX('Pliegos Tarifarios (Quilicura)'!$C:$C,MATCH($B111,'Pliegos Tarifarios (Quilicura)'!$A:$A,0))</f>
        <v>8448.3950306000006</v>
      </c>
      <c r="O111" s="19">
        <f>J111*INDEX('Pliegos Tarifarios (Quilicura)'!$D:$D,MATCH($B111,'Pliegos Tarifarios (Quilicura)'!$A:$A,0))</f>
        <v>33711.046329600002</v>
      </c>
      <c r="P111" s="19">
        <f>H111*INDEX('Pliegos Tarifarios (Quilicura)'!$E:$E,MATCH($B111,'Pliegos Tarifarios (Quilicura)'!$A:$A,0))</f>
        <v>10572.6678152</v>
      </c>
      <c r="Q111" s="19" cm="1">
        <f t="array" ref="Q111">H111*_xlfn.IFS(H111&lt;=350,INDEX('Pliegos Tarifarios (Quilicura)'!$F:$F,MATCH($B111,'Pliegos Tarifarios (Quilicura)'!$A:$A,0)),H111&lt;=500,INDEX('Pliegos Tarifarios (Quilicura)'!$G:$G,MATCH($B111,'Pliegos Tarifarios (Quilicura)'!$A:$A,0)),H111&lt;=1000,INDEX('Pliegos Tarifarios (Quilicura)'!$H:$H,MATCH($B111,'Pliegos Tarifarios (Quilicura)'!$A:$A,0)),H111&lt;=5000,INDEX('Pliegos Tarifarios (Quilicura)'!$I:$I,MATCH($B111,'Pliegos Tarifarios (Quilicura)'!$A:$A,0)),H111&gt;5000,INDEX('Pliegos Tarifarios (Quilicura)'!$J:$J,MATCH($B111,'Pliegos Tarifarios (Quilicura)'!$A:$A,0)))/1.19</f>
        <v>1917.4840778151265</v>
      </c>
      <c r="R111" s="19">
        <f>INDEX('Pliegos Tarifarios (Quilicura)'!$K:$K,MATCH($B111,'Pliegos Tarifarios (Quilicura)'!$A:$A,0))</f>
        <v>709.36099999999999</v>
      </c>
      <c r="S111" s="21">
        <f t="shared" si="6"/>
        <v>152515.98316001511</v>
      </c>
      <c r="T111" s="21">
        <f t="shared" si="7"/>
        <v>28978.036800402871</v>
      </c>
      <c r="U111" s="19">
        <v>0</v>
      </c>
      <c r="V111" s="21">
        <f t="shared" si="8"/>
        <v>181494.01996041799</v>
      </c>
    </row>
    <row r="112" spans="1:22" x14ac:dyDescent="0.3">
      <c r="A112" s="7" t="s">
        <v>141</v>
      </c>
      <c r="B112" s="7">
        <v>2</v>
      </c>
      <c r="C112" s="8" t="s">
        <v>186</v>
      </c>
      <c r="D112" s="7" t="s">
        <v>225</v>
      </c>
      <c r="E112" s="7" t="s">
        <v>105</v>
      </c>
      <c r="F112" s="8" t="s">
        <v>108</v>
      </c>
      <c r="G112" s="7" t="s">
        <v>30</v>
      </c>
      <c r="H112" s="9">
        <v>818.00940000000003</v>
      </c>
      <c r="I112" s="9">
        <v>2.4847999999999999</v>
      </c>
      <c r="J112" s="9">
        <v>2.4035000000000002</v>
      </c>
      <c r="K112" s="10">
        <v>0.96728106889890542</v>
      </c>
      <c r="L112" s="9">
        <v>29.21</v>
      </c>
      <c r="M112" s="19">
        <f>H112*INDEX('Pliegos Tarifarios (Quilicura)'!$B:$B,MATCH($B112,'Pliegos Tarifarios (Quilicura)'!$A:$A,0))</f>
        <v>97210.601077200001</v>
      </c>
      <c r="N112" s="19">
        <f>I112*INDEX('Pliegos Tarifarios (Quilicura)'!$C:$C,MATCH($B112,'Pliegos Tarifarios (Quilicura)'!$A:$A,0))</f>
        <v>8524.5561488000003</v>
      </c>
      <c r="O112" s="19">
        <f>J112*INDEX('Pliegos Tarifarios (Quilicura)'!$D:$D,MATCH($B112,'Pliegos Tarifarios (Quilicura)'!$A:$A,0))</f>
        <v>33942.650016</v>
      </c>
      <c r="P112" s="19">
        <f>H112*INDEX('Pliegos Tarifarios (Quilicura)'!$E:$E,MATCH($B112,'Pliegos Tarifarios (Quilicura)'!$A:$A,0))</f>
        <v>10578.4975608</v>
      </c>
      <c r="Q112" s="19" cm="1">
        <f t="array" ref="Q112">H112*_xlfn.IFS(H112&lt;=350,INDEX('Pliegos Tarifarios (Quilicura)'!$F:$F,MATCH($B112,'Pliegos Tarifarios (Quilicura)'!$A:$A,0)),H112&lt;=500,INDEX('Pliegos Tarifarios (Quilicura)'!$G:$G,MATCH($B112,'Pliegos Tarifarios (Quilicura)'!$A:$A,0)),H112&lt;=1000,INDEX('Pliegos Tarifarios (Quilicura)'!$H:$H,MATCH($B112,'Pliegos Tarifarios (Quilicura)'!$A:$A,0)),H112&lt;=5000,INDEX('Pliegos Tarifarios (Quilicura)'!$I:$I,MATCH($B112,'Pliegos Tarifarios (Quilicura)'!$A:$A,0)),H112&gt;5000,INDEX('Pliegos Tarifarios (Quilicura)'!$J:$J,MATCH($B112,'Pliegos Tarifarios (Quilicura)'!$A:$A,0)))/1.19</f>
        <v>1918.5413742857149</v>
      </c>
      <c r="R112" s="19">
        <f>INDEX('Pliegos Tarifarios (Quilicura)'!$K:$K,MATCH($B112,'Pliegos Tarifarios (Quilicura)'!$A:$A,0))</f>
        <v>709.36099999999999</v>
      </c>
      <c r="S112" s="21">
        <f t="shared" si="6"/>
        <v>152884.20717708571</v>
      </c>
      <c r="T112" s="21">
        <f t="shared" si="7"/>
        <v>29047.999363646286</v>
      </c>
      <c r="U112" s="19">
        <v>0</v>
      </c>
      <c r="V112" s="21">
        <f t="shared" si="8"/>
        <v>181932.206540732</v>
      </c>
    </row>
    <row r="113" spans="1:22" x14ac:dyDescent="0.3">
      <c r="A113" s="7" t="s">
        <v>141</v>
      </c>
      <c r="B113" s="7">
        <v>2</v>
      </c>
      <c r="C113" s="8" t="s">
        <v>186</v>
      </c>
      <c r="D113" s="7" t="s">
        <v>226</v>
      </c>
      <c r="E113" s="7" t="s">
        <v>110</v>
      </c>
      <c r="F113" s="8" t="s">
        <v>111</v>
      </c>
      <c r="G113" s="7" t="s">
        <v>30</v>
      </c>
      <c r="H113" s="9">
        <v>410.04090000000002</v>
      </c>
      <c r="I113" s="9">
        <v>1.2215</v>
      </c>
      <c r="J113" s="9">
        <v>1.2215</v>
      </c>
      <c r="K113" s="10">
        <v>1</v>
      </c>
      <c r="L113" s="9">
        <v>14.64</v>
      </c>
      <c r="M113" s="19">
        <f>H113*INDEX('Pliegos Tarifarios (Quilicura)'!$B:$B,MATCH($B113,'Pliegos Tarifarios (Quilicura)'!$A:$A,0))</f>
        <v>48728.440474199997</v>
      </c>
      <c r="N113" s="19">
        <f>I113*INDEX('Pliegos Tarifarios (Quilicura)'!$C:$C,MATCH($B113,'Pliegos Tarifarios (Quilicura)'!$A:$A,0))</f>
        <v>4190.5768415000002</v>
      </c>
      <c r="O113" s="19">
        <f>J113*INDEX('Pliegos Tarifarios (Quilicura)'!$D:$D,MATCH($B113,'Pliegos Tarifarios (Quilicura)'!$A:$A,0))</f>
        <v>17250.237983999999</v>
      </c>
      <c r="P113" s="19">
        <f>H113*INDEX('Pliegos Tarifarios (Quilicura)'!$E:$E,MATCH($B113,'Pliegos Tarifarios (Quilicura)'!$A:$A,0))</f>
        <v>5302.6489188000005</v>
      </c>
      <c r="Q113" s="19" cm="1">
        <f t="array" ref="Q113">H113*_xlfn.IFS(H113&lt;=350,INDEX('Pliegos Tarifarios (Quilicura)'!$F:$F,MATCH($B113,'Pliegos Tarifarios (Quilicura)'!$A:$A,0)),H113&lt;=500,INDEX('Pliegos Tarifarios (Quilicura)'!$G:$G,MATCH($B113,'Pliegos Tarifarios (Quilicura)'!$A:$A,0)),H113&lt;=1000,INDEX('Pliegos Tarifarios (Quilicura)'!$H:$H,MATCH($B113,'Pliegos Tarifarios (Quilicura)'!$A:$A,0)),H113&lt;=5000,INDEX('Pliegos Tarifarios (Quilicura)'!$I:$I,MATCH($B113,'Pliegos Tarifarios (Quilicura)'!$A:$A,0)),H113&gt;5000,INDEX('Pliegos Tarifarios (Quilicura)'!$J:$J,MATCH($B113,'Pliegos Tarifarios (Quilicura)'!$A:$A,0)))/1.19</f>
        <v>577.50298184873964</v>
      </c>
      <c r="R113" s="19">
        <f>INDEX('Pliegos Tarifarios (Quilicura)'!$K:$K,MATCH($B113,'Pliegos Tarifarios (Quilicura)'!$A:$A,0))</f>
        <v>709.36099999999999</v>
      </c>
      <c r="S113" s="21">
        <f t="shared" si="6"/>
        <v>76758.768200348728</v>
      </c>
      <c r="T113" s="21">
        <f t="shared" si="7"/>
        <v>14584.165958066258</v>
      </c>
      <c r="U113" s="19">
        <v>0</v>
      </c>
      <c r="V113" s="21">
        <f t="shared" si="8"/>
        <v>91342.934158414981</v>
      </c>
    </row>
    <row r="114" spans="1:22" x14ac:dyDescent="0.3">
      <c r="A114" s="7" t="s">
        <v>141</v>
      </c>
      <c r="B114" s="7">
        <v>2</v>
      </c>
      <c r="C114" s="8" t="s">
        <v>186</v>
      </c>
      <c r="D114" s="7" t="s">
        <v>227</v>
      </c>
      <c r="E114" s="7" t="s">
        <v>113</v>
      </c>
      <c r="F114" s="8" t="s">
        <v>114</v>
      </c>
      <c r="G114" s="7" t="s">
        <v>30</v>
      </c>
      <c r="H114" s="9">
        <v>614.81539999999995</v>
      </c>
      <c r="I114" s="9">
        <v>1.8243</v>
      </c>
      <c r="J114" s="9">
        <v>1.8243</v>
      </c>
      <c r="K114" s="10">
        <v>1</v>
      </c>
      <c r="L114" s="9">
        <v>21.96</v>
      </c>
      <c r="M114" s="19">
        <f>H114*INDEX('Pliegos Tarifarios (Quilicura)'!$B:$B,MATCH($B114,'Pliegos Tarifarios (Quilicura)'!$A:$A,0))</f>
        <v>73063.432505199991</v>
      </c>
      <c r="N114" s="19">
        <f>I114*INDEX('Pliegos Tarifarios (Quilicura)'!$C:$C,MATCH($B114,'Pliegos Tarifarios (Quilicura)'!$A:$A,0))</f>
        <v>6258.5913483000004</v>
      </c>
      <c r="O114" s="19">
        <f>J114*INDEX('Pliegos Tarifarios (Quilicura)'!$D:$D,MATCH($B114,'Pliegos Tarifarios (Quilicura)'!$A:$A,0))</f>
        <v>25763.085676800001</v>
      </c>
      <c r="P114" s="19">
        <f>H114*INDEX('Pliegos Tarifarios (Quilicura)'!$E:$E,MATCH($B114,'Pliegos Tarifarios (Quilicura)'!$A:$A,0))</f>
        <v>7950.7927528</v>
      </c>
      <c r="Q114" s="19" cm="1">
        <f t="array" ref="Q114">H114*_xlfn.IFS(H114&lt;=350,INDEX('Pliegos Tarifarios (Quilicura)'!$F:$F,MATCH($B114,'Pliegos Tarifarios (Quilicura)'!$A:$A,0)),H114&lt;=500,INDEX('Pliegos Tarifarios (Quilicura)'!$G:$G,MATCH($B114,'Pliegos Tarifarios (Quilicura)'!$A:$A,0)),H114&lt;=1000,INDEX('Pliegos Tarifarios (Quilicura)'!$H:$H,MATCH($B114,'Pliegos Tarifarios (Quilicura)'!$A:$A,0)),H114&lt;=5000,INDEX('Pliegos Tarifarios (Quilicura)'!$I:$I,MATCH($B114,'Pliegos Tarifarios (Quilicura)'!$A:$A,0)),H114&gt;5000,INDEX('Pliegos Tarifarios (Quilicura)'!$J:$J,MATCH($B114,'Pliegos Tarifarios (Quilicura)'!$A:$A,0)))/1.19</f>
        <v>1441.9746062184875</v>
      </c>
      <c r="R114" s="19">
        <f>INDEX('Pliegos Tarifarios (Quilicura)'!$K:$K,MATCH($B114,'Pliegos Tarifarios (Quilicura)'!$A:$A,0))</f>
        <v>709.36099999999999</v>
      </c>
      <c r="S114" s="21">
        <f t="shared" si="6"/>
        <v>115187.23788931848</v>
      </c>
      <c r="T114" s="21">
        <f t="shared" si="7"/>
        <v>21885.575198970513</v>
      </c>
      <c r="U114" s="19">
        <v>0</v>
      </c>
      <c r="V114" s="21">
        <f t="shared" si="8"/>
        <v>137072.813088289</v>
      </c>
    </row>
    <row r="115" spans="1:22" x14ac:dyDescent="0.3">
      <c r="A115" s="7" t="s">
        <v>141</v>
      </c>
      <c r="B115" s="7">
        <v>2</v>
      </c>
      <c r="C115" s="8" t="s">
        <v>186</v>
      </c>
      <c r="D115" s="7" t="s">
        <v>228</v>
      </c>
      <c r="E115" s="7" t="s">
        <v>116</v>
      </c>
      <c r="F115" s="8" t="s">
        <v>117</v>
      </c>
      <c r="G115" s="7" t="s">
        <v>30</v>
      </c>
      <c r="H115" s="9">
        <v>102.4243</v>
      </c>
      <c r="I115" s="9">
        <v>0.30930000000000002</v>
      </c>
      <c r="J115" s="9">
        <v>0.29659999999999997</v>
      </c>
      <c r="K115" s="10">
        <v>0.95893954089880362</v>
      </c>
      <c r="L115" s="9">
        <v>3.66</v>
      </c>
      <c r="M115" s="19">
        <f>H115*INDEX('Pliegos Tarifarios (Quilicura)'!$B:$B,MATCH($B115,'Pliegos Tarifarios (Quilicura)'!$A:$A,0))</f>
        <v>12171.898963399999</v>
      </c>
      <c r="N115" s="19">
        <f>I115*INDEX('Pliegos Tarifarios (Quilicura)'!$C:$C,MATCH($B115,'Pliegos Tarifarios (Quilicura)'!$A:$A,0))</f>
        <v>1061.1096333</v>
      </c>
      <c r="O115" s="19">
        <f>J115*INDEX('Pliegos Tarifarios (Quilicura)'!$D:$D,MATCH($B115,'Pliegos Tarifarios (Quilicura)'!$A:$A,0))</f>
        <v>4188.6374015999991</v>
      </c>
      <c r="P115" s="19">
        <f>H115*INDEX('Pliegos Tarifarios (Quilicura)'!$E:$E,MATCH($B115,'Pliegos Tarifarios (Quilicura)'!$A:$A,0))</f>
        <v>1324.5510476000002</v>
      </c>
      <c r="Q115" s="19" cm="1">
        <f t="array" ref="Q115">H115*_xlfn.IFS(H115&lt;=350,INDEX('Pliegos Tarifarios (Quilicura)'!$F:$F,MATCH($B115,'Pliegos Tarifarios (Quilicura)'!$A:$A,0)),H115&lt;=500,INDEX('Pliegos Tarifarios (Quilicura)'!$G:$G,MATCH($B115,'Pliegos Tarifarios (Quilicura)'!$A:$A,0)),H115&lt;=1000,INDEX('Pliegos Tarifarios (Quilicura)'!$H:$H,MATCH($B115,'Pliegos Tarifarios (Quilicura)'!$A:$A,0)),H115&lt;=5000,INDEX('Pliegos Tarifarios (Quilicura)'!$I:$I,MATCH($B115,'Pliegos Tarifarios (Quilicura)'!$A:$A,0)),H115&gt;5000,INDEX('Pliegos Tarifarios (Quilicura)'!$J:$J,MATCH($B115,'Pliegos Tarifarios (Quilicura)'!$A:$A,0)))/1.19</f>
        <v>67.479538823529424</v>
      </c>
      <c r="R115" s="19">
        <f>INDEX('Pliegos Tarifarios (Quilicura)'!$K:$K,MATCH($B115,'Pliegos Tarifarios (Quilicura)'!$A:$A,0))</f>
        <v>709.36099999999999</v>
      </c>
      <c r="S115" s="21">
        <f t="shared" si="6"/>
        <v>19523.03758472353</v>
      </c>
      <c r="T115" s="21">
        <f t="shared" si="7"/>
        <v>3709.3771410974709</v>
      </c>
      <c r="U115" s="19">
        <v>0</v>
      </c>
      <c r="V115" s="21">
        <f t="shared" si="8"/>
        <v>23232.414725821</v>
      </c>
    </row>
    <row r="116" spans="1:22" x14ac:dyDescent="0.3">
      <c r="A116" s="7" t="s">
        <v>141</v>
      </c>
      <c r="B116" s="7">
        <v>2</v>
      </c>
      <c r="C116" s="8" t="s">
        <v>186</v>
      </c>
      <c r="D116" s="7" t="s">
        <v>229</v>
      </c>
      <c r="E116" s="7" t="s">
        <v>116</v>
      </c>
      <c r="F116" s="8" t="s">
        <v>119</v>
      </c>
      <c r="G116" s="7" t="s">
        <v>30</v>
      </c>
      <c r="H116" s="9">
        <v>102.5939</v>
      </c>
      <c r="I116" s="9">
        <v>0.3044</v>
      </c>
      <c r="J116" s="9">
        <v>0.29849999999999999</v>
      </c>
      <c r="K116" s="10">
        <v>0.9806176084099868</v>
      </c>
      <c r="L116" s="9">
        <v>3.66</v>
      </c>
      <c r="M116" s="19">
        <f>H116*INDEX('Pliegos Tarifarios (Quilicura)'!$B:$B,MATCH($B116,'Pliegos Tarifarios (Quilicura)'!$A:$A,0))</f>
        <v>12192.0538882</v>
      </c>
      <c r="N116" s="19">
        <f>I116*INDEX('Pliegos Tarifarios (Quilicura)'!$C:$C,MATCH($B116,'Pliegos Tarifarios (Quilicura)'!$A:$A,0))</f>
        <v>1044.2992964</v>
      </c>
      <c r="O116" s="19">
        <f>J116*INDEX('Pliegos Tarifarios (Quilicura)'!$D:$D,MATCH($B116,'Pliegos Tarifarios (Quilicura)'!$A:$A,0))</f>
        <v>4215.4695359999996</v>
      </c>
      <c r="P116" s="19">
        <f>H116*INDEX('Pliegos Tarifarios (Quilicura)'!$E:$E,MATCH($B116,'Pliegos Tarifarios (Quilicura)'!$A:$A,0))</f>
        <v>1326.7443148000002</v>
      </c>
      <c r="Q116" s="19" cm="1">
        <f t="array" ref="Q116">H116*_xlfn.IFS(H116&lt;=350,INDEX('Pliegos Tarifarios (Quilicura)'!$F:$F,MATCH($B116,'Pliegos Tarifarios (Quilicura)'!$A:$A,0)),H116&lt;=500,INDEX('Pliegos Tarifarios (Quilicura)'!$G:$G,MATCH($B116,'Pliegos Tarifarios (Quilicura)'!$A:$A,0)),H116&lt;=1000,INDEX('Pliegos Tarifarios (Quilicura)'!$H:$H,MATCH($B116,'Pliegos Tarifarios (Quilicura)'!$A:$A,0)),H116&lt;=5000,INDEX('Pliegos Tarifarios (Quilicura)'!$I:$I,MATCH($B116,'Pliegos Tarifarios (Quilicura)'!$A:$A,0)),H116&gt;5000,INDEX('Pliegos Tarifarios (Quilicura)'!$J:$J,MATCH($B116,'Pliegos Tarifarios (Quilicura)'!$A:$A,0)))/1.19</f>
        <v>67.591275294117651</v>
      </c>
      <c r="R116" s="19">
        <f>INDEX('Pliegos Tarifarios (Quilicura)'!$K:$K,MATCH($B116,'Pliegos Tarifarios (Quilicura)'!$A:$A,0))</f>
        <v>709.36099999999999</v>
      </c>
      <c r="S116" s="21">
        <f t="shared" si="6"/>
        <v>19555.519310694122</v>
      </c>
      <c r="T116" s="21">
        <f t="shared" si="7"/>
        <v>3715.5486690318835</v>
      </c>
      <c r="U116" s="19">
        <v>0</v>
      </c>
      <c r="V116" s="21">
        <f t="shared" si="8"/>
        <v>23271.067979726005</v>
      </c>
    </row>
    <row r="117" spans="1:22" x14ac:dyDescent="0.3">
      <c r="A117" s="7" t="s">
        <v>141</v>
      </c>
      <c r="B117" s="7">
        <v>2</v>
      </c>
      <c r="C117" s="8" t="s">
        <v>186</v>
      </c>
      <c r="D117" s="7" t="s">
        <v>230</v>
      </c>
      <c r="E117" s="7" t="s">
        <v>121</v>
      </c>
      <c r="F117" s="8" t="s">
        <v>122</v>
      </c>
      <c r="G117" s="7" t="s">
        <v>30</v>
      </c>
      <c r="H117" s="9">
        <v>102.7273</v>
      </c>
      <c r="I117" s="9">
        <v>0.30170000000000002</v>
      </c>
      <c r="J117" s="9">
        <v>0.2979</v>
      </c>
      <c r="K117" s="10">
        <v>0.98740470666224722</v>
      </c>
      <c r="L117" s="9">
        <v>3.67</v>
      </c>
      <c r="M117" s="19">
        <f>H117*INDEX('Pliegos Tarifarios (Quilicura)'!$B:$B,MATCH($B117,'Pliegos Tarifarios (Quilicura)'!$A:$A,0))</f>
        <v>12207.906877399999</v>
      </c>
      <c r="N117" s="19">
        <f>I117*INDEX('Pliegos Tarifarios (Quilicura)'!$C:$C,MATCH($B117,'Pliegos Tarifarios (Quilicura)'!$A:$A,0))</f>
        <v>1035.0364577</v>
      </c>
      <c r="O117" s="19">
        <f>J117*INDEX('Pliegos Tarifarios (Quilicura)'!$D:$D,MATCH($B117,'Pliegos Tarifarios (Quilicura)'!$A:$A,0))</f>
        <v>4206.9962304000001</v>
      </c>
      <c r="P117" s="19">
        <f>H117*INDEX('Pliegos Tarifarios (Quilicura)'!$E:$E,MATCH($B117,'Pliegos Tarifarios (Quilicura)'!$A:$A,0))</f>
        <v>1328.4694436</v>
      </c>
      <c r="Q117" s="19" cm="1">
        <f t="array" ref="Q117">H117*_xlfn.IFS(H117&lt;=350,INDEX('Pliegos Tarifarios (Quilicura)'!$F:$F,MATCH($B117,'Pliegos Tarifarios (Quilicura)'!$A:$A,0)),H117&lt;=500,INDEX('Pliegos Tarifarios (Quilicura)'!$G:$G,MATCH($B117,'Pliegos Tarifarios (Quilicura)'!$A:$A,0)),H117&lt;=1000,INDEX('Pliegos Tarifarios (Quilicura)'!$H:$H,MATCH($B117,'Pliegos Tarifarios (Quilicura)'!$A:$A,0)),H117&lt;=5000,INDEX('Pliegos Tarifarios (Quilicura)'!$I:$I,MATCH($B117,'Pliegos Tarifarios (Quilicura)'!$A:$A,0)),H117&gt;5000,INDEX('Pliegos Tarifarios (Quilicura)'!$J:$J,MATCH($B117,'Pliegos Tarifarios (Quilicura)'!$A:$A,0)))/1.19</f>
        <v>67.679162352941177</v>
      </c>
      <c r="R117" s="19">
        <f>INDEX('Pliegos Tarifarios (Quilicura)'!$K:$K,MATCH($B117,'Pliegos Tarifarios (Quilicura)'!$A:$A,0))</f>
        <v>709.36099999999999</v>
      </c>
      <c r="S117" s="21">
        <f t="shared" si="6"/>
        <v>19555.449171452939</v>
      </c>
      <c r="T117" s="21">
        <f t="shared" si="7"/>
        <v>3715.5353425760586</v>
      </c>
      <c r="U117" s="19">
        <v>0</v>
      </c>
      <c r="V117" s="21">
        <f t="shared" si="8"/>
        <v>23270.984514028998</v>
      </c>
    </row>
    <row r="118" spans="1:22" x14ac:dyDescent="0.3">
      <c r="A118" s="7" t="s">
        <v>141</v>
      </c>
      <c r="B118" s="7">
        <v>2</v>
      </c>
      <c r="C118" s="8" t="s">
        <v>186</v>
      </c>
      <c r="D118" s="7" t="s">
        <v>231</v>
      </c>
      <c r="E118" s="7" t="s">
        <v>121</v>
      </c>
      <c r="F118" s="8" t="s">
        <v>124</v>
      </c>
      <c r="G118" s="7" t="s">
        <v>30</v>
      </c>
      <c r="H118" s="9">
        <v>102.37269999999999</v>
      </c>
      <c r="I118" s="9">
        <v>0.30690000000000001</v>
      </c>
      <c r="J118" s="9">
        <v>0.3014</v>
      </c>
      <c r="K118" s="10">
        <v>0.98207885304659492</v>
      </c>
      <c r="L118" s="9">
        <v>3.66</v>
      </c>
      <c r="M118" s="19">
        <f>H118*INDEX('Pliegos Tarifarios (Quilicura)'!$B:$B,MATCH($B118,'Pliegos Tarifarios (Quilicura)'!$A:$A,0))</f>
        <v>12165.766922599998</v>
      </c>
      <c r="N118" s="19">
        <f>I118*INDEX('Pliegos Tarifarios (Quilicura)'!$C:$C,MATCH($B118,'Pliegos Tarifarios (Quilicura)'!$A:$A,0))</f>
        <v>1052.8759989</v>
      </c>
      <c r="O118" s="19">
        <f>J118*INDEX('Pliegos Tarifarios (Quilicura)'!$D:$D,MATCH($B118,'Pliegos Tarifarios (Quilicura)'!$A:$A,0))</f>
        <v>4256.4238464</v>
      </c>
      <c r="P118" s="19">
        <f>H118*INDEX('Pliegos Tarifarios (Quilicura)'!$E:$E,MATCH($B118,'Pliegos Tarifarios (Quilicura)'!$A:$A,0))</f>
        <v>1323.8837564</v>
      </c>
      <c r="Q118" s="19" cm="1">
        <f t="array" ref="Q118">H118*_xlfn.IFS(H118&lt;=350,INDEX('Pliegos Tarifarios (Quilicura)'!$F:$F,MATCH($B118,'Pliegos Tarifarios (Quilicura)'!$A:$A,0)),H118&lt;=500,INDEX('Pliegos Tarifarios (Quilicura)'!$G:$G,MATCH($B118,'Pliegos Tarifarios (Quilicura)'!$A:$A,0)),H118&lt;=1000,INDEX('Pliegos Tarifarios (Quilicura)'!$H:$H,MATCH($B118,'Pliegos Tarifarios (Quilicura)'!$A:$A,0)),H118&lt;=5000,INDEX('Pliegos Tarifarios (Quilicura)'!$I:$I,MATCH($B118,'Pliegos Tarifarios (Quilicura)'!$A:$A,0)),H118&gt;5000,INDEX('Pliegos Tarifarios (Quilicura)'!$J:$J,MATCH($B118,'Pliegos Tarifarios (Quilicura)'!$A:$A,0)))/1.19</f>
        <v>67.445543529411765</v>
      </c>
      <c r="R118" s="19">
        <f>INDEX('Pliegos Tarifarios (Quilicura)'!$K:$K,MATCH($B118,'Pliegos Tarifarios (Quilicura)'!$A:$A,0))</f>
        <v>709.36099999999999</v>
      </c>
      <c r="S118" s="21">
        <f t="shared" si="6"/>
        <v>19575.757067829411</v>
      </c>
      <c r="T118" s="21">
        <f t="shared" si="7"/>
        <v>3719.3938428875881</v>
      </c>
      <c r="U118" s="19">
        <v>0</v>
      </c>
      <c r="V118" s="21">
        <f t="shared" si="8"/>
        <v>23295.150910716999</v>
      </c>
    </row>
    <row r="119" spans="1:22" x14ac:dyDescent="0.3">
      <c r="A119" s="7" t="s">
        <v>141</v>
      </c>
      <c r="B119" s="7">
        <v>2</v>
      </c>
      <c r="C119" s="8" t="s">
        <v>186</v>
      </c>
      <c r="D119" s="7" t="s">
        <v>232</v>
      </c>
      <c r="E119" s="7" t="s">
        <v>121</v>
      </c>
      <c r="F119" s="8" t="s">
        <v>126</v>
      </c>
      <c r="G119" s="7" t="s">
        <v>30</v>
      </c>
      <c r="H119" s="9">
        <v>102.44450000000001</v>
      </c>
      <c r="I119" s="9">
        <v>0.30280000000000001</v>
      </c>
      <c r="J119" s="9">
        <v>0.2999</v>
      </c>
      <c r="K119" s="10">
        <v>0.99042272126816377</v>
      </c>
      <c r="L119" s="9">
        <v>3.66</v>
      </c>
      <c r="M119" s="19">
        <f>H119*INDEX('Pliegos Tarifarios (Quilicura)'!$B:$B,MATCH($B119,'Pliegos Tarifarios (Quilicura)'!$A:$A,0))</f>
        <v>12174.299491</v>
      </c>
      <c r="N119" s="19">
        <f>I119*INDEX('Pliegos Tarifarios (Quilicura)'!$C:$C,MATCH($B119,'Pliegos Tarifarios (Quilicura)'!$A:$A,0))</f>
        <v>1038.8102068000001</v>
      </c>
      <c r="O119" s="19">
        <f>J119*INDEX('Pliegos Tarifarios (Quilicura)'!$D:$D,MATCH($B119,'Pliegos Tarifarios (Quilicura)'!$A:$A,0))</f>
        <v>4235.2405823999998</v>
      </c>
      <c r="P119" s="19">
        <f>H119*INDEX('Pliegos Tarifarios (Quilicura)'!$E:$E,MATCH($B119,'Pliegos Tarifarios (Quilicura)'!$A:$A,0))</f>
        <v>1324.8122740000001</v>
      </c>
      <c r="Q119" s="19" cm="1">
        <f t="array" ref="Q119">H119*_xlfn.IFS(H119&lt;=350,INDEX('Pliegos Tarifarios (Quilicura)'!$F:$F,MATCH($B119,'Pliegos Tarifarios (Quilicura)'!$A:$A,0)),H119&lt;=500,INDEX('Pliegos Tarifarios (Quilicura)'!$G:$G,MATCH($B119,'Pliegos Tarifarios (Quilicura)'!$A:$A,0)),H119&lt;=1000,INDEX('Pliegos Tarifarios (Quilicura)'!$H:$H,MATCH($B119,'Pliegos Tarifarios (Quilicura)'!$A:$A,0)),H119&lt;=5000,INDEX('Pliegos Tarifarios (Quilicura)'!$I:$I,MATCH($B119,'Pliegos Tarifarios (Quilicura)'!$A:$A,0)),H119&gt;5000,INDEX('Pliegos Tarifarios (Quilicura)'!$J:$J,MATCH($B119,'Pliegos Tarifarios (Quilicura)'!$A:$A,0)))/1.19</f>
        <v>67.492847058823543</v>
      </c>
      <c r="R119" s="19">
        <f>INDEX('Pliegos Tarifarios (Quilicura)'!$K:$K,MATCH($B119,'Pliegos Tarifarios (Quilicura)'!$A:$A,0))</f>
        <v>709.36099999999999</v>
      </c>
      <c r="S119" s="21">
        <f t="shared" si="6"/>
        <v>19550.016401258825</v>
      </c>
      <c r="T119" s="21">
        <f t="shared" si="7"/>
        <v>3714.503116239177</v>
      </c>
      <c r="U119" s="19">
        <v>0</v>
      </c>
      <c r="V119" s="21">
        <f t="shared" si="8"/>
        <v>23264.519517498004</v>
      </c>
    </row>
    <row r="120" spans="1:22" x14ac:dyDescent="0.3">
      <c r="A120" s="7" t="s">
        <v>141</v>
      </c>
      <c r="B120" s="7">
        <v>2</v>
      </c>
      <c r="C120" s="8" t="s">
        <v>186</v>
      </c>
      <c r="D120" s="7" t="s">
        <v>233</v>
      </c>
      <c r="E120" s="7" t="s">
        <v>121</v>
      </c>
      <c r="F120" s="8" t="s">
        <v>128</v>
      </c>
      <c r="G120" s="7" t="s">
        <v>30</v>
      </c>
      <c r="H120" s="9">
        <v>102.539</v>
      </c>
      <c r="I120" s="9">
        <v>0.30309999999999998</v>
      </c>
      <c r="J120" s="9">
        <v>0.30109999999999998</v>
      </c>
      <c r="K120" s="10">
        <v>0.99340151765094031</v>
      </c>
      <c r="L120" s="9">
        <v>3.66</v>
      </c>
      <c r="M120" s="19">
        <f>H120*INDEX('Pliegos Tarifarios (Quilicura)'!$B:$B,MATCH($B120,'Pliegos Tarifarios (Quilicura)'!$A:$A,0))</f>
        <v>12185.529682</v>
      </c>
      <c r="N120" s="19">
        <f>I120*INDEX('Pliegos Tarifarios (Quilicura)'!$C:$C,MATCH($B120,'Pliegos Tarifarios (Quilicura)'!$A:$A,0))</f>
        <v>1039.8394111</v>
      </c>
      <c r="O120" s="19">
        <f>J120*INDEX('Pliegos Tarifarios (Quilicura)'!$D:$D,MATCH($B120,'Pliegos Tarifarios (Quilicura)'!$A:$A,0))</f>
        <v>4252.1871935999998</v>
      </c>
      <c r="P120" s="19">
        <f>H120*INDEX('Pliegos Tarifarios (Quilicura)'!$E:$E,MATCH($B120,'Pliegos Tarifarios (Quilicura)'!$A:$A,0))</f>
        <v>1326.0343480000001</v>
      </c>
      <c r="Q120" s="19" cm="1">
        <f t="array" ref="Q120">H120*_xlfn.IFS(H120&lt;=350,INDEX('Pliegos Tarifarios (Quilicura)'!$F:$F,MATCH($B120,'Pliegos Tarifarios (Quilicura)'!$A:$A,0)),H120&lt;=500,INDEX('Pliegos Tarifarios (Quilicura)'!$G:$G,MATCH($B120,'Pliegos Tarifarios (Quilicura)'!$A:$A,0)),H120&lt;=1000,INDEX('Pliegos Tarifarios (Quilicura)'!$H:$H,MATCH($B120,'Pliegos Tarifarios (Quilicura)'!$A:$A,0)),H120&lt;=5000,INDEX('Pliegos Tarifarios (Quilicura)'!$I:$I,MATCH($B120,'Pliegos Tarifarios (Quilicura)'!$A:$A,0)),H120&gt;5000,INDEX('Pliegos Tarifarios (Quilicura)'!$J:$J,MATCH($B120,'Pliegos Tarifarios (Quilicura)'!$A:$A,0)))/1.19</f>
        <v>67.555105882352947</v>
      </c>
      <c r="R120" s="19">
        <f>INDEX('Pliegos Tarifarios (Quilicura)'!$K:$K,MATCH($B120,'Pliegos Tarifarios (Quilicura)'!$A:$A,0))</f>
        <v>709.36099999999999</v>
      </c>
      <c r="S120" s="21">
        <f t="shared" si="6"/>
        <v>19580.506740582354</v>
      </c>
      <c r="T120" s="21">
        <f t="shared" si="7"/>
        <v>3720.2962807106474</v>
      </c>
      <c r="U120" s="19">
        <v>0</v>
      </c>
      <c r="V120" s="21">
        <f t="shared" si="8"/>
        <v>23300.803021293003</v>
      </c>
    </row>
    <row r="121" spans="1:22" x14ac:dyDescent="0.3">
      <c r="A121" s="7" t="s">
        <v>141</v>
      </c>
      <c r="B121" s="7">
        <v>2</v>
      </c>
      <c r="C121" s="8" t="s">
        <v>186</v>
      </c>
      <c r="D121" s="7" t="s">
        <v>234</v>
      </c>
      <c r="E121" s="7" t="s">
        <v>121</v>
      </c>
      <c r="F121" s="8" t="s">
        <v>130</v>
      </c>
      <c r="G121" s="7" t="s">
        <v>30</v>
      </c>
      <c r="H121" s="9">
        <v>102.4162</v>
      </c>
      <c r="I121" s="9">
        <v>0.31169999999999998</v>
      </c>
      <c r="J121" s="9">
        <v>0.31169999999999998</v>
      </c>
      <c r="K121" s="10">
        <v>1</v>
      </c>
      <c r="L121" s="9">
        <v>3.66</v>
      </c>
      <c r="M121" s="19">
        <f>H121*INDEX('Pliegos Tarifarios (Quilicura)'!$B:$B,MATCH($B121,'Pliegos Tarifarios (Quilicura)'!$A:$A,0))</f>
        <v>12170.9363756</v>
      </c>
      <c r="N121" s="19">
        <f>I121*INDEX('Pliegos Tarifarios (Quilicura)'!$C:$C,MATCH($B121,'Pliegos Tarifarios (Quilicura)'!$A:$A,0))</f>
        <v>1069.3432676999998</v>
      </c>
      <c r="O121" s="19">
        <f>J121*INDEX('Pliegos Tarifarios (Quilicura)'!$D:$D,MATCH($B121,'Pliegos Tarifarios (Quilicura)'!$A:$A,0))</f>
        <v>4401.8822591999997</v>
      </c>
      <c r="P121" s="19">
        <f>H121*INDEX('Pliegos Tarifarios (Quilicura)'!$E:$E,MATCH($B121,'Pliegos Tarifarios (Quilicura)'!$A:$A,0))</f>
        <v>1324.4462984000002</v>
      </c>
      <c r="Q121" s="19" cm="1">
        <f t="array" ref="Q121">H121*_xlfn.IFS(H121&lt;=350,INDEX('Pliegos Tarifarios (Quilicura)'!$F:$F,MATCH($B121,'Pliegos Tarifarios (Quilicura)'!$A:$A,0)),H121&lt;=500,INDEX('Pliegos Tarifarios (Quilicura)'!$G:$G,MATCH($B121,'Pliegos Tarifarios (Quilicura)'!$A:$A,0)),H121&lt;=1000,INDEX('Pliegos Tarifarios (Quilicura)'!$H:$H,MATCH($B121,'Pliegos Tarifarios (Quilicura)'!$A:$A,0)),H121&lt;=5000,INDEX('Pliegos Tarifarios (Quilicura)'!$I:$I,MATCH($B121,'Pliegos Tarifarios (Quilicura)'!$A:$A,0)),H121&gt;5000,INDEX('Pliegos Tarifarios (Quilicura)'!$J:$J,MATCH($B121,'Pliegos Tarifarios (Quilicura)'!$A:$A,0)))/1.19</f>
        <v>67.474202352941177</v>
      </c>
      <c r="R121" s="19">
        <f>INDEX('Pliegos Tarifarios (Quilicura)'!$K:$K,MATCH($B121,'Pliegos Tarifarios (Quilicura)'!$A:$A,0))</f>
        <v>709.36099999999999</v>
      </c>
      <c r="S121" s="21">
        <f t="shared" si="6"/>
        <v>19743.443403252943</v>
      </c>
      <c r="T121" s="21">
        <f t="shared" si="7"/>
        <v>3751.2542466180589</v>
      </c>
      <c r="U121" s="19">
        <v>0</v>
      </c>
      <c r="V121" s="21">
        <f t="shared" si="8"/>
        <v>23494.697649871003</v>
      </c>
    </row>
    <row r="122" spans="1:22" x14ac:dyDescent="0.3">
      <c r="A122" s="7" t="s">
        <v>141</v>
      </c>
      <c r="B122" s="7">
        <v>2</v>
      </c>
      <c r="C122" s="8" t="s">
        <v>186</v>
      </c>
      <c r="D122" s="7" t="s">
        <v>235</v>
      </c>
      <c r="E122" s="7" t="s">
        <v>121</v>
      </c>
      <c r="F122" s="8" t="s">
        <v>132</v>
      </c>
      <c r="G122" s="7" t="s">
        <v>30</v>
      </c>
      <c r="H122" s="9">
        <v>102.45310000000001</v>
      </c>
      <c r="I122" s="9">
        <v>0.309</v>
      </c>
      <c r="J122" s="9">
        <v>0.309</v>
      </c>
      <c r="K122" s="10">
        <v>1</v>
      </c>
      <c r="L122" s="9">
        <v>3.66</v>
      </c>
      <c r="M122" s="19">
        <f>H122*INDEX('Pliegos Tarifarios (Quilicura)'!$B:$B,MATCH($B122,'Pliegos Tarifarios (Quilicura)'!$A:$A,0))</f>
        <v>12175.3214978</v>
      </c>
      <c r="N122" s="19">
        <f>I122*INDEX('Pliegos Tarifarios (Quilicura)'!$C:$C,MATCH($B122,'Pliegos Tarifarios (Quilicura)'!$A:$A,0))</f>
        <v>1060.0804290000001</v>
      </c>
      <c r="O122" s="19">
        <f>J122*INDEX('Pliegos Tarifarios (Quilicura)'!$D:$D,MATCH($B122,'Pliegos Tarifarios (Quilicura)'!$A:$A,0))</f>
        <v>4363.7523839999994</v>
      </c>
      <c r="P122" s="19">
        <f>H122*INDEX('Pliegos Tarifarios (Quilicura)'!$E:$E,MATCH($B122,'Pliegos Tarifarios (Quilicura)'!$A:$A,0))</f>
        <v>1324.9234892000002</v>
      </c>
      <c r="Q122" s="19" cm="1">
        <f t="array" ref="Q122">H122*_xlfn.IFS(H122&lt;=350,INDEX('Pliegos Tarifarios (Quilicura)'!$F:$F,MATCH($B122,'Pliegos Tarifarios (Quilicura)'!$A:$A,0)),H122&lt;=500,INDEX('Pliegos Tarifarios (Quilicura)'!$G:$G,MATCH($B122,'Pliegos Tarifarios (Quilicura)'!$A:$A,0)),H122&lt;=1000,INDEX('Pliegos Tarifarios (Quilicura)'!$H:$H,MATCH($B122,'Pliegos Tarifarios (Quilicura)'!$A:$A,0)),H122&lt;=5000,INDEX('Pliegos Tarifarios (Quilicura)'!$I:$I,MATCH($B122,'Pliegos Tarifarios (Quilicura)'!$A:$A,0)),H122&gt;5000,INDEX('Pliegos Tarifarios (Quilicura)'!$J:$J,MATCH($B122,'Pliegos Tarifarios (Quilicura)'!$A:$A,0)))/1.19</f>
        <v>67.498512941176486</v>
      </c>
      <c r="R122" s="19">
        <f>INDEX('Pliegos Tarifarios (Quilicura)'!$K:$K,MATCH($B122,'Pliegos Tarifarios (Quilicura)'!$A:$A,0))</f>
        <v>709.36099999999999</v>
      </c>
      <c r="S122" s="21">
        <f t="shared" si="6"/>
        <v>19700.937312941172</v>
      </c>
      <c r="T122" s="21">
        <f t="shared" si="7"/>
        <v>3743.1780894588228</v>
      </c>
      <c r="U122" s="19">
        <v>0</v>
      </c>
      <c r="V122" s="21">
        <f t="shared" si="8"/>
        <v>23444.115402399995</v>
      </c>
    </row>
    <row r="123" spans="1:22" x14ac:dyDescent="0.3">
      <c r="A123" s="7" t="s">
        <v>141</v>
      </c>
      <c r="B123" s="7">
        <v>2</v>
      </c>
      <c r="C123" s="8" t="s">
        <v>186</v>
      </c>
      <c r="D123" s="7" t="s">
        <v>236</v>
      </c>
      <c r="E123" s="7" t="s">
        <v>121</v>
      </c>
      <c r="F123" s="8" t="s">
        <v>134</v>
      </c>
      <c r="G123" s="7" t="s">
        <v>30</v>
      </c>
      <c r="H123" s="9">
        <v>102.2654</v>
      </c>
      <c r="I123" s="9">
        <v>0.29920000000000002</v>
      </c>
      <c r="J123" s="9">
        <v>0.29920000000000002</v>
      </c>
      <c r="K123" s="10">
        <v>1</v>
      </c>
      <c r="L123" s="9">
        <v>3.65</v>
      </c>
      <c r="M123" s="19">
        <f>H123*INDEX('Pliegos Tarifarios (Quilicura)'!$B:$B,MATCH($B123,'Pliegos Tarifarios (Quilicura)'!$A:$A,0))</f>
        <v>12153.0156052</v>
      </c>
      <c r="N123" s="19">
        <f>I123*INDEX('Pliegos Tarifarios (Quilicura)'!$C:$C,MATCH($B123,'Pliegos Tarifarios (Quilicura)'!$A:$A,0))</f>
        <v>1026.4597552</v>
      </c>
      <c r="O123" s="19">
        <f>J123*INDEX('Pliegos Tarifarios (Quilicura)'!$D:$D,MATCH($B123,'Pliegos Tarifarios (Quilicura)'!$A:$A,0))</f>
        <v>4225.3550592000001</v>
      </c>
      <c r="P123" s="19">
        <f>H123*INDEX('Pliegos Tarifarios (Quilicura)'!$E:$E,MATCH($B123,'Pliegos Tarifarios (Quilicura)'!$A:$A,0))</f>
        <v>1322.4961528000001</v>
      </c>
      <c r="Q123" s="19" cm="1">
        <f t="array" ref="Q123">H123*_xlfn.IFS(H123&lt;=350,INDEX('Pliegos Tarifarios (Quilicura)'!$F:$F,MATCH($B123,'Pliegos Tarifarios (Quilicura)'!$A:$A,0)),H123&lt;=500,INDEX('Pliegos Tarifarios (Quilicura)'!$G:$G,MATCH($B123,'Pliegos Tarifarios (Quilicura)'!$A:$A,0)),H123&lt;=1000,INDEX('Pliegos Tarifarios (Quilicura)'!$H:$H,MATCH($B123,'Pliegos Tarifarios (Quilicura)'!$A:$A,0)),H123&lt;=5000,INDEX('Pliegos Tarifarios (Quilicura)'!$I:$I,MATCH($B123,'Pliegos Tarifarios (Quilicura)'!$A:$A,0)),H123&gt;5000,INDEX('Pliegos Tarifarios (Quilicura)'!$J:$J,MATCH($B123,'Pliegos Tarifarios (Quilicura)'!$A:$A,0)))/1.19</f>
        <v>67.374851764705895</v>
      </c>
      <c r="R123" s="19">
        <f>INDEX('Pliegos Tarifarios (Quilicura)'!$K:$K,MATCH($B123,'Pliegos Tarifarios (Quilicura)'!$A:$A,0))</f>
        <v>709.36099999999999</v>
      </c>
      <c r="S123" s="21">
        <f t="shared" si="6"/>
        <v>19504.062424164706</v>
      </c>
      <c r="T123" s="21">
        <f t="shared" si="7"/>
        <v>3705.7718605912942</v>
      </c>
      <c r="U123" s="19">
        <v>0</v>
      </c>
      <c r="V123" s="21">
        <f t="shared" si="8"/>
        <v>23209.834284755998</v>
      </c>
    </row>
    <row r="124" spans="1:22" x14ac:dyDescent="0.3">
      <c r="A124" s="7" t="s">
        <v>141</v>
      </c>
      <c r="B124" s="7">
        <v>2</v>
      </c>
      <c r="C124" s="8" t="s">
        <v>186</v>
      </c>
      <c r="D124" s="7" t="s">
        <v>237</v>
      </c>
      <c r="E124" s="7" t="s">
        <v>121</v>
      </c>
      <c r="F124" s="8" t="s">
        <v>136</v>
      </c>
      <c r="G124" s="7" t="s">
        <v>30</v>
      </c>
      <c r="H124" s="9">
        <v>102.0985</v>
      </c>
      <c r="I124" s="9">
        <v>0.30080000000000001</v>
      </c>
      <c r="J124" s="9">
        <v>0.29670000000000002</v>
      </c>
      <c r="K124" s="10">
        <v>0.9863696808510638</v>
      </c>
      <c r="L124" s="9">
        <v>3.65</v>
      </c>
      <c r="M124" s="19">
        <f>H124*INDEX('Pliegos Tarifarios (Quilicura)'!$B:$B,MATCH($B124,'Pliegos Tarifarios (Quilicura)'!$A:$A,0))</f>
        <v>12133.181542999999</v>
      </c>
      <c r="N124" s="19">
        <f>I124*INDEX('Pliegos Tarifarios (Quilicura)'!$C:$C,MATCH($B124,'Pliegos Tarifarios (Quilicura)'!$A:$A,0))</f>
        <v>1031.9488448</v>
      </c>
      <c r="O124" s="19">
        <f>J124*INDEX('Pliegos Tarifarios (Quilicura)'!$D:$D,MATCH($B124,'Pliegos Tarifarios (Quilicura)'!$A:$A,0))</f>
        <v>4190.0496192000001</v>
      </c>
      <c r="P124" s="19">
        <f>H124*INDEX('Pliegos Tarifarios (Quilicura)'!$E:$E,MATCH($B124,'Pliegos Tarifarios (Quilicura)'!$A:$A,0))</f>
        <v>1320.337802</v>
      </c>
      <c r="Q124" s="19" cm="1">
        <f t="array" ref="Q124">H124*_xlfn.IFS(H124&lt;=350,INDEX('Pliegos Tarifarios (Quilicura)'!$F:$F,MATCH($B124,'Pliegos Tarifarios (Quilicura)'!$A:$A,0)),H124&lt;=500,INDEX('Pliegos Tarifarios (Quilicura)'!$G:$G,MATCH($B124,'Pliegos Tarifarios (Quilicura)'!$A:$A,0)),H124&lt;=1000,INDEX('Pliegos Tarifarios (Quilicura)'!$H:$H,MATCH($B124,'Pliegos Tarifarios (Quilicura)'!$A:$A,0)),H124&lt;=5000,INDEX('Pliegos Tarifarios (Quilicura)'!$I:$I,MATCH($B124,'Pliegos Tarifarios (Quilicura)'!$A:$A,0)),H124&gt;5000,INDEX('Pliegos Tarifarios (Quilicura)'!$J:$J,MATCH($B124,'Pliegos Tarifarios (Quilicura)'!$A:$A,0)))/1.19</f>
        <v>67.26489411764706</v>
      </c>
      <c r="R124" s="19">
        <f>INDEX('Pliegos Tarifarios (Quilicura)'!$K:$K,MATCH($B124,'Pliegos Tarifarios (Quilicura)'!$A:$A,0))</f>
        <v>709.36099999999999</v>
      </c>
      <c r="S124" s="21">
        <f t="shared" si="6"/>
        <v>19452.143703117647</v>
      </c>
      <c r="T124" s="21">
        <f t="shared" si="7"/>
        <v>3695.9073035923529</v>
      </c>
      <c r="U124" s="19">
        <v>0</v>
      </c>
      <c r="V124" s="21">
        <f t="shared" si="8"/>
        <v>23148.05100671</v>
      </c>
    </row>
    <row r="125" spans="1:22" x14ac:dyDescent="0.3">
      <c r="A125" s="7" t="s">
        <v>141</v>
      </c>
      <c r="B125" s="7">
        <v>2</v>
      </c>
      <c r="C125" s="8" t="s">
        <v>186</v>
      </c>
      <c r="D125" s="7" t="s">
        <v>238</v>
      </c>
      <c r="E125" s="7" t="s">
        <v>121</v>
      </c>
      <c r="F125" s="8" t="s">
        <v>138</v>
      </c>
      <c r="G125" s="7" t="s">
        <v>30</v>
      </c>
      <c r="H125" s="9">
        <v>102.27249999999999</v>
      </c>
      <c r="I125" s="9">
        <v>0.30270000000000002</v>
      </c>
      <c r="J125" s="9">
        <v>0.29530000000000001</v>
      </c>
      <c r="K125" s="10">
        <v>0.97555335315493885</v>
      </c>
      <c r="L125" s="9">
        <v>3.65</v>
      </c>
      <c r="M125" s="19">
        <f>H125*INDEX('Pliegos Tarifarios (Quilicura)'!$B:$B,MATCH($B125,'Pliegos Tarifarios (Quilicura)'!$A:$A,0))</f>
        <v>12153.859354999999</v>
      </c>
      <c r="N125" s="19">
        <f>I125*INDEX('Pliegos Tarifarios (Quilicura)'!$C:$C,MATCH($B125,'Pliegos Tarifarios (Quilicura)'!$A:$A,0))</f>
        <v>1038.4671387000001</v>
      </c>
      <c r="O125" s="19">
        <f>J125*INDEX('Pliegos Tarifarios (Quilicura)'!$D:$D,MATCH($B125,'Pliegos Tarifarios (Quilicura)'!$A:$A,0))</f>
        <v>4170.2785727999999</v>
      </c>
      <c r="P125" s="19">
        <f>H125*INDEX('Pliegos Tarifarios (Quilicura)'!$E:$E,MATCH($B125,'Pliegos Tarifarios (Quilicura)'!$A:$A,0))</f>
        <v>1322.58797</v>
      </c>
      <c r="Q125" s="19" cm="1">
        <f t="array" ref="Q125">H125*_xlfn.IFS(H125&lt;=350,INDEX('Pliegos Tarifarios (Quilicura)'!$F:$F,MATCH($B125,'Pliegos Tarifarios (Quilicura)'!$A:$A,0)),H125&lt;=500,INDEX('Pliegos Tarifarios (Quilicura)'!$G:$G,MATCH($B125,'Pliegos Tarifarios (Quilicura)'!$A:$A,0)),H125&lt;=1000,INDEX('Pliegos Tarifarios (Quilicura)'!$H:$H,MATCH($B125,'Pliegos Tarifarios (Quilicura)'!$A:$A,0)),H125&lt;=5000,INDEX('Pliegos Tarifarios (Quilicura)'!$I:$I,MATCH($B125,'Pliegos Tarifarios (Quilicura)'!$A:$A,0)),H125&gt;5000,INDEX('Pliegos Tarifarios (Quilicura)'!$J:$J,MATCH($B125,'Pliegos Tarifarios (Quilicura)'!$A:$A,0)))/1.19</f>
        <v>67.379529411764707</v>
      </c>
      <c r="R125" s="19">
        <f>INDEX('Pliegos Tarifarios (Quilicura)'!$K:$K,MATCH($B125,'Pliegos Tarifarios (Quilicura)'!$A:$A,0))</f>
        <v>709.36099999999999</v>
      </c>
      <c r="S125" s="21">
        <f t="shared" si="6"/>
        <v>19461.933565911768</v>
      </c>
      <c r="T125" s="21">
        <f t="shared" si="7"/>
        <v>3697.7673775232361</v>
      </c>
      <c r="U125" s="19">
        <v>0</v>
      </c>
      <c r="V125" s="21">
        <f t="shared" si="8"/>
        <v>23159.700943435004</v>
      </c>
    </row>
    <row r="126" spans="1:22" x14ac:dyDescent="0.3">
      <c r="A126" s="7" t="s">
        <v>141</v>
      </c>
      <c r="B126" s="7">
        <v>2</v>
      </c>
      <c r="C126" s="8" t="s">
        <v>186</v>
      </c>
      <c r="D126" s="7" t="s">
        <v>239</v>
      </c>
      <c r="E126" s="7" t="s">
        <v>121</v>
      </c>
      <c r="F126" s="8" t="s">
        <v>140</v>
      </c>
      <c r="G126" s="7" t="s">
        <v>30</v>
      </c>
      <c r="H126" s="9">
        <v>102.372</v>
      </c>
      <c r="I126" s="9">
        <v>0.3085</v>
      </c>
      <c r="J126" s="9">
        <v>0.30580000000000002</v>
      </c>
      <c r="K126" s="10">
        <v>0.99124797406807141</v>
      </c>
      <c r="L126" s="9">
        <v>3.66</v>
      </c>
      <c r="M126" s="19">
        <f>H126*INDEX('Pliegos Tarifarios (Quilicura)'!$B:$B,MATCH($B126,'Pliegos Tarifarios (Quilicura)'!$A:$A,0))</f>
        <v>12165.683735999999</v>
      </c>
      <c r="N126" s="19">
        <f>I126*INDEX('Pliegos Tarifarios (Quilicura)'!$C:$C,MATCH($B126,'Pliegos Tarifarios (Quilicura)'!$A:$A,0))</f>
        <v>1058.3650885</v>
      </c>
      <c r="O126" s="19">
        <f>J126*INDEX('Pliegos Tarifarios (Quilicura)'!$D:$D,MATCH($B126,'Pliegos Tarifarios (Quilicura)'!$A:$A,0))</f>
        <v>4318.5614207999997</v>
      </c>
      <c r="P126" s="19">
        <f>H126*INDEX('Pliegos Tarifarios (Quilicura)'!$E:$E,MATCH($B126,'Pliegos Tarifarios (Quilicura)'!$A:$A,0))</f>
        <v>1323.8747040000001</v>
      </c>
      <c r="Q126" s="19" cm="1">
        <f t="array" ref="Q126">H126*_xlfn.IFS(H126&lt;=350,INDEX('Pliegos Tarifarios (Quilicura)'!$F:$F,MATCH($B126,'Pliegos Tarifarios (Quilicura)'!$A:$A,0)),H126&lt;=500,INDEX('Pliegos Tarifarios (Quilicura)'!$G:$G,MATCH($B126,'Pliegos Tarifarios (Quilicura)'!$A:$A,0)),H126&lt;=1000,INDEX('Pliegos Tarifarios (Quilicura)'!$H:$H,MATCH($B126,'Pliegos Tarifarios (Quilicura)'!$A:$A,0)),H126&lt;=5000,INDEX('Pliegos Tarifarios (Quilicura)'!$I:$I,MATCH($B126,'Pliegos Tarifarios (Quilicura)'!$A:$A,0)),H126&gt;5000,INDEX('Pliegos Tarifarios (Quilicura)'!$J:$J,MATCH($B126,'Pliegos Tarifarios (Quilicura)'!$A:$A,0)))/1.19</f>
        <v>67.445082352941185</v>
      </c>
      <c r="R126" s="19">
        <f>INDEX('Pliegos Tarifarios (Quilicura)'!$K:$K,MATCH($B126,'Pliegos Tarifarios (Quilicura)'!$A:$A,0))</f>
        <v>709.36099999999999</v>
      </c>
      <c r="S126" s="21">
        <f t="shared" si="6"/>
        <v>19643.291031652941</v>
      </c>
      <c r="T126" s="21">
        <f t="shared" si="7"/>
        <v>3732.225296014059</v>
      </c>
      <c r="U126" s="19">
        <v>0</v>
      </c>
      <c r="V126" s="21">
        <f t="shared" si="8"/>
        <v>23375.516327666999</v>
      </c>
    </row>
    <row r="127" spans="1:22" x14ac:dyDescent="0.3">
      <c r="A127" s="7" t="s">
        <v>141</v>
      </c>
      <c r="B127" s="7">
        <v>2</v>
      </c>
      <c r="C127" s="8" t="s">
        <v>186</v>
      </c>
      <c r="D127" s="7" t="s">
        <v>240</v>
      </c>
      <c r="E127" s="7" t="s">
        <v>121</v>
      </c>
      <c r="F127" s="8" t="s">
        <v>241</v>
      </c>
      <c r="G127" s="7" t="s">
        <v>30</v>
      </c>
      <c r="H127" s="9">
        <v>102.1872</v>
      </c>
      <c r="I127" s="9">
        <v>0.30209999999999998</v>
      </c>
      <c r="J127" s="9">
        <v>0.2984</v>
      </c>
      <c r="K127" s="10">
        <v>0.98775239986759356</v>
      </c>
      <c r="L127" s="9">
        <v>3.65</v>
      </c>
      <c r="M127" s="19">
        <f>H127*INDEX('Pliegos Tarifarios (Quilicura)'!$B:$B,MATCH($B127,'Pliegos Tarifarios (Quilicura)'!$A:$A,0))</f>
        <v>12143.722473600001</v>
      </c>
      <c r="N127" s="19">
        <f>I127*INDEX('Pliegos Tarifarios (Quilicura)'!$C:$C,MATCH($B127,'Pliegos Tarifarios (Quilicura)'!$A:$A,0))</f>
        <v>1036.4087301</v>
      </c>
      <c r="O127" s="19">
        <f>J127*INDEX('Pliegos Tarifarios (Quilicura)'!$D:$D,MATCH($B127,'Pliegos Tarifarios (Quilicura)'!$A:$A,0))</f>
        <v>4214.0573183999995</v>
      </c>
      <c r="P127" s="19">
        <f>H127*INDEX('Pliegos Tarifarios (Quilicura)'!$E:$E,MATCH($B127,'Pliegos Tarifarios (Quilicura)'!$A:$A,0))</f>
        <v>1321.4848704000001</v>
      </c>
      <c r="Q127" s="19" cm="1">
        <f t="array" ref="Q127">H127*_xlfn.IFS(H127&lt;=350,INDEX('Pliegos Tarifarios (Quilicura)'!$F:$F,MATCH($B127,'Pliegos Tarifarios (Quilicura)'!$A:$A,0)),H127&lt;=500,INDEX('Pliegos Tarifarios (Quilicura)'!$G:$G,MATCH($B127,'Pliegos Tarifarios (Quilicura)'!$A:$A,0)),H127&lt;=1000,INDEX('Pliegos Tarifarios (Quilicura)'!$H:$H,MATCH($B127,'Pliegos Tarifarios (Quilicura)'!$A:$A,0)),H127&lt;=5000,INDEX('Pliegos Tarifarios (Quilicura)'!$I:$I,MATCH($B127,'Pliegos Tarifarios (Quilicura)'!$A:$A,0)),H127&gt;5000,INDEX('Pliegos Tarifarios (Quilicura)'!$J:$J,MATCH($B127,'Pliegos Tarifarios (Quilicura)'!$A:$A,0)))/1.19</f>
        <v>67.323331764705884</v>
      </c>
      <c r="R127" s="19">
        <f>INDEX('Pliegos Tarifarios (Quilicura)'!$K:$K,MATCH($B127,'Pliegos Tarifarios (Quilicura)'!$A:$A,0))</f>
        <v>709.36099999999999</v>
      </c>
      <c r="S127" s="21">
        <f t="shared" si="6"/>
        <v>19492.357724264708</v>
      </c>
      <c r="T127" s="21">
        <f t="shared" si="7"/>
        <v>3703.5479676102946</v>
      </c>
      <c r="U127" s="19">
        <v>0</v>
      </c>
      <c r="V127" s="21">
        <f t="shared" si="8"/>
        <v>23195.905691875003</v>
      </c>
    </row>
    <row r="128" spans="1:22" x14ac:dyDescent="0.3">
      <c r="A128" s="7" t="s">
        <v>141</v>
      </c>
      <c r="B128" s="7">
        <v>2</v>
      </c>
      <c r="C128" s="8" t="s">
        <v>186</v>
      </c>
      <c r="D128" s="7" t="s">
        <v>242</v>
      </c>
      <c r="E128" s="7" t="s">
        <v>121</v>
      </c>
      <c r="F128" s="8" t="s">
        <v>243</v>
      </c>
      <c r="G128" s="7" t="s">
        <v>30</v>
      </c>
      <c r="H128" s="9">
        <v>102.4</v>
      </c>
      <c r="I128" s="9">
        <v>0.30559999999999998</v>
      </c>
      <c r="J128" s="9">
        <v>0.30559999999999998</v>
      </c>
      <c r="K128" s="10">
        <v>1</v>
      </c>
      <c r="L128" s="9">
        <v>3.66</v>
      </c>
      <c r="M128" s="19">
        <f>H128*INDEX('Pliegos Tarifarios (Quilicura)'!$B:$B,MATCH($B128,'Pliegos Tarifarios (Quilicura)'!$A:$A,0))</f>
        <v>12169.011200000001</v>
      </c>
      <c r="N128" s="19">
        <f>I128*INDEX('Pliegos Tarifarios (Quilicura)'!$C:$C,MATCH($B128,'Pliegos Tarifarios (Quilicura)'!$A:$A,0))</f>
        <v>1048.4161136</v>
      </c>
      <c r="O128" s="19">
        <f>J128*INDEX('Pliegos Tarifarios (Quilicura)'!$D:$D,MATCH($B128,'Pliegos Tarifarios (Quilicura)'!$A:$A,0))</f>
        <v>4315.7369855999996</v>
      </c>
      <c r="P128" s="19">
        <f>H128*INDEX('Pliegos Tarifarios (Quilicura)'!$E:$E,MATCH($B128,'Pliegos Tarifarios (Quilicura)'!$A:$A,0))</f>
        <v>1324.2368000000001</v>
      </c>
      <c r="Q128" s="19" cm="1">
        <f t="array" ref="Q128">H128*_xlfn.IFS(H128&lt;=350,INDEX('Pliegos Tarifarios (Quilicura)'!$F:$F,MATCH($B128,'Pliegos Tarifarios (Quilicura)'!$A:$A,0)),H128&lt;=500,INDEX('Pliegos Tarifarios (Quilicura)'!$G:$G,MATCH($B128,'Pliegos Tarifarios (Quilicura)'!$A:$A,0)),H128&lt;=1000,INDEX('Pliegos Tarifarios (Quilicura)'!$H:$H,MATCH($B128,'Pliegos Tarifarios (Quilicura)'!$A:$A,0)),H128&lt;=5000,INDEX('Pliegos Tarifarios (Quilicura)'!$I:$I,MATCH($B128,'Pliegos Tarifarios (Quilicura)'!$A:$A,0)),H128&gt;5000,INDEX('Pliegos Tarifarios (Quilicura)'!$J:$J,MATCH($B128,'Pliegos Tarifarios (Quilicura)'!$A:$A,0)))/1.19</f>
        <v>67.463529411764725</v>
      </c>
      <c r="R128" s="19">
        <f>INDEX('Pliegos Tarifarios (Quilicura)'!$K:$K,MATCH($B128,'Pliegos Tarifarios (Quilicura)'!$A:$A,0))</f>
        <v>709.36099999999999</v>
      </c>
      <c r="S128" s="21">
        <f t="shared" si="6"/>
        <v>19634.225628611766</v>
      </c>
      <c r="T128" s="21">
        <f t="shared" si="7"/>
        <v>3730.5028694362354</v>
      </c>
      <c r="U128" s="19">
        <v>0</v>
      </c>
      <c r="V128" s="21">
        <f t="shared" si="8"/>
        <v>23364.728498048004</v>
      </c>
    </row>
    <row r="129" spans="1:22" x14ac:dyDescent="0.3">
      <c r="A129" s="7" t="s">
        <v>141</v>
      </c>
      <c r="B129" s="7">
        <v>2</v>
      </c>
      <c r="C129" s="8" t="s">
        <v>186</v>
      </c>
      <c r="D129" s="7" t="s">
        <v>244</v>
      </c>
      <c r="E129" s="7" t="s">
        <v>121</v>
      </c>
      <c r="F129" s="8" t="s">
        <v>245</v>
      </c>
      <c r="G129" s="7" t="s">
        <v>30</v>
      </c>
      <c r="H129" s="9">
        <v>102.06699999999999</v>
      </c>
      <c r="I129" s="9">
        <v>0.30249999999999999</v>
      </c>
      <c r="J129" s="9">
        <v>0.29339999999999999</v>
      </c>
      <c r="K129" s="10">
        <v>0.96991735537190082</v>
      </c>
      <c r="L129" s="9">
        <v>3.65</v>
      </c>
      <c r="M129" s="19">
        <f>H129*INDEX('Pliegos Tarifarios (Quilicura)'!$B:$B,MATCH($B129,'Pliegos Tarifarios (Quilicura)'!$A:$A,0))</f>
        <v>12129.438145999999</v>
      </c>
      <c r="N129" s="19">
        <f>I129*INDEX('Pliegos Tarifarios (Quilicura)'!$C:$C,MATCH($B129,'Pliegos Tarifarios (Quilicura)'!$A:$A,0))</f>
        <v>1037.7810024999999</v>
      </c>
      <c r="O129" s="19">
        <f>J129*INDEX('Pliegos Tarifarios (Quilicura)'!$D:$D,MATCH($B129,'Pliegos Tarifarios (Quilicura)'!$A:$A,0))</f>
        <v>4143.4464383999994</v>
      </c>
      <c r="P129" s="19">
        <f>H129*INDEX('Pliegos Tarifarios (Quilicura)'!$E:$E,MATCH($B129,'Pliegos Tarifarios (Quilicura)'!$A:$A,0))</f>
        <v>1319.9304439999999</v>
      </c>
      <c r="Q129" s="19" cm="1">
        <f t="array" ref="Q129">H129*_xlfn.IFS(H129&lt;=350,INDEX('Pliegos Tarifarios (Quilicura)'!$F:$F,MATCH($B129,'Pliegos Tarifarios (Quilicura)'!$A:$A,0)),H129&lt;=500,INDEX('Pliegos Tarifarios (Quilicura)'!$G:$G,MATCH($B129,'Pliegos Tarifarios (Quilicura)'!$A:$A,0)),H129&lt;=1000,INDEX('Pliegos Tarifarios (Quilicura)'!$H:$H,MATCH($B129,'Pliegos Tarifarios (Quilicura)'!$A:$A,0)),H129&lt;=5000,INDEX('Pliegos Tarifarios (Quilicura)'!$I:$I,MATCH($B129,'Pliegos Tarifarios (Quilicura)'!$A:$A,0)),H129&gt;5000,INDEX('Pliegos Tarifarios (Quilicura)'!$J:$J,MATCH($B129,'Pliegos Tarifarios (Quilicura)'!$A:$A,0)))/1.19</f>
        <v>67.244141176470592</v>
      </c>
      <c r="R129" s="19">
        <f>INDEX('Pliegos Tarifarios (Quilicura)'!$K:$K,MATCH($B129,'Pliegos Tarifarios (Quilicura)'!$A:$A,0))</f>
        <v>709.36099999999999</v>
      </c>
      <c r="S129" s="21">
        <f t="shared" si="6"/>
        <v>19407.201172076471</v>
      </c>
      <c r="T129" s="21">
        <f t="shared" si="7"/>
        <v>3687.3682226945298</v>
      </c>
      <c r="U129" s="19">
        <v>0</v>
      </c>
      <c r="V129" s="21">
        <f t="shared" si="8"/>
        <v>23094.569394771002</v>
      </c>
    </row>
    <row r="130" spans="1:22" x14ac:dyDescent="0.3">
      <c r="A130" s="7" t="s">
        <v>141</v>
      </c>
      <c r="B130" s="7">
        <v>2</v>
      </c>
      <c r="C130" s="8" t="s">
        <v>186</v>
      </c>
      <c r="D130" s="7" t="s">
        <v>246</v>
      </c>
      <c r="E130" s="7" t="s">
        <v>121</v>
      </c>
      <c r="F130" s="8" t="s">
        <v>247</v>
      </c>
      <c r="G130" s="7" t="s">
        <v>30</v>
      </c>
      <c r="H130" s="9">
        <v>102.5331</v>
      </c>
      <c r="I130" s="9">
        <v>0.308</v>
      </c>
      <c r="J130" s="9">
        <v>0.29980000000000001</v>
      </c>
      <c r="K130" s="10">
        <v>0.97337662337662345</v>
      </c>
      <c r="L130" s="9">
        <v>3.66</v>
      </c>
      <c r="M130" s="19">
        <f>H130*INDEX('Pliegos Tarifarios (Quilicura)'!$B:$B,MATCH($B130,'Pliegos Tarifarios (Quilicura)'!$A:$A,0))</f>
        <v>12184.8285378</v>
      </c>
      <c r="N130" s="19">
        <f>I130*INDEX('Pliegos Tarifarios (Quilicura)'!$C:$C,MATCH($B130,'Pliegos Tarifarios (Quilicura)'!$A:$A,0))</f>
        <v>1056.649748</v>
      </c>
      <c r="O130" s="19">
        <f>J130*INDEX('Pliegos Tarifarios (Quilicura)'!$D:$D,MATCH($B130,'Pliegos Tarifarios (Quilicura)'!$A:$A,0))</f>
        <v>4233.8283647999997</v>
      </c>
      <c r="P130" s="19">
        <f>H130*INDEX('Pliegos Tarifarios (Quilicura)'!$E:$E,MATCH($B130,'Pliegos Tarifarios (Quilicura)'!$A:$A,0))</f>
        <v>1325.9580492</v>
      </c>
      <c r="Q130" s="19" cm="1">
        <f t="array" ref="Q130">H130*_xlfn.IFS(H130&lt;=350,INDEX('Pliegos Tarifarios (Quilicura)'!$F:$F,MATCH($B130,'Pliegos Tarifarios (Quilicura)'!$A:$A,0)),H130&lt;=500,INDEX('Pliegos Tarifarios (Quilicura)'!$G:$G,MATCH($B130,'Pliegos Tarifarios (Quilicura)'!$A:$A,0)),H130&lt;=1000,INDEX('Pliegos Tarifarios (Quilicura)'!$H:$H,MATCH($B130,'Pliegos Tarifarios (Quilicura)'!$A:$A,0)),H130&lt;=5000,INDEX('Pliegos Tarifarios (Quilicura)'!$I:$I,MATCH($B130,'Pliegos Tarifarios (Quilicura)'!$A:$A,0)),H130&gt;5000,INDEX('Pliegos Tarifarios (Quilicura)'!$J:$J,MATCH($B130,'Pliegos Tarifarios (Quilicura)'!$A:$A,0)))/1.19</f>
        <v>67.551218823529425</v>
      </c>
      <c r="R130" s="19">
        <f>INDEX('Pliegos Tarifarios (Quilicura)'!$K:$K,MATCH($B130,'Pliegos Tarifarios (Quilicura)'!$A:$A,0))</f>
        <v>709.36099999999999</v>
      </c>
      <c r="S130" s="21">
        <f t="shared" si="6"/>
        <v>19578.176918623529</v>
      </c>
      <c r="T130" s="21">
        <f t="shared" si="7"/>
        <v>3719.8536145384705</v>
      </c>
      <c r="U130" s="19">
        <v>0</v>
      </c>
      <c r="V130" s="21">
        <f t="shared" si="8"/>
        <v>23298.030533162</v>
      </c>
    </row>
    <row r="131" spans="1:22" x14ac:dyDescent="0.3">
      <c r="A131" s="7" t="s">
        <v>141</v>
      </c>
      <c r="B131" s="7">
        <v>2</v>
      </c>
      <c r="C131" s="8" t="s">
        <v>186</v>
      </c>
      <c r="D131" s="7" t="s">
        <v>248</v>
      </c>
      <c r="E131" s="7" t="s">
        <v>121</v>
      </c>
      <c r="F131" s="8" t="s">
        <v>249</v>
      </c>
      <c r="G131" s="7" t="s">
        <v>30</v>
      </c>
      <c r="H131" s="9">
        <v>102.5125</v>
      </c>
      <c r="I131" s="9">
        <v>0.30480000000000002</v>
      </c>
      <c r="J131" s="9">
        <v>0.29509999999999997</v>
      </c>
      <c r="K131" s="10">
        <v>0.96817585301837261</v>
      </c>
      <c r="L131" s="9">
        <v>3.66</v>
      </c>
      <c r="M131" s="19">
        <f>H131*INDEX('Pliegos Tarifarios (Quilicura)'!$B:$B,MATCH($B131,'Pliegos Tarifarios (Quilicura)'!$A:$A,0))</f>
        <v>12182.380475</v>
      </c>
      <c r="N131" s="19">
        <f>I131*INDEX('Pliegos Tarifarios (Quilicura)'!$C:$C,MATCH($B131,'Pliegos Tarifarios (Quilicura)'!$A:$A,0))</f>
        <v>1045.6715688000002</v>
      </c>
      <c r="O131" s="19">
        <f>J131*INDEX('Pliegos Tarifarios (Quilicura)'!$D:$D,MATCH($B131,'Pliegos Tarifarios (Quilicura)'!$A:$A,0))</f>
        <v>4167.4541375999997</v>
      </c>
      <c r="P131" s="19">
        <f>H131*INDEX('Pliegos Tarifarios (Quilicura)'!$E:$E,MATCH($B131,'Pliegos Tarifarios (Quilicura)'!$A:$A,0))</f>
        <v>1325.69165</v>
      </c>
      <c r="Q131" s="19" cm="1">
        <f t="array" ref="Q131">H131*_xlfn.IFS(H131&lt;=350,INDEX('Pliegos Tarifarios (Quilicura)'!$F:$F,MATCH($B131,'Pliegos Tarifarios (Quilicura)'!$A:$A,0)),H131&lt;=500,INDEX('Pliegos Tarifarios (Quilicura)'!$G:$G,MATCH($B131,'Pliegos Tarifarios (Quilicura)'!$A:$A,0)),H131&lt;=1000,INDEX('Pliegos Tarifarios (Quilicura)'!$H:$H,MATCH($B131,'Pliegos Tarifarios (Quilicura)'!$A:$A,0)),H131&lt;=5000,INDEX('Pliegos Tarifarios (Quilicura)'!$I:$I,MATCH($B131,'Pliegos Tarifarios (Quilicura)'!$A:$A,0)),H131&gt;5000,INDEX('Pliegos Tarifarios (Quilicura)'!$J:$J,MATCH($B131,'Pliegos Tarifarios (Quilicura)'!$A:$A,0)))/1.19</f>
        <v>67.537647058823538</v>
      </c>
      <c r="R131" s="19">
        <f>INDEX('Pliegos Tarifarios (Quilicura)'!$K:$K,MATCH($B131,'Pliegos Tarifarios (Quilicura)'!$A:$A,0))</f>
        <v>709.36099999999999</v>
      </c>
      <c r="S131" s="21">
        <f t="shared" si="6"/>
        <v>19498.096478458825</v>
      </c>
      <c r="T131" s="21">
        <f t="shared" si="7"/>
        <v>3704.6383309071766</v>
      </c>
      <c r="U131" s="19">
        <v>0</v>
      </c>
      <c r="V131" s="21">
        <f t="shared" si="8"/>
        <v>23202.734809366</v>
      </c>
    </row>
    <row r="132" spans="1:22" x14ac:dyDescent="0.3">
      <c r="A132" s="7" t="s">
        <v>141</v>
      </c>
      <c r="B132" s="7">
        <v>2</v>
      </c>
      <c r="C132" s="8" t="s">
        <v>186</v>
      </c>
      <c r="D132" s="7" t="s">
        <v>250</v>
      </c>
      <c r="E132" s="7" t="s">
        <v>121</v>
      </c>
      <c r="F132" s="8" t="s">
        <v>251</v>
      </c>
      <c r="G132" s="7" t="s">
        <v>30</v>
      </c>
      <c r="H132" s="9">
        <v>102.2655</v>
      </c>
      <c r="I132" s="9">
        <v>0.29920000000000002</v>
      </c>
      <c r="J132" s="9">
        <v>0.29920000000000002</v>
      </c>
      <c r="K132" s="10">
        <v>1</v>
      </c>
      <c r="L132" s="9">
        <v>3.65</v>
      </c>
      <c r="M132" s="19">
        <f>H132*INDEX('Pliegos Tarifarios (Quilicura)'!$B:$B,MATCH($B132,'Pliegos Tarifarios (Quilicura)'!$A:$A,0))</f>
        <v>12153.027489</v>
      </c>
      <c r="N132" s="19">
        <f>I132*INDEX('Pliegos Tarifarios (Quilicura)'!$C:$C,MATCH($B132,'Pliegos Tarifarios (Quilicura)'!$A:$A,0))</f>
        <v>1026.4597552</v>
      </c>
      <c r="O132" s="19">
        <f>J132*INDEX('Pliegos Tarifarios (Quilicura)'!$D:$D,MATCH($B132,'Pliegos Tarifarios (Quilicura)'!$A:$A,0))</f>
        <v>4225.3550592000001</v>
      </c>
      <c r="P132" s="19">
        <f>H132*INDEX('Pliegos Tarifarios (Quilicura)'!$E:$E,MATCH($B132,'Pliegos Tarifarios (Quilicura)'!$A:$A,0))</f>
        <v>1322.4974460000001</v>
      </c>
      <c r="Q132" s="19" cm="1">
        <f t="array" ref="Q132">H132*_xlfn.IFS(H132&lt;=350,INDEX('Pliegos Tarifarios (Quilicura)'!$F:$F,MATCH($B132,'Pliegos Tarifarios (Quilicura)'!$A:$A,0)),H132&lt;=500,INDEX('Pliegos Tarifarios (Quilicura)'!$G:$G,MATCH($B132,'Pliegos Tarifarios (Quilicura)'!$A:$A,0)),H132&lt;=1000,INDEX('Pliegos Tarifarios (Quilicura)'!$H:$H,MATCH($B132,'Pliegos Tarifarios (Quilicura)'!$A:$A,0)),H132&lt;=5000,INDEX('Pliegos Tarifarios (Quilicura)'!$I:$I,MATCH($B132,'Pliegos Tarifarios (Quilicura)'!$A:$A,0)),H132&gt;5000,INDEX('Pliegos Tarifarios (Quilicura)'!$J:$J,MATCH($B132,'Pliegos Tarifarios (Quilicura)'!$A:$A,0)))/1.19</f>
        <v>67.374917647058822</v>
      </c>
      <c r="R132" s="19">
        <f>INDEX('Pliegos Tarifarios (Quilicura)'!$K:$K,MATCH($B132,'Pliegos Tarifarios (Quilicura)'!$A:$A,0))</f>
        <v>709.36099999999999</v>
      </c>
      <c r="S132" s="21">
        <f t="shared" si="6"/>
        <v>19504.075667047062</v>
      </c>
      <c r="T132" s="21">
        <f t="shared" si="7"/>
        <v>3705.774376738942</v>
      </c>
      <c r="U132" s="19">
        <v>0</v>
      </c>
      <c r="V132" s="21">
        <f t="shared" si="8"/>
        <v>23209.850043786006</v>
      </c>
    </row>
    <row r="133" spans="1:22" x14ac:dyDescent="0.3">
      <c r="A133" s="7" t="s">
        <v>141</v>
      </c>
      <c r="B133" s="7">
        <v>2</v>
      </c>
      <c r="C133" s="8" t="s">
        <v>186</v>
      </c>
      <c r="D133" s="7" t="s">
        <v>252</v>
      </c>
      <c r="E133" s="7" t="s">
        <v>121</v>
      </c>
      <c r="F133" s="8" t="s">
        <v>253</v>
      </c>
      <c r="G133" s="7" t="s">
        <v>30</v>
      </c>
      <c r="H133" s="9">
        <v>102.3599</v>
      </c>
      <c r="I133" s="9">
        <v>0.3095</v>
      </c>
      <c r="J133" s="9">
        <v>0.29799999999999999</v>
      </c>
      <c r="K133" s="10">
        <v>0.96284329563812598</v>
      </c>
      <c r="L133" s="9">
        <v>3.66</v>
      </c>
      <c r="M133" s="19">
        <f>H133*INDEX('Pliegos Tarifarios (Quilicura)'!$B:$B,MATCH($B133,'Pliegos Tarifarios (Quilicura)'!$A:$A,0))</f>
        <v>12164.245796199999</v>
      </c>
      <c r="N133" s="19">
        <f>I133*INDEX('Pliegos Tarifarios (Quilicura)'!$C:$C,MATCH($B133,'Pliegos Tarifarios (Quilicura)'!$A:$A,0))</f>
        <v>1061.7957695</v>
      </c>
      <c r="O133" s="19">
        <f>J133*INDEX('Pliegos Tarifarios (Quilicura)'!$D:$D,MATCH($B133,'Pliegos Tarifarios (Quilicura)'!$A:$A,0))</f>
        <v>4208.4084479999992</v>
      </c>
      <c r="P133" s="19">
        <f>H133*INDEX('Pliegos Tarifarios (Quilicura)'!$E:$E,MATCH($B133,'Pliegos Tarifarios (Quilicura)'!$A:$A,0))</f>
        <v>1323.7182267999999</v>
      </c>
      <c r="Q133" s="19" cm="1">
        <f t="array" ref="Q133">H133*_xlfn.IFS(H133&lt;=350,INDEX('Pliegos Tarifarios (Quilicura)'!$F:$F,MATCH($B133,'Pliegos Tarifarios (Quilicura)'!$A:$A,0)),H133&lt;=500,INDEX('Pliegos Tarifarios (Quilicura)'!$G:$G,MATCH($B133,'Pliegos Tarifarios (Quilicura)'!$A:$A,0)),H133&lt;=1000,INDEX('Pliegos Tarifarios (Quilicura)'!$H:$H,MATCH($B133,'Pliegos Tarifarios (Quilicura)'!$A:$A,0)),H133&lt;=5000,INDEX('Pliegos Tarifarios (Quilicura)'!$I:$I,MATCH($B133,'Pliegos Tarifarios (Quilicura)'!$A:$A,0)),H133&gt;5000,INDEX('Pliegos Tarifarios (Quilicura)'!$J:$J,MATCH($B133,'Pliegos Tarifarios (Quilicura)'!$A:$A,0)))/1.19</f>
        <v>67.437110588235299</v>
      </c>
      <c r="R133" s="19">
        <f>INDEX('Pliegos Tarifarios (Quilicura)'!$K:$K,MATCH($B133,'Pliegos Tarifarios (Quilicura)'!$A:$A,0))</f>
        <v>709.36099999999999</v>
      </c>
      <c r="S133" s="21">
        <f t="shared" si="6"/>
        <v>19534.966351088235</v>
      </c>
      <c r="T133" s="21">
        <f t="shared" si="7"/>
        <v>3711.6436067067648</v>
      </c>
      <c r="U133" s="19">
        <v>0</v>
      </c>
      <c r="V133" s="21">
        <f t="shared" si="8"/>
        <v>23246.609957795001</v>
      </c>
    </row>
    <row r="134" spans="1:22" x14ac:dyDescent="0.3">
      <c r="A134" s="7" t="s">
        <v>141</v>
      </c>
      <c r="B134" s="7">
        <v>2</v>
      </c>
      <c r="C134" s="8" t="s">
        <v>186</v>
      </c>
      <c r="D134" s="7" t="s">
        <v>254</v>
      </c>
      <c r="E134" s="7" t="s">
        <v>121</v>
      </c>
      <c r="F134" s="8" t="s">
        <v>255</v>
      </c>
      <c r="G134" s="7" t="s">
        <v>30</v>
      </c>
      <c r="H134" s="9">
        <v>102.25579999999999</v>
      </c>
      <c r="I134" s="9">
        <v>0.30890000000000001</v>
      </c>
      <c r="J134" s="9">
        <v>0.30399999999999999</v>
      </c>
      <c r="K134" s="10">
        <v>0.98413726124959533</v>
      </c>
      <c r="L134" s="9">
        <v>3.65</v>
      </c>
      <c r="M134" s="19">
        <f>H134*INDEX('Pliegos Tarifarios (Quilicura)'!$B:$B,MATCH($B134,'Pliegos Tarifarios (Quilicura)'!$A:$A,0))</f>
        <v>12151.874760399998</v>
      </c>
      <c r="N134" s="19">
        <f>I134*INDEX('Pliegos Tarifarios (Quilicura)'!$C:$C,MATCH($B134,'Pliegos Tarifarios (Quilicura)'!$A:$A,0))</f>
        <v>1059.7373609000001</v>
      </c>
      <c r="O134" s="19">
        <f>J134*INDEX('Pliegos Tarifarios (Quilicura)'!$D:$D,MATCH($B134,'Pliegos Tarifarios (Quilicura)'!$A:$A,0))</f>
        <v>4293.1415040000002</v>
      </c>
      <c r="P134" s="19">
        <f>H134*INDEX('Pliegos Tarifarios (Quilicura)'!$E:$E,MATCH($B134,'Pliegos Tarifarios (Quilicura)'!$A:$A,0))</f>
        <v>1322.3720056</v>
      </c>
      <c r="Q134" s="19" cm="1">
        <f t="array" ref="Q134">H134*_xlfn.IFS(H134&lt;=350,INDEX('Pliegos Tarifarios (Quilicura)'!$F:$F,MATCH($B134,'Pliegos Tarifarios (Quilicura)'!$A:$A,0)),H134&lt;=500,INDEX('Pliegos Tarifarios (Quilicura)'!$G:$G,MATCH($B134,'Pliegos Tarifarios (Quilicura)'!$A:$A,0)),H134&lt;=1000,INDEX('Pliegos Tarifarios (Quilicura)'!$H:$H,MATCH($B134,'Pliegos Tarifarios (Quilicura)'!$A:$A,0)),H134&lt;=5000,INDEX('Pliegos Tarifarios (Quilicura)'!$I:$I,MATCH($B134,'Pliegos Tarifarios (Quilicura)'!$A:$A,0)),H134&gt;5000,INDEX('Pliegos Tarifarios (Quilicura)'!$J:$J,MATCH($B134,'Pliegos Tarifarios (Quilicura)'!$A:$A,0)))/1.19</f>
        <v>67.368527058823531</v>
      </c>
      <c r="R134" s="19">
        <f>INDEX('Pliegos Tarifarios (Quilicura)'!$K:$K,MATCH($B134,'Pliegos Tarifarios (Quilicura)'!$A:$A,0))</f>
        <v>709.36099999999999</v>
      </c>
      <c r="S134" s="21">
        <f t="shared" si="6"/>
        <v>19603.855157958824</v>
      </c>
      <c r="T134" s="21">
        <f t="shared" si="7"/>
        <v>3724.7324800121764</v>
      </c>
      <c r="U134" s="19">
        <v>0</v>
      </c>
      <c r="V134" s="21">
        <f t="shared" si="8"/>
        <v>23328.587637970999</v>
      </c>
    </row>
    <row r="135" spans="1:22" x14ac:dyDescent="0.3">
      <c r="A135" s="7" t="s">
        <v>141</v>
      </c>
      <c r="B135" s="7">
        <v>2</v>
      </c>
      <c r="C135" s="8" t="s">
        <v>186</v>
      </c>
      <c r="D135" s="7" t="s">
        <v>256</v>
      </c>
      <c r="E135" s="7" t="s">
        <v>121</v>
      </c>
      <c r="F135" s="8" t="s">
        <v>257</v>
      </c>
      <c r="G135" s="7" t="s">
        <v>30</v>
      </c>
      <c r="H135" s="9">
        <v>102.2946</v>
      </c>
      <c r="I135" s="9">
        <v>0.30780000000000002</v>
      </c>
      <c r="J135" s="9">
        <v>0.30059999999999998</v>
      </c>
      <c r="K135" s="10">
        <v>0.97660818713450281</v>
      </c>
      <c r="L135" s="9">
        <v>3.65</v>
      </c>
      <c r="M135" s="19">
        <f>H135*INDEX('Pliegos Tarifarios (Quilicura)'!$B:$B,MATCH($B135,'Pliegos Tarifarios (Quilicura)'!$A:$A,0))</f>
        <v>12156.4856748</v>
      </c>
      <c r="N135" s="19">
        <f>I135*INDEX('Pliegos Tarifarios (Quilicura)'!$C:$C,MATCH($B135,'Pliegos Tarifarios (Quilicura)'!$A:$A,0))</f>
        <v>1055.9636118000001</v>
      </c>
      <c r="O135" s="19">
        <f>J135*INDEX('Pliegos Tarifarios (Quilicura)'!$D:$D,MATCH($B135,'Pliegos Tarifarios (Quilicura)'!$A:$A,0))</f>
        <v>4245.1261055999994</v>
      </c>
      <c r="P135" s="19">
        <f>H135*INDEX('Pliegos Tarifarios (Quilicura)'!$E:$E,MATCH($B135,'Pliegos Tarifarios (Quilicura)'!$A:$A,0))</f>
        <v>1322.8737672</v>
      </c>
      <c r="Q135" s="19" cm="1">
        <f t="array" ref="Q135">H135*_xlfn.IFS(H135&lt;=350,INDEX('Pliegos Tarifarios (Quilicura)'!$F:$F,MATCH($B135,'Pliegos Tarifarios (Quilicura)'!$A:$A,0)),H135&lt;=500,INDEX('Pliegos Tarifarios (Quilicura)'!$G:$G,MATCH($B135,'Pliegos Tarifarios (Quilicura)'!$A:$A,0)),H135&lt;=1000,INDEX('Pliegos Tarifarios (Quilicura)'!$H:$H,MATCH($B135,'Pliegos Tarifarios (Quilicura)'!$A:$A,0)),H135&lt;=5000,INDEX('Pliegos Tarifarios (Quilicura)'!$I:$I,MATCH($B135,'Pliegos Tarifarios (Quilicura)'!$A:$A,0)),H135&gt;5000,INDEX('Pliegos Tarifarios (Quilicura)'!$J:$J,MATCH($B135,'Pliegos Tarifarios (Quilicura)'!$A:$A,0)))/1.19</f>
        <v>67.39408941176471</v>
      </c>
      <c r="R135" s="19">
        <f>INDEX('Pliegos Tarifarios (Quilicura)'!$K:$K,MATCH($B135,'Pliegos Tarifarios (Quilicura)'!$A:$A,0))</f>
        <v>709.36099999999999</v>
      </c>
      <c r="S135" s="21">
        <f t="shared" si="6"/>
        <v>19557.204248811766</v>
      </c>
      <c r="T135" s="21">
        <f t="shared" si="7"/>
        <v>3715.8688072742357</v>
      </c>
      <c r="U135" s="19">
        <v>0</v>
      </c>
      <c r="V135" s="21">
        <f t="shared" si="8"/>
        <v>23273.073056086003</v>
      </c>
    </row>
    <row r="136" spans="1:22" x14ac:dyDescent="0.3">
      <c r="A136" s="7" t="s">
        <v>141</v>
      </c>
      <c r="B136" s="7">
        <v>2</v>
      </c>
      <c r="C136" s="8" t="s">
        <v>186</v>
      </c>
      <c r="D136" s="7" t="s">
        <v>258</v>
      </c>
      <c r="E136" s="7" t="s">
        <v>121</v>
      </c>
      <c r="F136" s="8" t="s">
        <v>259</v>
      </c>
      <c r="G136" s="7" t="s">
        <v>30</v>
      </c>
      <c r="H136" s="9">
        <v>102.24290000000001</v>
      </c>
      <c r="I136" s="9">
        <v>0.31459999999999999</v>
      </c>
      <c r="J136" s="9">
        <v>0.29930000000000001</v>
      </c>
      <c r="K136" s="10">
        <v>0.95136681500317866</v>
      </c>
      <c r="L136" s="9">
        <v>3.65</v>
      </c>
      <c r="M136" s="19">
        <f>H136*INDEX('Pliegos Tarifarios (Quilicura)'!$B:$B,MATCH($B136,'Pliegos Tarifarios (Quilicura)'!$A:$A,0))</f>
        <v>12150.341750199999</v>
      </c>
      <c r="N136" s="19">
        <f>I136*INDEX('Pliegos Tarifarios (Quilicura)'!$C:$C,MATCH($B136,'Pliegos Tarifarios (Quilicura)'!$A:$A,0))</f>
        <v>1079.2922426</v>
      </c>
      <c r="O136" s="19">
        <f>J136*INDEX('Pliegos Tarifarios (Quilicura)'!$D:$D,MATCH($B136,'Pliegos Tarifarios (Quilicura)'!$A:$A,0))</f>
        <v>4226.7672768000002</v>
      </c>
      <c r="P136" s="19">
        <f>H136*INDEX('Pliegos Tarifarios (Quilicura)'!$E:$E,MATCH($B136,'Pliegos Tarifarios (Quilicura)'!$A:$A,0))</f>
        <v>1322.2051828000001</v>
      </c>
      <c r="Q136" s="19" cm="1">
        <f t="array" ref="Q136">H136*_xlfn.IFS(H136&lt;=350,INDEX('Pliegos Tarifarios (Quilicura)'!$F:$F,MATCH($B136,'Pliegos Tarifarios (Quilicura)'!$A:$A,0)),H136&lt;=500,INDEX('Pliegos Tarifarios (Quilicura)'!$G:$G,MATCH($B136,'Pliegos Tarifarios (Quilicura)'!$A:$A,0)),H136&lt;=1000,INDEX('Pliegos Tarifarios (Quilicura)'!$H:$H,MATCH($B136,'Pliegos Tarifarios (Quilicura)'!$A:$A,0)),H136&lt;=5000,INDEX('Pliegos Tarifarios (Quilicura)'!$I:$I,MATCH($B136,'Pliegos Tarifarios (Quilicura)'!$A:$A,0)),H136&gt;5000,INDEX('Pliegos Tarifarios (Quilicura)'!$J:$J,MATCH($B136,'Pliegos Tarifarios (Quilicura)'!$A:$A,0)))/1.19</f>
        <v>67.360028235294124</v>
      </c>
      <c r="R136" s="19">
        <f>INDEX('Pliegos Tarifarios (Quilicura)'!$K:$K,MATCH($B136,'Pliegos Tarifarios (Quilicura)'!$A:$A,0))</f>
        <v>709.36099999999999</v>
      </c>
      <c r="S136" s="21">
        <f t="shared" si="6"/>
        <v>19555.327480635293</v>
      </c>
      <c r="T136" s="21">
        <f t="shared" si="7"/>
        <v>3715.5122213207055</v>
      </c>
      <c r="U136" s="19">
        <v>0</v>
      </c>
      <c r="V136" s="21">
        <f t="shared" si="8"/>
        <v>23270.839701956</v>
      </c>
    </row>
    <row r="137" spans="1:22" x14ac:dyDescent="0.3">
      <c r="A137" s="7" t="s">
        <v>141</v>
      </c>
      <c r="B137" s="7">
        <v>2</v>
      </c>
      <c r="C137" s="8" t="s">
        <v>186</v>
      </c>
      <c r="D137" s="7" t="s">
        <v>260</v>
      </c>
      <c r="E137" s="7" t="s">
        <v>121</v>
      </c>
      <c r="F137" s="8" t="s">
        <v>261</v>
      </c>
      <c r="G137" s="7" t="s">
        <v>16</v>
      </c>
      <c r="H137" s="9">
        <v>842.97559999999999</v>
      </c>
      <c r="I137" s="9">
        <v>2.5108000000000001</v>
      </c>
      <c r="J137" s="9">
        <v>2.4750999999999999</v>
      </c>
      <c r="K137" s="10">
        <v>0.98578142424725179</v>
      </c>
      <c r="L137" s="9">
        <v>30.11</v>
      </c>
      <c r="M137" s="19">
        <f>H137*INDEX('Pliegos Tarifarios (Quilicura)'!$B:$B,MATCH($B137,'Pliegos Tarifarios (Quilicura)'!$A:$A,0))</f>
        <v>100177.53435279999</v>
      </c>
      <c r="N137" s="19">
        <f>I137*INDEX('Pliegos Tarifarios (Quilicura)'!$C:$C,MATCH($B137,'Pliegos Tarifarios (Quilicura)'!$A:$A,0))</f>
        <v>8613.7538548000011</v>
      </c>
      <c r="O137" s="19">
        <f>J137*INDEX('Pliegos Tarifarios (Quilicura)'!$D:$D,MATCH($B137,'Pliegos Tarifarios (Quilicura)'!$A:$A,0))</f>
        <v>34953.797817599996</v>
      </c>
      <c r="P137" s="19">
        <f>H137*INDEX('Pliegos Tarifarios (Quilicura)'!$E:$E,MATCH($B137,'Pliegos Tarifarios (Quilicura)'!$A:$A,0))</f>
        <v>10901.360459199999</v>
      </c>
      <c r="Q137" s="19" cm="1">
        <f t="array" ref="Q137">H137*_xlfn.IFS(H137&lt;=350,INDEX('Pliegos Tarifarios (Quilicura)'!$F:$F,MATCH($B137,'Pliegos Tarifarios (Quilicura)'!$A:$A,0)),H137&lt;=500,INDEX('Pliegos Tarifarios (Quilicura)'!$G:$G,MATCH($B137,'Pliegos Tarifarios (Quilicura)'!$A:$A,0)),H137&lt;=1000,INDEX('Pliegos Tarifarios (Quilicura)'!$H:$H,MATCH($B137,'Pliegos Tarifarios (Quilicura)'!$A:$A,0)),H137&lt;=5000,INDEX('Pliegos Tarifarios (Quilicura)'!$I:$I,MATCH($B137,'Pliegos Tarifarios (Quilicura)'!$A:$A,0)),H137&gt;5000,INDEX('Pliegos Tarifarios (Quilicura)'!$J:$J,MATCH($B137,'Pliegos Tarifarios (Quilicura)'!$A:$A,0)))/1.19</f>
        <v>1977.0965542857145</v>
      </c>
      <c r="R137" s="19">
        <f>INDEX('Pliegos Tarifarios (Quilicura)'!$K:$K,MATCH($B137,'Pliegos Tarifarios (Quilicura)'!$A:$A,0))</f>
        <v>709.36099999999999</v>
      </c>
      <c r="S137" s="21">
        <f t="shared" si="6"/>
        <v>157332.90403868569</v>
      </c>
      <c r="T137" s="21">
        <f t="shared" si="7"/>
        <v>29893.251767350281</v>
      </c>
      <c r="U137" s="19">
        <v>0</v>
      </c>
      <c r="V137" s="21">
        <f t="shared" si="8"/>
        <v>187226.15580603597</v>
      </c>
    </row>
    <row r="138" spans="1:22" x14ac:dyDescent="0.3">
      <c r="A138" s="7" t="s">
        <v>141</v>
      </c>
      <c r="B138" s="7">
        <v>2</v>
      </c>
      <c r="C138" s="8" t="s">
        <v>186</v>
      </c>
      <c r="D138" s="7" t="s">
        <v>262</v>
      </c>
      <c r="E138" s="7" t="s">
        <v>121</v>
      </c>
      <c r="F138" s="8" t="s">
        <v>263</v>
      </c>
      <c r="G138" s="7" t="s">
        <v>16</v>
      </c>
      <c r="H138" s="9">
        <v>842.09069999999997</v>
      </c>
      <c r="I138" s="9">
        <v>2.5299</v>
      </c>
      <c r="J138" s="9">
        <v>2.5299</v>
      </c>
      <c r="K138" s="10">
        <v>1</v>
      </c>
      <c r="L138" s="9">
        <v>30.07</v>
      </c>
      <c r="M138" s="19">
        <f>H138*INDEX('Pliegos Tarifarios (Quilicura)'!$B:$B,MATCH($B138,'Pliegos Tarifarios (Quilicura)'!$A:$A,0))</f>
        <v>100072.37460659999</v>
      </c>
      <c r="N138" s="19">
        <f>I138*INDEX('Pliegos Tarifarios (Quilicura)'!$C:$C,MATCH($B138,'Pliegos Tarifarios (Quilicura)'!$A:$A,0))</f>
        <v>8679.2798619000005</v>
      </c>
      <c r="O138" s="19">
        <f>J138*INDEX('Pliegos Tarifarios (Quilicura)'!$D:$D,MATCH($B138,'Pliegos Tarifarios (Quilicura)'!$A:$A,0))</f>
        <v>35727.693062400002</v>
      </c>
      <c r="P138" s="19">
        <f>H138*INDEX('Pliegos Tarifarios (Quilicura)'!$E:$E,MATCH($B138,'Pliegos Tarifarios (Quilicura)'!$A:$A,0))</f>
        <v>10889.916932399999</v>
      </c>
      <c r="Q138" s="19" cm="1">
        <f t="array" ref="Q138">H138*_xlfn.IFS(H138&lt;=350,INDEX('Pliegos Tarifarios (Quilicura)'!$F:$F,MATCH($B138,'Pliegos Tarifarios (Quilicura)'!$A:$A,0)),H138&lt;=500,INDEX('Pliegos Tarifarios (Quilicura)'!$G:$G,MATCH($B138,'Pliegos Tarifarios (Quilicura)'!$A:$A,0)),H138&lt;=1000,INDEX('Pliegos Tarifarios (Quilicura)'!$H:$H,MATCH($B138,'Pliegos Tarifarios (Quilicura)'!$A:$A,0)),H138&lt;=5000,INDEX('Pliegos Tarifarios (Quilicura)'!$I:$I,MATCH($B138,'Pliegos Tarifarios (Quilicura)'!$A:$A,0)),H138&gt;5000,INDEX('Pliegos Tarifarios (Quilicura)'!$J:$J,MATCH($B138,'Pliegos Tarifarios (Quilicura)'!$A:$A,0)))/1.19</f>
        <v>1975.021129159664</v>
      </c>
      <c r="R138" s="19">
        <f>INDEX('Pliegos Tarifarios (Quilicura)'!$K:$K,MATCH($B138,'Pliegos Tarifarios (Quilicura)'!$A:$A,0))</f>
        <v>709.36099999999999</v>
      </c>
      <c r="S138" s="21">
        <f t="shared" si="6"/>
        <v>158053.64659245964</v>
      </c>
      <c r="T138" s="21">
        <f t="shared" si="7"/>
        <v>30030.192852567332</v>
      </c>
      <c r="U138" s="19">
        <v>0</v>
      </c>
      <c r="V138" s="21">
        <f t="shared" si="8"/>
        <v>188083.83944502697</v>
      </c>
    </row>
    <row r="139" spans="1:22" x14ac:dyDescent="0.3">
      <c r="A139" s="7" t="s">
        <v>141</v>
      </c>
      <c r="B139" s="7">
        <v>2</v>
      </c>
      <c r="C139" s="8" t="s">
        <v>186</v>
      </c>
      <c r="D139" s="7" t="s">
        <v>264</v>
      </c>
      <c r="E139" s="7" t="s">
        <v>121</v>
      </c>
      <c r="F139" s="8" t="s">
        <v>265</v>
      </c>
      <c r="G139" s="7" t="s">
        <v>16</v>
      </c>
      <c r="H139" s="9">
        <v>680.65200000000004</v>
      </c>
      <c r="I139" s="9">
        <v>2.0457999999999998</v>
      </c>
      <c r="J139" s="9">
        <v>2.0097</v>
      </c>
      <c r="K139" s="10">
        <v>0.98235409130902351</v>
      </c>
      <c r="L139" s="9">
        <v>24.31</v>
      </c>
      <c r="M139" s="19">
        <f>H139*INDEX('Pliegos Tarifarios (Quilicura)'!$B:$B,MATCH($B139,'Pliegos Tarifarios (Quilicura)'!$A:$A,0))</f>
        <v>80887.322375999996</v>
      </c>
      <c r="N139" s="19">
        <f>I139*INDEX('Pliegos Tarifarios (Quilicura)'!$C:$C,MATCH($B139,'Pliegos Tarifarios (Quilicura)'!$A:$A,0))</f>
        <v>7018.4871897999992</v>
      </c>
      <c r="O139" s="19">
        <f>J139*INDEX('Pliegos Tarifarios (Quilicura)'!$D:$D,MATCH($B139,'Pliegos Tarifarios (Quilicura)'!$A:$A,0))</f>
        <v>28381.337107200001</v>
      </c>
      <c r="P139" s="19">
        <f>H139*INDEX('Pliegos Tarifarios (Quilicura)'!$E:$E,MATCH($B139,'Pliegos Tarifarios (Quilicura)'!$A:$A,0))</f>
        <v>8802.1916639999999</v>
      </c>
      <c r="Q139" s="19" cm="1">
        <f t="array" ref="Q139">H139*_xlfn.IFS(H139&lt;=350,INDEX('Pliegos Tarifarios (Quilicura)'!$F:$F,MATCH($B139,'Pliegos Tarifarios (Quilicura)'!$A:$A,0)),H139&lt;=500,INDEX('Pliegos Tarifarios (Quilicura)'!$G:$G,MATCH($B139,'Pliegos Tarifarios (Quilicura)'!$A:$A,0)),H139&lt;=1000,INDEX('Pliegos Tarifarios (Quilicura)'!$H:$H,MATCH($B139,'Pliegos Tarifarios (Quilicura)'!$A:$A,0)),H139&lt;=5000,INDEX('Pliegos Tarifarios (Quilicura)'!$I:$I,MATCH($B139,'Pliegos Tarifarios (Quilicura)'!$A:$A,0)),H139&gt;5000,INDEX('Pliegos Tarifarios (Quilicura)'!$J:$J,MATCH($B139,'Pliegos Tarifarios (Quilicura)'!$A:$A,0)))/1.19</f>
        <v>1596.386329411765</v>
      </c>
      <c r="R139" s="19">
        <f>INDEX('Pliegos Tarifarios (Quilicura)'!$K:$K,MATCH($B139,'Pliegos Tarifarios (Quilicura)'!$A:$A,0))</f>
        <v>709.36099999999999</v>
      </c>
      <c r="S139" s="21">
        <f t="shared" ref="S139:S202" si="9">SUM(M139:R139)</f>
        <v>127395.08566641176</v>
      </c>
      <c r="T139" s="21">
        <f t="shared" ref="T139:T202" si="10">S139*0.19</f>
        <v>24205.066276618236</v>
      </c>
      <c r="U139" s="19">
        <v>0</v>
      </c>
      <c r="V139" s="21">
        <f t="shared" ref="V139:V202" si="11">SUM(S139:T139)</f>
        <v>151600.15194303001</v>
      </c>
    </row>
    <row r="140" spans="1:22" x14ac:dyDescent="0.3">
      <c r="A140" s="7" t="s">
        <v>141</v>
      </c>
      <c r="B140" s="7">
        <v>2</v>
      </c>
      <c r="C140" s="8" t="s">
        <v>186</v>
      </c>
      <c r="D140" s="7" t="s">
        <v>266</v>
      </c>
      <c r="E140" s="7" t="s">
        <v>121</v>
      </c>
      <c r="F140" s="8" t="s">
        <v>267</v>
      </c>
      <c r="G140" s="7" t="s">
        <v>16</v>
      </c>
      <c r="H140" s="9">
        <v>280.43639999999999</v>
      </c>
      <c r="I140" s="9">
        <v>0.83009999999999995</v>
      </c>
      <c r="J140" s="9">
        <v>0.83009999999999995</v>
      </c>
      <c r="K140" s="10">
        <v>1</v>
      </c>
      <c r="L140" s="9">
        <v>10.02</v>
      </c>
      <c r="M140" s="19">
        <f>H140*INDEX('Pliegos Tarifarios (Quilicura)'!$B:$B,MATCH($B140,'Pliegos Tarifarios (Quilicura)'!$A:$A,0))</f>
        <v>33326.500903199994</v>
      </c>
      <c r="N140" s="19">
        <f>I140*INDEX('Pliegos Tarifarios (Quilicura)'!$C:$C,MATCH($B140,'Pliegos Tarifarios (Quilicura)'!$A:$A,0))</f>
        <v>2847.8082980999998</v>
      </c>
      <c r="O140" s="19">
        <f>J140*INDEX('Pliegos Tarifarios (Quilicura)'!$D:$D,MATCH($B140,'Pliegos Tarifarios (Quilicura)'!$A:$A,0))</f>
        <v>11722.818297599999</v>
      </c>
      <c r="P140" s="19">
        <f>H140*INDEX('Pliegos Tarifarios (Quilicura)'!$E:$E,MATCH($B140,'Pliegos Tarifarios (Quilicura)'!$A:$A,0))</f>
        <v>3626.6035247999998</v>
      </c>
      <c r="Q140" s="19" cm="1">
        <f t="array" ref="Q140">H140*_xlfn.IFS(H140&lt;=350,INDEX('Pliegos Tarifarios (Quilicura)'!$F:$F,MATCH($B140,'Pliegos Tarifarios (Quilicura)'!$A:$A,0)),H140&lt;=500,INDEX('Pliegos Tarifarios (Quilicura)'!$G:$G,MATCH($B140,'Pliegos Tarifarios (Quilicura)'!$A:$A,0)),H140&lt;=1000,INDEX('Pliegos Tarifarios (Quilicura)'!$H:$H,MATCH($B140,'Pliegos Tarifarios (Quilicura)'!$A:$A,0)),H140&lt;=5000,INDEX('Pliegos Tarifarios (Quilicura)'!$I:$I,MATCH($B140,'Pliegos Tarifarios (Quilicura)'!$A:$A,0)),H140&gt;5000,INDEX('Pliegos Tarifarios (Quilicura)'!$J:$J,MATCH($B140,'Pliegos Tarifarios (Quilicura)'!$A:$A,0)))/1.19</f>
        <v>184.75809882352942</v>
      </c>
      <c r="R140" s="19">
        <f>INDEX('Pliegos Tarifarios (Quilicura)'!$K:$K,MATCH($B140,'Pliegos Tarifarios (Quilicura)'!$A:$A,0))</f>
        <v>709.36099999999999</v>
      </c>
      <c r="S140" s="21">
        <f t="shared" si="9"/>
        <v>52417.850122523516</v>
      </c>
      <c r="T140" s="21">
        <f t="shared" si="10"/>
        <v>9959.3915232794679</v>
      </c>
      <c r="U140" s="19">
        <v>0</v>
      </c>
      <c r="V140" s="21">
        <f t="shared" si="11"/>
        <v>62377.241645802984</v>
      </c>
    </row>
    <row r="141" spans="1:22" x14ac:dyDescent="0.3">
      <c r="A141" s="7" t="s">
        <v>141</v>
      </c>
      <c r="B141" s="7">
        <v>2</v>
      </c>
      <c r="C141" s="8" t="s">
        <v>186</v>
      </c>
      <c r="D141" s="7" t="s">
        <v>268</v>
      </c>
      <c r="E141" s="7" t="s">
        <v>121</v>
      </c>
      <c r="F141" s="8" t="s">
        <v>269</v>
      </c>
      <c r="G141" s="7" t="s">
        <v>16</v>
      </c>
      <c r="H141" s="9">
        <v>212.8296</v>
      </c>
      <c r="I141" s="9">
        <v>0.63449999999999995</v>
      </c>
      <c r="J141" s="9">
        <v>0.62370000000000003</v>
      </c>
      <c r="K141" s="10">
        <v>0.98297872340425541</v>
      </c>
      <c r="L141" s="9">
        <v>7.6</v>
      </c>
      <c r="M141" s="19">
        <f>H141*INDEX('Pliegos Tarifarios (Quilicura)'!$B:$B,MATCH($B141,'Pliegos Tarifarios (Quilicura)'!$A:$A,0))</f>
        <v>25292.244004799999</v>
      </c>
      <c r="N141" s="19">
        <f>I141*INDEX('Pliegos Tarifarios (Quilicura)'!$C:$C,MATCH($B141,'Pliegos Tarifarios (Quilicura)'!$A:$A,0))</f>
        <v>2176.7670945</v>
      </c>
      <c r="O141" s="19">
        <f>J141*INDEX('Pliegos Tarifarios (Quilicura)'!$D:$D,MATCH($B141,'Pliegos Tarifarios (Quilicura)'!$A:$A,0))</f>
        <v>8808.0011711999996</v>
      </c>
      <c r="P141" s="19">
        <f>H141*INDEX('Pliegos Tarifarios (Quilicura)'!$E:$E,MATCH($B141,'Pliegos Tarifarios (Quilicura)'!$A:$A,0))</f>
        <v>2752.3123872000001</v>
      </c>
      <c r="Q141" s="19" cm="1">
        <f t="array" ref="Q141">H141*_xlfn.IFS(H141&lt;=350,INDEX('Pliegos Tarifarios (Quilicura)'!$F:$F,MATCH($B141,'Pliegos Tarifarios (Quilicura)'!$A:$A,0)),H141&lt;=500,INDEX('Pliegos Tarifarios (Quilicura)'!$G:$G,MATCH($B141,'Pliegos Tarifarios (Quilicura)'!$A:$A,0)),H141&lt;=1000,INDEX('Pliegos Tarifarios (Quilicura)'!$H:$H,MATCH($B141,'Pliegos Tarifarios (Quilicura)'!$A:$A,0)),H141&lt;=5000,INDEX('Pliegos Tarifarios (Quilicura)'!$I:$I,MATCH($B141,'Pliegos Tarifarios (Quilicura)'!$A:$A,0)),H141&gt;5000,INDEX('Pliegos Tarifarios (Quilicura)'!$J:$J,MATCH($B141,'Pliegos Tarifarios (Quilicura)'!$A:$A,0)))/1.19</f>
        <v>140.21714823529413</v>
      </c>
      <c r="R141" s="19">
        <f>INDEX('Pliegos Tarifarios (Quilicura)'!$K:$K,MATCH($B141,'Pliegos Tarifarios (Quilicura)'!$A:$A,0))</f>
        <v>709.36099999999999</v>
      </c>
      <c r="S141" s="21">
        <f t="shared" si="9"/>
        <v>39878.902805935286</v>
      </c>
      <c r="T141" s="21">
        <f t="shared" si="10"/>
        <v>7576.9915331277043</v>
      </c>
      <c r="U141" s="19">
        <v>0</v>
      </c>
      <c r="V141" s="21">
        <f t="shared" si="11"/>
        <v>47455.894339062987</v>
      </c>
    </row>
    <row r="142" spans="1:22" x14ac:dyDescent="0.3">
      <c r="A142" s="7" t="s">
        <v>141</v>
      </c>
      <c r="B142" s="7">
        <v>2</v>
      </c>
      <c r="C142" s="8" t="s">
        <v>186</v>
      </c>
      <c r="D142" s="7" t="s">
        <v>270</v>
      </c>
      <c r="E142" s="7" t="s">
        <v>121</v>
      </c>
      <c r="F142" s="8" t="s">
        <v>271</v>
      </c>
      <c r="G142" s="7" t="s">
        <v>16</v>
      </c>
      <c r="H142" s="9">
        <v>93.461299999999994</v>
      </c>
      <c r="I142" s="9">
        <v>0.28399999999999997</v>
      </c>
      <c r="J142" s="9">
        <v>0.28399999999999997</v>
      </c>
      <c r="K142" s="10">
        <v>1</v>
      </c>
      <c r="L142" s="9">
        <v>3.34</v>
      </c>
      <c r="M142" s="19">
        <f>H142*INDEX('Pliegos Tarifarios (Quilicura)'!$B:$B,MATCH($B142,'Pliegos Tarifarios (Quilicura)'!$A:$A,0))</f>
        <v>11106.753969399999</v>
      </c>
      <c r="N142" s="19">
        <f>I142*INDEX('Pliegos Tarifarios (Quilicura)'!$C:$C,MATCH($B142,'Pliegos Tarifarios (Quilicura)'!$A:$A,0))</f>
        <v>974.31340399999988</v>
      </c>
      <c r="O142" s="19">
        <f>J142*INDEX('Pliegos Tarifarios (Quilicura)'!$D:$D,MATCH($B142,'Pliegos Tarifarios (Quilicura)'!$A:$A,0))</f>
        <v>4010.6979839999995</v>
      </c>
      <c r="P142" s="19">
        <f>H142*INDEX('Pliegos Tarifarios (Quilicura)'!$E:$E,MATCH($B142,'Pliegos Tarifarios (Quilicura)'!$A:$A,0))</f>
        <v>1208.6415316</v>
      </c>
      <c r="Q142" s="19" cm="1">
        <f t="array" ref="Q142">H142*_xlfn.IFS(H142&lt;=350,INDEX('Pliegos Tarifarios (Quilicura)'!$F:$F,MATCH($B142,'Pliegos Tarifarios (Quilicura)'!$A:$A,0)),H142&lt;=500,INDEX('Pliegos Tarifarios (Quilicura)'!$G:$G,MATCH($B142,'Pliegos Tarifarios (Quilicura)'!$A:$A,0)),H142&lt;=1000,INDEX('Pliegos Tarifarios (Quilicura)'!$H:$H,MATCH($B142,'Pliegos Tarifarios (Quilicura)'!$A:$A,0)),H142&lt;=5000,INDEX('Pliegos Tarifarios (Quilicura)'!$I:$I,MATCH($B142,'Pliegos Tarifarios (Quilicura)'!$A:$A,0)),H142&gt;5000,INDEX('Pliegos Tarifarios (Quilicura)'!$J:$J,MATCH($B142,'Pliegos Tarifarios (Quilicura)'!$A:$A,0)))/1.19</f>
        <v>61.574503529411764</v>
      </c>
      <c r="R142" s="19">
        <f>INDEX('Pliegos Tarifarios (Quilicura)'!$K:$K,MATCH($B142,'Pliegos Tarifarios (Quilicura)'!$A:$A,0))</f>
        <v>709.36099999999999</v>
      </c>
      <c r="S142" s="21">
        <f t="shared" si="9"/>
        <v>18071.342392529412</v>
      </c>
      <c r="T142" s="21">
        <f t="shared" si="10"/>
        <v>3433.5550545805881</v>
      </c>
      <c r="U142" s="19">
        <v>0</v>
      </c>
      <c r="V142" s="21">
        <f t="shared" si="11"/>
        <v>21504.897447110001</v>
      </c>
    </row>
    <row r="143" spans="1:22" x14ac:dyDescent="0.3">
      <c r="A143" s="7" t="s">
        <v>141</v>
      </c>
      <c r="B143" s="7">
        <v>2</v>
      </c>
      <c r="C143" s="8" t="s">
        <v>186</v>
      </c>
      <c r="D143" s="7" t="s">
        <v>272</v>
      </c>
      <c r="E143" s="7" t="s">
        <v>121</v>
      </c>
      <c r="F143" s="8" t="s">
        <v>273</v>
      </c>
      <c r="G143" s="7" t="s">
        <v>16</v>
      </c>
      <c r="H143" s="9">
        <v>1551.2357999999999</v>
      </c>
      <c r="I143" s="9">
        <v>4.7594000000000003</v>
      </c>
      <c r="J143" s="9">
        <v>4.7594000000000003</v>
      </c>
      <c r="K143" s="10">
        <v>1</v>
      </c>
      <c r="L143" s="9">
        <v>55.4</v>
      </c>
      <c r="M143" s="19">
        <f>H143*INDEX('Pliegos Tarifarios (Quilicura)'!$B:$B,MATCH($B143,'Pliegos Tarifarios (Quilicura)'!$A:$A,0))</f>
        <v>184345.76000039998</v>
      </c>
      <c r="N143" s="19">
        <f>I143*INDEX('Pliegos Tarifarios (Quilicura)'!$C:$C,MATCH($B143,'Pliegos Tarifarios (Quilicura)'!$A:$A,0))</f>
        <v>16327.983151400002</v>
      </c>
      <c r="O143" s="19">
        <f>J143*INDEX('Pliegos Tarifarios (Quilicura)'!$D:$D,MATCH($B143,'Pliegos Tarifarios (Quilicura)'!$A:$A,0))</f>
        <v>67213.084454399999</v>
      </c>
      <c r="P143" s="19">
        <f>H143*INDEX('Pliegos Tarifarios (Quilicura)'!$E:$E,MATCH($B143,'Pliegos Tarifarios (Quilicura)'!$A:$A,0))</f>
        <v>20060.581365599999</v>
      </c>
      <c r="Q143" s="19" cm="1">
        <f t="array" ref="Q143">H143*_xlfn.IFS(H143&lt;=350,INDEX('Pliegos Tarifarios (Quilicura)'!$F:$F,MATCH($B143,'Pliegos Tarifarios (Quilicura)'!$A:$A,0)),H143&lt;=500,INDEX('Pliegos Tarifarios (Quilicura)'!$G:$G,MATCH($B143,'Pliegos Tarifarios (Quilicura)'!$A:$A,0)),H143&lt;=1000,INDEX('Pliegos Tarifarios (Quilicura)'!$H:$H,MATCH($B143,'Pliegos Tarifarios (Quilicura)'!$A:$A,0)),H143&lt;=5000,INDEX('Pliegos Tarifarios (Quilicura)'!$I:$I,MATCH($B143,'Pliegos Tarifarios (Quilicura)'!$A:$A,0)),H143&gt;5000,INDEX('Pliegos Tarifarios (Quilicura)'!$J:$J,MATCH($B143,'Pliegos Tarifarios (Quilicura)'!$A:$A,0)))/1.19</f>
        <v>4655.0109594957985</v>
      </c>
      <c r="R143" s="19">
        <f>INDEX('Pliegos Tarifarios (Quilicura)'!$K:$K,MATCH($B143,'Pliegos Tarifarios (Quilicura)'!$A:$A,0))</f>
        <v>709.36099999999999</v>
      </c>
      <c r="S143" s="21">
        <f t="shared" si="9"/>
        <v>293311.78093129577</v>
      </c>
      <c r="T143" s="21">
        <f t="shared" si="10"/>
        <v>55729.238376946196</v>
      </c>
      <c r="U143" s="19">
        <v>0</v>
      </c>
      <c r="V143" s="21">
        <f t="shared" si="11"/>
        <v>349041.01930824196</v>
      </c>
    </row>
    <row r="144" spans="1:22" x14ac:dyDescent="0.3">
      <c r="A144" s="3" t="s">
        <v>142</v>
      </c>
      <c r="B144" s="3">
        <v>3</v>
      </c>
      <c r="C144" s="4" t="s">
        <v>186</v>
      </c>
      <c r="D144" s="3" t="s">
        <v>187</v>
      </c>
      <c r="E144" s="3" t="s">
        <v>14</v>
      </c>
      <c r="F144" s="4" t="s">
        <v>15</v>
      </c>
      <c r="G144" s="3" t="s">
        <v>16</v>
      </c>
      <c r="H144" s="5">
        <v>11643.6504</v>
      </c>
      <c r="I144" s="5">
        <v>31.819700000000001</v>
      </c>
      <c r="J144" s="5">
        <v>31.123699999999999</v>
      </c>
      <c r="K144" s="6">
        <v>0.97812675795183479</v>
      </c>
      <c r="L144" s="5">
        <v>415.84</v>
      </c>
      <c r="M144" s="19">
        <f>H144*INDEX('Pliegos Tarifarios (Quilicura)'!$B:$B,MATCH($B144,'Pliegos Tarifarios (Quilicura)'!$A:$A,0))</f>
        <v>1383708.1262352001</v>
      </c>
      <c r="N144" s="19">
        <f>I144*INDEX('Pliegos Tarifarios (Quilicura)'!$C:$C,MATCH($B144,'Pliegos Tarifarios (Quilicura)'!$A:$A,0))</f>
        <v>111122.95189929999</v>
      </c>
      <c r="O144" s="19">
        <f>J144*INDEX('Pliegos Tarifarios (Quilicura)'!$D:$D,MATCH($B144,'Pliegos Tarifarios (Quilicura)'!$A:$A,0))</f>
        <v>441732.91621549998</v>
      </c>
      <c r="P144" s="19">
        <f>H144*INDEX('Pliegos Tarifarios (Quilicura)'!$E:$E,MATCH($B144,'Pliegos Tarifarios (Quilicura)'!$A:$A,0))</f>
        <v>150575.6869728</v>
      </c>
      <c r="Q144" s="19" cm="1">
        <f t="array" ref="Q144">H144*_xlfn.IFS(H144&lt;=350,INDEX('Pliegos Tarifarios (Quilicura)'!$F:$F,MATCH($B144,'Pliegos Tarifarios (Quilicura)'!$A:$A,0)),H144&lt;=500,INDEX('Pliegos Tarifarios (Quilicura)'!$G:$G,MATCH($B144,'Pliegos Tarifarios (Quilicura)'!$A:$A,0)),H144&lt;=1000,INDEX('Pliegos Tarifarios (Quilicura)'!$H:$H,MATCH($B144,'Pliegos Tarifarios (Quilicura)'!$A:$A,0)),H144&lt;=5000,INDEX('Pliegos Tarifarios (Quilicura)'!$I:$I,MATCH($B144,'Pliegos Tarifarios (Quilicura)'!$A:$A,0)),H144&gt;5000,INDEX('Pliegos Tarifarios (Quilicura)'!$J:$J,MATCH($B144,'Pliegos Tarifarios (Quilicura)'!$A:$A,0)))/1.19</f>
        <v>38208.785556302522</v>
      </c>
      <c r="R144" s="19">
        <f>INDEX('Pliegos Tarifarios (Quilicura)'!$K:$K,MATCH($B144,'Pliegos Tarifarios (Quilicura)'!$A:$A,0))</f>
        <v>716.899</v>
      </c>
      <c r="S144" s="21">
        <f t="shared" si="9"/>
        <v>2126065.3658791031</v>
      </c>
      <c r="T144" s="21">
        <f t="shared" si="10"/>
        <v>403952.4195170296</v>
      </c>
      <c r="U144" s="19">
        <v>0</v>
      </c>
      <c r="V144" s="21">
        <f t="shared" si="11"/>
        <v>2530017.7853961326</v>
      </c>
    </row>
    <row r="145" spans="1:22" x14ac:dyDescent="0.3">
      <c r="A145" s="3" t="s">
        <v>142</v>
      </c>
      <c r="B145" s="3">
        <v>3</v>
      </c>
      <c r="C145" s="4" t="s">
        <v>186</v>
      </c>
      <c r="D145" s="3" t="s">
        <v>188</v>
      </c>
      <c r="E145" s="3" t="s">
        <v>18</v>
      </c>
      <c r="F145" s="4" t="s">
        <v>19</v>
      </c>
      <c r="G145" s="3" t="s">
        <v>16</v>
      </c>
      <c r="H145" s="5">
        <v>5821.1895999999997</v>
      </c>
      <c r="I145" s="5">
        <v>15.5077</v>
      </c>
      <c r="J145" s="5">
        <v>15.392799999999999</v>
      </c>
      <c r="K145" s="6">
        <v>0.99259077748473334</v>
      </c>
      <c r="L145" s="5">
        <v>207.9</v>
      </c>
      <c r="M145" s="19">
        <f>H145*INDEX('Pliegos Tarifarios (Quilicura)'!$B:$B,MATCH($B145,'Pliegos Tarifarios (Quilicura)'!$A:$A,0))</f>
        <v>691778.52968479996</v>
      </c>
      <c r="N145" s="19">
        <f>I145*INDEX('Pliegos Tarifarios (Quilicura)'!$C:$C,MATCH($B145,'Pliegos Tarifarios (Quilicura)'!$A:$A,0))</f>
        <v>54157.059971299997</v>
      </c>
      <c r="O145" s="19">
        <f>J145*INDEX('Pliegos Tarifarios (Quilicura)'!$D:$D,MATCH($B145,'Pliegos Tarifarios (Quilicura)'!$A:$A,0))</f>
        <v>218467.162732</v>
      </c>
      <c r="P145" s="19">
        <f>H145*INDEX('Pliegos Tarifarios (Quilicura)'!$E:$E,MATCH($B145,'Pliegos Tarifarios (Quilicura)'!$A:$A,0))</f>
        <v>75279.623907200003</v>
      </c>
      <c r="Q145" s="19" cm="1">
        <f t="array" ref="Q145">H145*_xlfn.IFS(H145&lt;=350,INDEX('Pliegos Tarifarios (Quilicura)'!$F:$F,MATCH($B145,'Pliegos Tarifarios (Quilicura)'!$A:$A,0)),H145&lt;=500,INDEX('Pliegos Tarifarios (Quilicura)'!$G:$G,MATCH($B145,'Pliegos Tarifarios (Quilicura)'!$A:$A,0)),H145&lt;=1000,INDEX('Pliegos Tarifarios (Quilicura)'!$H:$H,MATCH($B145,'Pliegos Tarifarios (Quilicura)'!$A:$A,0)),H145&lt;=5000,INDEX('Pliegos Tarifarios (Quilicura)'!$I:$I,MATCH($B145,'Pliegos Tarifarios (Quilicura)'!$A:$A,0)),H145&gt;5000,INDEX('Pliegos Tarifarios (Quilicura)'!$J:$J,MATCH($B145,'Pliegos Tarifarios (Quilicura)'!$A:$A,0)))/1.19</f>
        <v>19102.307048739494</v>
      </c>
      <c r="R145" s="19">
        <f>INDEX('Pliegos Tarifarios (Quilicura)'!$K:$K,MATCH($B145,'Pliegos Tarifarios (Quilicura)'!$A:$A,0))</f>
        <v>716.899</v>
      </c>
      <c r="S145" s="21">
        <f t="shared" si="9"/>
        <v>1059501.5823440393</v>
      </c>
      <c r="T145" s="21">
        <f t="shared" si="10"/>
        <v>201305.30064536748</v>
      </c>
      <c r="U145" s="19">
        <v>0</v>
      </c>
      <c r="V145" s="21">
        <f t="shared" si="11"/>
        <v>1260806.8829894068</v>
      </c>
    </row>
    <row r="146" spans="1:22" x14ac:dyDescent="0.3">
      <c r="A146" s="3" t="s">
        <v>142</v>
      </c>
      <c r="B146" s="3">
        <v>3</v>
      </c>
      <c r="C146" s="4" t="s">
        <v>186</v>
      </c>
      <c r="D146" s="3" t="s">
        <v>189</v>
      </c>
      <c r="E146" s="3" t="s">
        <v>18</v>
      </c>
      <c r="F146" s="4" t="s">
        <v>21</v>
      </c>
      <c r="G146" s="3" t="s">
        <v>16</v>
      </c>
      <c r="H146" s="5">
        <v>4646.6104999999998</v>
      </c>
      <c r="I146" s="5">
        <v>12.450699999999999</v>
      </c>
      <c r="J146" s="5">
        <v>12.3093</v>
      </c>
      <c r="K146" s="6">
        <v>0.98864320881556866</v>
      </c>
      <c r="L146" s="5">
        <v>165.95</v>
      </c>
      <c r="M146" s="19">
        <f>H146*INDEX('Pliegos Tarifarios (Quilicura)'!$B:$B,MATCH($B146,'Pliegos Tarifarios (Quilicura)'!$A:$A,0))</f>
        <v>552193.89859899995</v>
      </c>
      <c r="N146" s="19">
        <f>I146*INDEX('Pliegos Tarifarios (Quilicura)'!$C:$C,MATCH($B146,'Pliegos Tarifarios (Quilicura)'!$A:$A,0))</f>
        <v>43481.193638299992</v>
      </c>
      <c r="O146" s="19">
        <f>J146*INDEX('Pliegos Tarifarios (Quilicura)'!$D:$D,MATCH($B146,'Pliegos Tarifarios (Quilicura)'!$A:$A,0))</f>
        <v>174703.61767950002</v>
      </c>
      <c r="P146" s="19">
        <f>H146*INDEX('Pliegos Tarifarios (Quilicura)'!$E:$E,MATCH($B146,'Pliegos Tarifarios (Quilicura)'!$A:$A,0))</f>
        <v>60089.966985999999</v>
      </c>
      <c r="Q146" s="19" cm="1">
        <f t="array" ref="Q146">H146*_xlfn.IFS(H146&lt;=350,INDEX('Pliegos Tarifarios (Quilicura)'!$F:$F,MATCH($B146,'Pliegos Tarifarios (Quilicura)'!$A:$A,0)),H146&lt;=500,INDEX('Pliegos Tarifarios (Quilicura)'!$G:$G,MATCH($B146,'Pliegos Tarifarios (Quilicura)'!$A:$A,0)),H146&lt;=1000,INDEX('Pliegos Tarifarios (Quilicura)'!$H:$H,MATCH($B146,'Pliegos Tarifarios (Quilicura)'!$A:$A,0)),H146&lt;=5000,INDEX('Pliegos Tarifarios (Quilicura)'!$I:$I,MATCH($B146,'Pliegos Tarifarios (Quilicura)'!$A:$A,0)),H146&gt;5000,INDEX('Pliegos Tarifarios (Quilicura)'!$J:$J,MATCH($B146,'Pliegos Tarifarios (Quilicura)'!$A:$A,0)))/1.19</f>
        <v>13943.736214705881</v>
      </c>
      <c r="R146" s="19">
        <f>INDEX('Pliegos Tarifarios (Quilicura)'!$K:$K,MATCH($B146,'Pliegos Tarifarios (Quilicura)'!$A:$A,0))</f>
        <v>716.899</v>
      </c>
      <c r="S146" s="21">
        <f t="shared" si="9"/>
        <v>845129.3121175057</v>
      </c>
      <c r="T146" s="21">
        <f t="shared" si="10"/>
        <v>160574.5693023261</v>
      </c>
      <c r="U146" s="19">
        <v>0</v>
      </c>
      <c r="V146" s="21">
        <f t="shared" si="11"/>
        <v>1005703.8814198318</v>
      </c>
    </row>
    <row r="147" spans="1:22" x14ac:dyDescent="0.3">
      <c r="A147" s="3" t="s">
        <v>142</v>
      </c>
      <c r="B147" s="3">
        <v>3</v>
      </c>
      <c r="C147" s="4" t="s">
        <v>186</v>
      </c>
      <c r="D147" s="3" t="s">
        <v>190</v>
      </c>
      <c r="E147" s="3" t="s">
        <v>18</v>
      </c>
      <c r="F147" s="4" t="s">
        <v>23</v>
      </c>
      <c r="G147" s="3" t="s">
        <v>16</v>
      </c>
      <c r="H147" s="5">
        <v>3870.8040000000001</v>
      </c>
      <c r="I147" s="5">
        <v>10.5802</v>
      </c>
      <c r="J147" s="5">
        <v>10.5802</v>
      </c>
      <c r="K147" s="6">
        <v>1</v>
      </c>
      <c r="L147" s="5">
        <v>138.24</v>
      </c>
      <c r="M147" s="19">
        <f>H147*INDEX('Pliegos Tarifarios (Quilicura)'!$B:$B,MATCH($B147,'Pliegos Tarifarios (Quilicura)'!$A:$A,0))</f>
        <v>459998.605752</v>
      </c>
      <c r="N147" s="19">
        <f>I147*INDEX('Pliegos Tarifarios (Quilicura)'!$C:$C,MATCH($B147,'Pliegos Tarifarios (Quilicura)'!$A:$A,0))</f>
        <v>36948.904473799994</v>
      </c>
      <c r="O147" s="19">
        <f>J147*INDEX('Pliegos Tarifarios (Quilicura)'!$D:$D,MATCH($B147,'Pliegos Tarifarios (Quilicura)'!$A:$A,0))</f>
        <v>150162.82126299999</v>
      </c>
      <c r="P147" s="19">
        <f>H147*INDEX('Pliegos Tarifarios (Quilicura)'!$E:$E,MATCH($B147,'Pliegos Tarifarios (Quilicura)'!$A:$A,0))</f>
        <v>50057.237328000003</v>
      </c>
      <c r="Q147" s="19" cm="1">
        <f t="array" ref="Q147">H147*_xlfn.IFS(H147&lt;=350,INDEX('Pliegos Tarifarios (Quilicura)'!$F:$F,MATCH($B147,'Pliegos Tarifarios (Quilicura)'!$A:$A,0)),H147&lt;=500,INDEX('Pliegos Tarifarios (Quilicura)'!$G:$G,MATCH($B147,'Pliegos Tarifarios (Quilicura)'!$A:$A,0)),H147&lt;=1000,INDEX('Pliegos Tarifarios (Quilicura)'!$H:$H,MATCH($B147,'Pliegos Tarifarios (Quilicura)'!$A:$A,0)),H147&lt;=5000,INDEX('Pliegos Tarifarios (Quilicura)'!$I:$I,MATCH($B147,'Pliegos Tarifarios (Quilicura)'!$A:$A,0)),H147&gt;5000,INDEX('Pliegos Tarifarios (Quilicura)'!$J:$J,MATCH($B147,'Pliegos Tarifarios (Quilicura)'!$A:$A,0)))/1.19</f>
        <v>11615.664776470589</v>
      </c>
      <c r="R147" s="19">
        <f>INDEX('Pliegos Tarifarios (Quilicura)'!$K:$K,MATCH($B147,'Pliegos Tarifarios (Quilicura)'!$A:$A,0))</f>
        <v>716.899</v>
      </c>
      <c r="S147" s="21">
        <f t="shared" si="9"/>
        <v>709500.13259327062</v>
      </c>
      <c r="T147" s="21">
        <f t="shared" si="10"/>
        <v>134805.02519272143</v>
      </c>
      <c r="U147" s="19">
        <v>0</v>
      </c>
      <c r="V147" s="21">
        <f t="shared" si="11"/>
        <v>844305.15778599202</v>
      </c>
    </row>
    <row r="148" spans="1:22" x14ac:dyDescent="0.3">
      <c r="A148" s="3" t="s">
        <v>142</v>
      </c>
      <c r="B148" s="3">
        <v>3</v>
      </c>
      <c r="C148" s="4" t="s">
        <v>186</v>
      </c>
      <c r="D148" s="3" t="s">
        <v>191</v>
      </c>
      <c r="E148" s="3" t="s">
        <v>18</v>
      </c>
      <c r="F148" s="4" t="s">
        <v>25</v>
      </c>
      <c r="G148" s="3" t="s">
        <v>16</v>
      </c>
      <c r="H148" s="5">
        <v>4192.1670000000004</v>
      </c>
      <c r="I148" s="5">
        <v>11.1609</v>
      </c>
      <c r="J148" s="5">
        <v>11.1609</v>
      </c>
      <c r="K148" s="6">
        <v>1</v>
      </c>
      <c r="L148" s="5">
        <v>149.72</v>
      </c>
      <c r="M148" s="19">
        <f>H148*INDEX('Pliegos Tarifarios (Quilicura)'!$B:$B,MATCH($B148,'Pliegos Tarifarios (Quilicura)'!$A:$A,0))</f>
        <v>498188.74194600002</v>
      </c>
      <c r="N148" s="19">
        <f>I148*INDEX('Pliegos Tarifarios (Quilicura)'!$C:$C,MATCH($B148,'Pliegos Tarifarios (Quilicura)'!$A:$A,0))</f>
        <v>38976.865082099997</v>
      </c>
      <c r="O148" s="19">
        <f>J148*INDEX('Pliegos Tarifarios (Quilicura)'!$D:$D,MATCH($B148,'Pliegos Tarifarios (Quilicura)'!$A:$A,0))</f>
        <v>158404.5889335</v>
      </c>
      <c r="P148" s="19">
        <f>H148*INDEX('Pliegos Tarifarios (Quilicura)'!$E:$E,MATCH($B148,'Pliegos Tarifarios (Quilicura)'!$A:$A,0))</f>
        <v>54213.10364400001</v>
      </c>
      <c r="Q148" s="19" cm="1">
        <f t="array" ref="Q148">H148*_xlfn.IFS(H148&lt;=350,INDEX('Pliegos Tarifarios (Quilicura)'!$F:$F,MATCH($B148,'Pliegos Tarifarios (Quilicura)'!$A:$A,0)),H148&lt;=500,INDEX('Pliegos Tarifarios (Quilicura)'!$G:$G,MATCH($B148,'Pliegos Tarifarios (Quilicura)'!$A:$A,0)),H148&lt;=1000,INDEX('Pliegos Tarifarios (Quilicura)'!$H:$H,MATCH($B148,'Pliegos Tarifarios (Quilicura)'!$A:$A,0)),H148&lt;=5000,INDEX('Pliegos Tarifarios (Quilicura)'!$I:$I,MATCH($B148,'Pliegos Tarifarios (Quilicura)'!$A:$A,0)),H148&gt;5000,INDEX('Pliegos Tarifarios (Quilicura)'!$J:$J,MATCH($B148,'Pliegos Tarifarios (Quilicura)'!$A:$A,0)))/1.19</f>
        <v>12580.023829411764</v>
      </c>
      <c r="R148" s="19">
        <f>INDEX('Pliegos Tarifarios (Quilicura)'!$K:$K,MATCH($B148,'Pliegos Tarifarios (Quilicura)'!$A:$A,0))</f>
        <v>716.899</v>
      </c>
      <c r="S148" s="21">
        <f t="shared" si="9"/>
        <v>763080.22243501176</v>
      </c>
      <c r="T148" s="21">
        <f t="shared" si="10"/>
        <v>144985.24226265223</v>
      </c>
      <c r="U148" s="19">
        <v>0</v>
      </c>
      <c r="V148" s="21">
        <f t="shared" si="11"/>
        <v>908065.46469766402</v>
      </c>
    </row>
    <row r="149" spans="1:22" x14ac:dyDescent="0.3">
      <c r="A149" s="3" t="s">
        <v>142</v>
      </c>
      <c r="B149" s="3">
        <v>3</v>
      </c>
      <c r="C149" s="4" t="s">
        <v>186</v>
      </c>
      <c r="D149" s="3" t="s">
        <v>192</v>
      </c>
      <c r="E149" s="3" t="s">
        <v>18</v>
      </c>
      <c r="F149" s="4" t="s">
        <v>27</v>
      </c>
      <c r="G149" s="3" t="s">
        <v>16</v>
      </c>
      <c r="H149" s="5">
        <v>2789.1378</v>
      </c>
      <c r="I149" s="5">
        <v>7.5517000000000003</v>
      </c>
      <c r="J149" s="5">
        <v>7.2904</v>
      </c>
      <c r="K149" s="6">
        <v>0.96539851953864686</v>
      </c>
      <c r="L149" s="5">
        <v>99.61</v>
      </c>
      <c r="M149" s="19">
        <f>H149*INDEX('Pliegos Tarifarios (Quilicura)'!$B:$B,MATCH($B149,'Pliegos Tarifarios (Quilicura)'!$A:$A,0))</f>
        <v>331455.55787639995</v>
      </c>
      <c r="N149" s="19">
        <f>I149*INDEX('Pliegos Tarifarios (Quilicura)'!$C:$C,MATCH($B149,'Pliegos Tarifarios (Quilicura)'!$A:$A,0))</f>
        <v>26372.567807299998</v>
      </c>
      <c r="O149" s="19">
        <f>J149*INDEX('Pliegos Tarifarios (Quilicura)'!$D:$D,MATCH($B149,'Pliegos Tarifarios (Quilicura)'!$A:$A,0))</f>
        <v>103471.29847600001</v>
      </c>
      <c r="P149" s="19">
        <f>H149*INDEX('Pliegos Tarifarios (Quilicura)'!$E:$E,MATCH($B149,'Pliegos Tarifarios (Quilicura)'!$A:$A,0))</f>
        <v>36069.130029599997</v>
      </c>
      <c r="Q149" s="19" cm="1">
        <f t="array" ref="Q149">H149*_xlfn.IFS(H149&lt;=350,INDEX('Pliegos Tarifarios (Quilicura)'!$F:$F,MATCH($B149,'Pliegos Tarifarios (Quilicura)'!$A:$A,0)),H149&lt;=500,INDEX('Pliegos Tarifarios (Quilicura)'!$G:$G,MATCH($B149,'Pliegos Tarifarios (Quilicura)'!$A:$A,0)),H149&lt;=1000,INDEX('Pliegos Tarifarios (Quilicura)'!$H:$H,MATCH($B149,'Pliegos Tarifarios (Quilicura)'!$A:$A,0)),H149&lt;=5000,INDEX('Pliegos Tarifarios (Quilicura)'!$I:$I,MATCH($B149,'Pliegos Tarifarios (Quilicura)'!$A:$A,0)),H149&gt;5000,INDEX('Pliegos Tarifarios (Quilicura)'!$J:$J,MATCH($B149,'Pliegos Tarifarios (Quilicura)'!$A:$A,0)))/1.19</f>
        <v>8369.7572132773093</v>
      </c>
      <c r="R149" s="19">
        <f>INDEX('Pliegos Tarifarios (Quilicura)'!$K:$K,MATCH($B149,'Pliegos Tarifarios (Quilicura)'!$A:$A,0))</f>
        <v>716.899</v>
      </c>
      <c r="S149" s="21">
        <f t="shared" si="9"/>
        <v>506455.2104025773</v>
      </c>
      <c r="T149" s="21">
        <f t="shared" si="10"/>
        <v>96226.489976489684</v>
      </c>
      <c r="U149" s="19">
        <v>0</v>
      </c>
      <c r="V149" s="21">
        <f t="shared" si="11"/>
        <v>602681.70037906698</v>
      </c>
    </row>
    <row r="150" spans="1:22" x14ac:dyDescent="0.3">
      <c r="A150" s="3" t="s">
        <v>142</v>
      </c>
      <c r="B150" s="3">
        <v>3</v>
      </c>
      <c r="C150" s="4" t="s">
        <v>186</v>
      </c>
      <c r="D150" s="3" t="s">
        <v>193</v>
      </c>
      <c r="E150" s="3" t="s">
        <v>18</v>
      </c>
      <c r="F150" s="4" t="s">
        <v>29</v>
      </c>
      <c r="G150" s="3" t="s">
        <v>30</v>
      </c>
      <c r="H150" s="5">
        <v>930.18629999999996</v>
      </c>
      <c r="I150" s="5">
        <v>2.5308000000000002</v>
      </c>
      <c r="J150" s="5">
        <v>2.4758</v>
      </c>
      <c r="K150" s="6">
        <v>0.97826774142563611</v>
      </c>
      <c r="L150" s="5">
        <v>33.22</v>
      </c>
      <c r="M150" s="19">
        <f>H150*INDEX('Pliegos Tarifarios (Quilicura)'!$B:$B,MATCH($B150,'Pliegos Tarifarios (Quilicura)'!$A:$A,0))</f>
        <v>110541.47951939999</v>
      </c>
      <c r="N150" s="19">
        <f>I150*INDEX('Pliegos Tarifarios (Quilicura)'!$C:$C,MATCH($B150,'Pliegos Tarifarios (Quilicura)'!$A:$A,0))</f>
        <v>8838.2343851999995</v>
      </c>
      <c r="O150" s="19">
        <f>J150*INDEX('Pliegos Tarifarios (Quilicura)'!$D:$D,MATCH($B150,'Pliegos Tarifarios (Quilicura)'!$A:$A,0))</f>
        <v>35138.571377</v>
      </c>
      <c r="P150" s="19">
        <f>H150*INDEX('Pliegos Tarifarios (Quilicura)'!$E:$E,MATCH($B150,'Pliegos Tarifarios (Quilicura)'!$A:$A,0))</f>
        <v>12029.169231599999</v>
      </c>
      <c r="Q150" s="19" cm="1">
        <f t="array" ref="Q150">H150*_xlfn.IFS(H150&lt;=350,INDEX('Pliegos Tarifarios (Quilicura)'!$F:$F,MATCH($B150,'Pliegos Tarifarios (Quilicura)'!$A:$A,0)),H150&lt;=500,INDEX('Pliegos Tarifarios (Quilicura)'!$G:$G,MATCH($B150,'Pliegos Tarifarios (Quilicura)'!$A:$A,0)),H150&lt;=1000,INDEX('Pliegos Tarifarios (Quilicura)'!$H:$H,MATCH($B150,'Pliegos Tarifarios (Quilicura)'!$A:$A,0)),H150&lt;=5000,INDEX('Pliegos Tarifarios (Quilicura)'!$I:$I,MATCH($B150,'Pliegos Tarifarios (Quilicura)'!$A:$A,0)),H150&gt;5000,INDEX('Pliegos Tarifarios (Quilicura)'!$J:$J,MATCH($B150,'Pliegos Tarifarios (Quilicura)'!$A:$A,0)))/1.19</f>
        <v>2181.638624621849</v>
      </c>
      <c r="R150" s="19">
        <f>INDEX('Pliegos Tarifarios (Quilicura)'!$K:$K,MATCH($B150,'Pliegos Tarifarios (Quilicura)'!$A:$A,0))</f>
        <v>716.899</v>
      </c>
      <c r="S150" s="21">
        <f t="shared" si="9"/>
        <v>169445.99213782186</v>
      </c>
      <c r="T150" s="21">
        <f t="shared" si="10"/>
        <v>32194.738506186153</v>
      </c>
      <c r="U150" s="19">
        <v>0</v>
      </c>
      <c r="V150" s="21">
        <f t="shared" si="11"/>
        <v>201640.730644008</v>
      </c>
    </row>
    <row r="151" spans="1:22" x14ac:dyDescent="0.3">
      <c r="A151" s="3" t="s">
        <v>142</v>
      </c>
      <c r="B151" s="3">
        <v>3</v>
      </c>
      <c r="C151" s="4" t="s">
        <v>186</v>
      </c>
      <c r="D151" s="3" t="s">
        <v>194</v>
      </c>
      <c r="E151" s="3" t="s">
        <v>18</v>
      </c>
      <c r="F151" s="4" t="s">
        <v>32</v>
      </c>
      <c r="G151" s="3" t="s">
        <v>16</v>
      </c>
      <c r="H151" s="5">
        <v>2796.1140999999998</v>
      </c>
      <c r="I151" s="5">
        <v>7.4631999999999996</v>
      </c>
      <c r="J151" s="5">
        <v>7.4474999999999998</v>
      </c>
      <c r="K151" s="6">
        <v>0.99789634473148248</v>
      </c>
      <c r="L151" s="5">
        <v>99.86</v>
      </c>
      <c r="M151" s="19">
        <f>H151*INDEX('Pliegos Tarifarios (Quilicura)'!$B:$B,MATCH($B151,'Pliegos Tarifarios (Quilicura)'!$A:$A,0))</f>
        <v>332284.60741579998</v>
      </c>
      <c r="N151" s="19">
        <f>I151*INDEX('Pliegos Tarifarios (Quilicura)'!$C:$C,MATCH($B151,'Pliegos Tarifarios (Quilicura)'!$A:$A,0))</f>
        <v>26063.502000799996</v>
      </c>
      <c r="O151" s="19">
        <f>J151*INDEX('Pliegos Tarifarios (Quilicura)'!$D:$D,MATCH($B151,'Pliegos Tarifarios (Quilicura)'!$A:$A,0))</f>
        <v>105700.9897125</v>
      </c>
      <c r="P151" s="19">
        <f>H151*INDEX('Pliegos Tarifarios (Quilicura)'!$E:$E,MATCH($B151,'Pliegos Tarifarios (Quilicura)'!$A:$A,0))</f>
        <v>36159.347541199997</v>
      </c>
      <c r="Q151" s="19" cm="1">
        <f t="array" ref="Q151">H151*_xlfn.IFS(H151&lt;=350,INDEX('Pliegos Tarifarios (Quilicura)'!$F:$F,MATCH($B151,'Pliegos Tarifarios (Quilicura)'!$A:$A,0)),H151&lt;=500,INDEX('Pliegos Tarifarios (Quilicura)'!$G:$G,MATCH($B151,'Pliegos Tarifarios (Quilicura)'!$A:$A,0)),H151&lt;=1000,INDEX('Pliegos Tarifarios (Quilicura)'!$H:$H,MATCH($B151,'Pliegos Tarifarios (Quilicura)'!$A:$A,0)),H151&lt;=5000,INDEX('Pliegos Tarifarios (Quilicura)'!$I:$I,MATCH($B151,'Pliegos Tarifarios (Quilicura)'!$A:$A,0)),H151&gt;5000,INDEX('Pliegos Tarifarios (Quilicura)'!$J:$J,MATCH($B151,'Pliegos Tarifarios (Quilicura)'!$A:$A,0)))/1.19</f>
        <v>8390.6919757142841</v>
      </c>
      <c r="R151" s="19">
        <f>INDEX('Pliegos Tarifarios (Quilicura)'!$K:$K,MATCH($B151,'Pliegos Tarifarios (Quilicura)'!$A:$A,0))</f>
        <v>716.899</v>
      </c>
      <c r="S151" s="21">
        <f t="shared" si="9"/>
        <v>509316.03764601424</v>
      </c>
      <c r="T151" s="21">
        <f t="shared" si="10"/>
        <v>96770.047152742714</v>
      </c>
      <c r="U151" s="19">
        <v>0</v>
      </c>
      <c r="V151" s="21">
        <f t="shared" si="11"/>
        <v>606086.08479875699</v>
      </c>
    </row>
    <row r="152" spans="1:22" x14ac:dyDescent="0.3">
      <c r="A152" s="3" t="s">
        <v>142</v>
      </c>
      <c r="B152" s="3">
        <v>3</v>
      </c>
      <c r="C152" s="4" t="s">
        <v>186</v>
      </c>
      <c r="D152" s="3" t="s">
        <v>195</v>
      </c>
      <c r="E152" s="3" t="s">
        <v>34</v>
      </c>
      <c r="F152" s="4" t="s">
        <v>35</v>
      </c>
      <c r="G152" s="3" t="s">
        <v>30</v>
      </c>
      <c r="H152" s="5">
        <v>1162.0289</v>
      </c>
      <c r="I152" s="5">
        <v>3.2265999999999999</v>
      </c>
      <c r="J152" s="5">
        <v>3.0766</v>
      </c>
      <c r="K152" s="6">
        <v>0.95351143618669809</v>
      </c>
      <c r="L152" s="5">
        <v>41.5</v>
      </c>
      <c r="M152" s="19">
        <f>H152*INDEX('Pliegos Tarifarios (Quilicura)'!$B:$B,MATCH($B152,'Pliegos Tarifarios (Quilicura)'!$A:$A,0))</f>
        <v>138093.19041819999</v>
      </c>
      <c r="N152" s="19">
        <f>I152*INDEX('Pliegos Tarifarios (Quilicura)'!$C:$C,MATCH($B152,'Pliegos Tarifarios (Quilicura)'!$A:$A,0))</f>
        <v>11268.1551554</v>
      </c>
      <c r="O152" s="19">
        <f>J152*INDEX('Pliegos Tarifarios (Quilicura)'!$D:$D,MATCH($B152,'Pliegos Tarifarios (Quilicura)'!$A:$A,0))</f>
        <v>43665.614629000003</v>
      </c>
      <c r="P152" s="19">
        <f>H152*INDEX('Pliegos Tarifarios (Quilicura)'!$E:$E,MATCH($B152,'Pliegos Tarifarios (Quilicura)'!$A:$A,0))</f>
        <v>15027.3577348</v>
      </c>
      <c r="Q152" s="19" cm="1">
        <f t="array" ref="Q152">H152*_xlfn.IFS(H152&lt;=350,INDEX('Pliegos Tarifarios (Quilicura)'!$F:$F,MATCH($B152,'Pliegos Tarifarios (Quilicura)'!$A:$A,0)),H152&lt;=500,INDEX('Pliegos Tarifarios (Quilicura)'!$G:$G,MATCH($B152,'Pliegos Tarifarios (Quilicura)'!$A:$A,0)),H152&lt;=1000,INDEX('Pliegos Tarifarios (Quilicura)'!$H:$H,MATCH($B152,'Pliegos Tarifarios (Quilicura)'!$A:$A,0)),H152&lt;=5000,INDEX('Pliegos Tarifarios (Quilicura)'!$I:$I,MATCH($B152,'Pliegos Tarifarios (Quilicura)'!$A:$A,0)),H152&gt;5000,INDEX('Pliegos Tarifarios (Quilicura)'!$J:$J,MATCH($B152,'Pliegos Tarifarios (Quilicura)'!$A:$A,0)))/1.19</f>
        <v>3487.0631948739497</v>
      </c>
      <c r="R152" s="19">
        <f>INDEX('Pliegos Tarifarios (Quilicura)'!$K:$K,MATCH($B152,'Pliegos Tarifarios (Quilicura)'!$A:$A,0))</f>
        <v>716.899</v>
      </c>
      <c r="S152" s="21">
        <f t="shared" si="9"/>
        <v>212258.28013227394</v>
      </c>
      <c r="T152" s="21">
        <f t="shared" si="10"/>
        <v>40329.073225132051</v>
      </c>
      <c r="U152" s="19">
        <v>0</v>
      </c>
      <c r="V152" s="21">
        <f t="shared" si="11"/>
        <v>252587.35335740598</v>
      </c>
    </row>
    <row r="153" spans="1:22" x14ac:dyDescent="0.3">
      <c r="A153" s="3" t="s">
        <v>142</v>
      </c>
      <c r="B153" s="3">
        <v>3</v>
      </c>
      <c r="C153" s="4" t="s">
        <v>186</v>
      </c>
      <c r="D153" s="3" t="s">
        <v>196</v>
      </c>
      <c r="E153" s="3" t="s">
        <v>34</v>
      </c>
      <c r="F153" s="4" t="s">
        <v>37</v>
      </c>
      <c r="G153" s="3" t="s">
        <v>30</v>
      </c>
      <c r="H153" s="5">
        <v>932.51570000000004</v>
      </c>
      <c r="I153" s="5">
        <v>2.4891000000000001</v>
      </c>
      <c r="J153" s="5">
        <v>2.4891000000000001</v>
      </c>
      <c r="K153" s="6">
        <v>1</v>
      </c>
      <c r="L153" s="5">
        <v>33.299999999999997</v>
      </c>
      <c r="M153" s="19">
        <f>H153*INDEX('Pliegos Tarifarios (Quilicura)'!$B:$B,MATCH($B153,'Pliegos Tarifarios (Quilicura)'!$A:$A,0))</f>
        <v>110818.3007566</v>
      </c>
      <c r="N153" s="19">
        <f>I153*INDEX('Pliegos Tarifarios (Quilicura)'!$C:$C,MATCH($B153,'Pliegos Tarifarios (Quilicura)'!$A:$A,0))</f>
        <v>8692.6067678999989</v>
      </c>
      <c r="O153" s="19">
        <f>J153*INDEX('Pliegos Tarifarios (Quilicura)'!$D:$D,MATCH($B153,'Pliegos Tarifarios (Quilicura)'!$A:$A,0))</f>
        <v>35327.335816500003</v>
      </c>
      <c r="P153" s="19">
        <f>H153*INDEX('Pliegos Tarifarios (Quilicura)'!$E:$E,MATCH($B153,'Pliegos Tarifarios (Quilicura)'!$A:$A,0))</f>
        <v>12059.293032400001</v>
      </c>
      <c r="Q153" s="19" cm="1">
        <f t="array" ref="Q153">H153*_xlfn.IFS(H153&lt;=350,INDEX('Pliegos Tarifarios (Quilicura)'!$F:$F,MATCH($B153,'Pliegos Tarifarios (Quilicura)'!$A:$A,0)),H153&lt;=500,INDEX('Pliegos Tarifarios (Quilicura)'!$G:$G,MATCH($B153,'Pliegos Tarifarios (Quilicura)'!$A:$A,0)),H153&lt;=1000,INDEX('Pliegos Tarifarios (Quilicura)'!$H:$H,MATCH($B153,'Pliegos Tarifarios (Quilicura)'!$A:$A,0)),H153&lt;=5000,INDEX('Pliegos Tarifarios (Quilicura)'!$I:$I,MATCH($B153,'Pliegos Tarifarios (Quilicura)'!$A:$A,0)),H153&gt;5000,INDEX('Pliegos Tarifarios (Quilicura)'!$J:$J,MATCH($B153,'Pliegos Tarifarios (Quilicura)'!$A:$A,0)))/1.19</f>
        <v>2187.1019484873955</v>
      </c>
      <c r="R153" s="19">
        <f>INDEX('Pliegos Tarifarios (Quilicura)'!$K:$K,MATCH($B153,'Pliegos Tarifarios (Quilicura)'!$A:$A,0))</f>
        <v>716.899</v>
      </c>
      <c r="S153" s="21">
        <f t="shared" si="9"/>
        <v>169801.53732188739</v>
      </c>
      <c r="T153" s="21">
        <f t="shared" si="10"/>
        <v>32262.292091158604</v>
      </c>
      <c r="U153" s="19">
        <v>0</v>
      </c>
      <c r="V153" s="21">
        <f t="shared" si="11"/>
        <v>202063.82941304598</v>
      </c>
    </row>
    <row r="154" spans="1:22" x14ac:dyDescent="0.3">
      <c r="A154" s="3" t="s">
        <v>142</v>
      </c>
      <c r="B154" s="3">
        <v>3</v>
      </c>
      <c r="C154" s="4" t="s">
        <v>186</v>
      </c>
      <c r="D154" s="3" t="s">
        <v>197</v>
      </c>
      <c r="E154" s="3" t="s">
        <v>34</v>
      </c>
      <c r="F154" s="4" t="s">
        <v>39</v>
      </c>
      <c r="G154" s="3" t="s">
        <v>30</v>
      </c>
      <c r="H154" s="5">
        <v>929.83090000000004</v>
      </c>
      <c r="I154" s="5">
        <v>2.4859</v>
      </c>
      <c r="J154" s="5">
        <v>2.4422000000000001</v>
      </c>
      <c r="K154" s="6">
        <v>0.98242085361438525</v>
      </c>
      <c r="L154" s="5">
        <v>33.21</v>
      </c>
      <c r="M154" s="19">
        <f>H154*INDEX('Pliegos Tarifarios (Quilicura)'!$B:$B,MATCH($B154,'Pliegos Tarifarios (Quilicura)'!$A:$A,0))</f>
        <v>110499.2444942</v>
      </c>
      <c r="N154" s="19">
        <f>I154*INDEX('Pliegos Tarifarios (Quilicura)'!$C:$C,MATCH($B154,'Pliegos Tarifarios (Quilicura)'!$A:$A,0))</f>
        <v>8681.4315071000001</v>
      </c>
      <c r="O154" s="19">
        <f>J154*INDEX('Pliegos Tarifarios (Quilicura)'!$D:$D,MATCH($B154,'Pliegos Tarifarios (Quilicura)'!$A:$A,0))</f>
        <v>34661.692793000002</v>
      </c>
      <c r="P154" s="19">
        <f>H154*INDEX('Pliegos Tarifarios (Quilicura)'!$E:$E,MATCH($B154,'Pliegos Tarifarios (Quilicura)'!$A:$A,0))</f>
        <v>12024.573198800001</v>
      </c>
      <c r="Q154" s="19" cm="1">
        <f t="array" ref="Q154">H154*_xlfn.IFS(H154&lt;=350,INDEX('Pliegos Tarifarios (Quilicura)'!$F:$F,MATCH($B154,'Pliegos Tarifarios (Quilicura)'!$A:$A,0)),H154&lt;=500,INDEX('Pliegos Tarifarios (Quilicura)'!$G:$G,MATCH($B154,'Pliegos Tarifarios (Quilicura)'!$A:$A,0)),H154&lt;=1000,INDEX('Pliegos Tarifarios (Quilicura)'!$H:$H,MATCH($B154,'Pliegos Tarifarios (Quilicura)'!$A:$A,0)),H154&lt;=5000,INDEX('Pliegos Tarifarios (Quilicura)'!$I:$I,MATCH($B154,'Pliegos Tarifarios (Quilicura)'!$A:$A,0)),H154&gt;5000,INDEX('Pliegos Tarifarios (Quilicura)'!$J:$J,MATCH($B154,'Pliegos Tarifarios (Quilicura)'!$A:$A,0)))/1.19</f>
        <v>2180.8050772268912</v>
      </c>
      <c r="R154" s="19">
        <f>INDEX('Pliegos Tarifarios (Quilicura)'!$K:$K,MATCH($B154,'Pliegos Tarifarios (Quilicura)'!$A:$A,0))</f>
        <v>716.899</v>
      </c>
      <c r="S154" s="21">
        <f t="shared" si="9"/>
        <v>168764.64607032691</v>
      </c>
      <c r="T154" s="21">
        <f t="shared" si="10"/>
        <v>32065.282753362113</v>
      </c>
      <c r="U154" s="19">
        <v>0</v>
      </c>
      <c r="V154" s="21">
        <f t="shared" si="11"/>
        <v>200829.92882368903</v>
      </c>
    </row>
    <row r="155" spans="1:22" x14ac:dyDescent="0.3">
      <c r="A155" s="3" t="s">
        <v>142</v>
      </c>
      <c r="B155" s="3">
        <v>3</v>
      </c>
      <c r="C155" s="4" t="s">
        <v>186</v>
      </c>
      <c r="D155" s="3" t="s">
        <v>198</v>
      </c>
      <c r="E155" s="3" t="s">
        <v>34</v>
      </c>
      <c r="F155" s="4" t="s">
        <v>41</v>
      </c>
      <c r="G155" s="3" t="s">
        <v>30</v>
      </c>
      <c r="H155" s="5">
        <v>697.22450000000003</v>
      </c>
      <c r="I155" s="5">
        <v>1.8607</v>
      </c>
      <c r="J155" s="5">
        <v>1.8607</v>
      </c>
      <c r="K155" s="6">
        <v>1</v>
      </c>
      <c r="L155" s="5">
        <v>24.9</v>
      </c>
      <c r="M155" s="19">
        <f>H155*INDEX('Pliegos Tarifarios (Quilicura)'!$B:$B,MATCH($B155,'Pliegos Tarifarios (Quilicura)'!$A:$A,0))</f>
        <v>82856.765130999993</v>
      </c>
      <c r="N155" s="19">
        <f>I155*INDEX('Pliegos Tarifarios (Quilicura)'!$C:$C,MATCH($B155,'Pliegos Tarifarios (Quilicura)'!$A:$A,0))</f>
        <v>6498.0649282999993</v>
      </c>
      <c r="O155" s="19">
        <f>J155*INDEX('Pliegos Tarifarios (Quilicura)'!$D:$D,MATCH($B155,'Pliegos Tarifarios (Quilicura)'!$A:$A,0))</f>
        <v>26408.5708705</v>
      </c>
      <c r="P155" s="19">
        <f>H155*INDEX('Pliegos Tarifarios (Quilicura)'!$E:$E,MATCH($B155,'Pliegos Tarifarios (Quilicura)'!$A:$A,0))</f>
        <v>9016.5072340000006</v>
      </c>
      <c r="Q155" s="19" cm="1">
        <f t="array" ref="Q155">H155*_xlfn.IFS(H155&lt;=350,INDEX('Pliegos Tarifarios (Quilicura)'!$F:$F,MATCH($B155,'Pliegos Tarifarios (Quilicura)'!$A:$A,0)),H155&lt;=500,INDEX('Pliegos Tarifarios (Quilicura)'!$G:$G,MATCH($B155,'Pliegos Tarifarios (Quilicura)'!$A:$A,0)),H155&lt;=1000,INDEX('Pliegos Tarifarios (Quilicura)'!$H:$H,MATCH($B155,'Pliegos Tarifarios (Quilicura)'!$A:$A,0)),H155&lt;=5000,INDEX('Pliegos Tarifarios (Quilicura)'!$I:$I,MATCH($B155,'Pliegos Tarifarios (Quilicura)'!$A:$A,0)),H155&gt;5000,INDEX('Pliegos Tarifarios (Quilicura)'!$J:$J,MATCH($B155,'Pliegos Tarifarios (Quilicura)'!$A:$A,0)))/1.19</f>
        <v>1635.2551088235298</v>
      </c>
      <c r="R155" s="19">
        <f>INDEX('Pliegos Tarifarios (Quilicura)'!$K:$K,MATCH($B155,'Pliegos Tarifarios (Quilicura)'!$A:$A,0))</f>
        <v>716.899</v>
      </c>
      <c r="S155" s="21">
        <f t="shared" si="9"/>
        <v>127132.06227262353</v>
      </c>
      <c r="T155" s="21">
        <f t="shared" si="10"/>
        <v>24155.091831798472</v>
      </c>
      <c r="U155" s="19">
        <v>0</v>
      </c>
      <c r="V155" s="21">
        <f t="shared" si="11"/>
        <v>151287.15410442199</v>
      </c>
    </row>
    <row r="156" spans="1:22" x14ac:dyDescent="0.3">
      <c r="A156" s="3" t="s">
        <v>142</v>
      </c>
      <c r="B156" s="3">
        <v>3</v>
      </c>
      <c r="C156" s="4" t="s">
        <v>186</v>
      </c>
      <c r="D156" s="3" t="s">
        <v>199</v>
      </c>
      <c r="E156" s="3" t="s">
        <v>34</v>
      </c>
      <c r="F156" s="4" t="s">
        <v>43</v>
      </c>
      <c r="G156" s="3" t="s">
        <v>30</v>
      </c>
      <c r="H156" s="5">
        <v>696.37959999999998</v>
      </c>
      <c r="I156" s="5">
        <v>1.9052</v>
      </c>
      <c r="J156" s="5">
        <v>1.8951</v>
      </c>
      <c r="K156" s="6">
        <v>0.99469871929456222</v>
      </c>
      <c r="L156" s="5">
        <v>24.87</v>
      </c>
      <c r="M156" s="19">
        <f>H156*INDEX('Pliegos Tarifarios (Quilicura)'!$B:$B,MATCH($B156,'Pliegos Tarifarios (Quilicura)'!$A:$A,0))</f>
        <v>82756.358904799999</v>
      </c>
      <c r="N156" s="19">
        <f>I156*INDEX('Pliegos Tarifarios (Quilicura)'!$C:$C,MATCH($B156,'Pliegos Tarifarios (Quilicura)'!$A:$A,0))</f>
        <v>6653.4708987999993</v>
      </c>
      <c r="O156" s="19">
        <f>J156*INDEX('Pliegos Tarifarios (Quilicura)'!$D:$D,MATCH($B156,'Pliegos Tarifarios (Quilicura)'!$A:$A,0))</f>
        <v>26896.803706500003</v>
      </c>
      <c r="P156" s="19">
        <f>H156*INDEX('Pliegos Tarifarios (Quilicura)'!$E:$E,MATCH($B156,'Pliegos Tarifarios (Quilicura)'!$A:$A,0))</f>
        <v>9005.5809872000009</v>
      </c>
      <c r="Q156" s="19" cm="1">
        <f t="array" ref="Q156">H156*_xlfn.IFS(H156&lt;=350,INDEX('Pliegos Tarifarios (Quilicura)'!$F:$F,MATCH($B156,'Pliegos Tarifarios (Quilicura)'!$A:$A,0)),H156&lt;=500,INDEX('Pliegos Tarifarios (Quilicura)'!$G:$G,MATCH($B156,'Pliegos Tarifarios (Quilicura)'!$A:$A,0)),H156&lt;=1000,INDEX('Pliegos Tarifarios (Quilicura)'!$H:$H,MATCH($B156,'Pliegos Tarifarios (Quilicura)'!$A:$A,0)),H156&lt;=5000,INDEX('Pliegos Tarifarios (Quilicura)'!$I:$I,MATCH($B156,'Pliegos Tarifarios (Quilicura)'!$A:$A,0)),H156&gt;5000,INDEX('Pliegos Tarifarios (Quilicura)'!$J:$J,MATCH($B156,'Pliegos Tarifarios (Quilicura)'!$A:$A,0)))/1.19</f>
        <v>1633.2734988235295</v>
      </c>
      <c r="R156" s="19">
        <f>INDEX('Pliegos Tarifarios (Quilicura)'!$K:$K,MATCH($B156,'Pliegos Tarifarios (Quilicura)'!$A:$A,0))</f>
        <v>716.899</v>
      </c>
      <c r="S156" s="21">
        <f t="shared" si="9"/>
        <v>127662.38699612355</v>
      </c>
      <c r="T156" s="21">
        <f t="shared" si="10"/>
        <v>24255.853529263473</v>
      </c>
      <c r="U156" s="19">
        <v>0</v>
      </c>
      <c r="V156" s="21">
        <f t="shared" si="11"/>
        <v>151918.24052538702</v>
      </c>
    </row>
    <row r="157" spans="1:22" x14ac:dyDescent="0.3">
      <c r="A157" s="3" t="s">
        <v>142</v>
      </c>
      <c r="B157" s="3">
        <v>3</v>
      </c>
      <c r="C157" s="4" t="s">
        <v>186</v>
      </c>
      <c r="D157" s="3" t="s">
        <v>200</v>
      </c>
      <c r="E157" s="3" t="s">
        <v>34</v>
      </c>
      <c r="F157" s="4" t="s">
        <v>45</v>
      </c>
      <c r="G157" s="3" t="s">
        <v>30</v>
      </c>
      <c r="H157" s="5">
        <v>697.96770000000004</v>
      </c>
      <c r="I157" s="5">
        <v>1.9007000000000001</v>
      </c>
      <c r="J157" s="5">
        <v>1.9007000000000001</v>
      </c>
      <c r="K157" s="6">
        <v>1</v>
      </c>
      <c r="L157" s="5">
        <v>24.93</v>
      </c>
      <c r="M157" s="19">
        <f>H157*INDEX('Pliegos Tarifarios (Quilicura)'!$B:$B,MATCH($B157,'Pliegos Tarifarios (Quilicura)'!$A:$A,0))</f>
        <v>82945.085532600002</v>
      </c>
      <c r="N157" s="19">
        <f>I157*INDEX('Pliegos Tarifarios (Quilicura)'!$C:$C,MATCH($B157,'Pliegos Tarifarios (Quilicura)'!$A:$A,0))</f>
        <v>6637.7556882999997</v>
      </c>
      <c r="O157" s="19">
        <f>J157*INDEX('Pliegos Tarifarios (Quilicura)'!$D:$D,MATCH($B157,'Pliegos Tarifarios (Quilicura)'!$A:$A,0))</f>
        <v>26976.283470500002</v>
      </c>
      <c r="P157" s="19">
        <f>H157*INDEX('Pliegos Tarifarios (Quilicura)'!$E:$E,MATCH($B157,'Pliegos Tarifarios (Quilicura)'!$A:$A,0))</f>
        <v>9026.1182964</v>
      </c>
      <c r="Q157" s="19" cm="1">
        <f t="array" ref="Q157">H157*_xlfn.IFS(H157&lt;=350,INDEX('Pliegos Tarifarios (Quilicura)'!$F:$F,MATCH($B157,'Pliegos Tarifarios (Quilicura)'!$A:$A,0)),H157&lt;=500,INDEX('Pliegos Tarifarios (Quilicura)'!$G:$G,MATCH($B157,'Pliegos Tarifarios (Quilicura)'!$A:$A,0)),H157&lt;=1000,INDEX('Pliegos Tarifarios (Quilicura)'!$H:$H,MATCH($B157,'Pliegos Tarifarios (Quilicura)'!$A:$A,0)),H157&lt;=5000,INDEX('Pliegos Tarifarios (Quilicura)'!$I:$I,MATCH($B157,'Pliegos Tarifarios (Quilicura)'!$A:$A,0)),H157&gt;5000,INDEX('Pliegos Tarifarios (Quilicura)'!$J:$J,MATCH($B157,'Pliegos Tarifarios (Quilicura)'!$A:$A,0)))/1.19</f>
        <v>1636.9981938655465</v>
      </c>
      <c r="R157" s="19">
        <f>INDEX('Pliegos Tarifarios (Quilicura)'!$K:$K,MATCH($B157,'Pliegos Tarifarios (Quilicura)'!$A:$A,0))</f>
        <v>716.899</v>
      </c>
      <c r="S157" s="21">
        <f t="shared" si="9"/>
        <v>127939.14018166556</v>
      </c>
      <c r="T157" s="21">
        <f t="shared" si="10"/>
        <v>24308.436634516456</v>
      </c>
      <c r="U157" s="19">
        <v>0</v>
      </c>
      <c r="V157" s="21">
        <f t="shared" si="11"/>
        <v>152247.576816182</v>
      </c>
    </row>
    <row r="158" spans="1:22" x14ac:dyDescent="0.3">
      <c r="A158" s="3" t="s">
        <v>142</v>
      </c>
      <c r="B158" s="3">
        <v>3</v>
      </c>
      <c r="C158" s="4" t="s">
        <v>186</v>
      </c>
      <c r="D158" s="3" t="s">
        <v>201</v>
      </c>
      <c r="E158" s="3" t="s">
        <v>47</v>
      </c>
      <c r="F158" s="4" t="s">
        <v>48</v>
      </c>
      <c r="G158" s="3" t="s">
        <v>30</v>
      </c>
      <c r="H158" s="5">
        <v>697.17139999999995</v>
      </c>
      <c r="I158" s="5">
        <v>1.9429000000000001</v>
      </c>
      <c r="J158" s="5">
        <v>1.8232999999999999</v>
      </c>
      <c r="K158" s="6">
        <v>0.93844253435585967</v>
      </c>
      <c r="L158" s="5">
        <v>24.9</v>
      </c>
      <c r="M158" s="19">
        <f>H158*INDEX('Pliegos Tarifarios (Quilicura)'!$B:$B,MATCH($B158,'Pliegos Tarifarios (Quilicura)'!$A:$A,0))</f>
        <v>82850.454833199983</v>
      </c>
      <c r="N158" s="19">
        <f>I158*INDEX('Pliegos Tarifarios (Quilicura)'!$C:$C,MATCH($B158,'Pliegos Tarifarios (Quilicura)'!$A:$A,0))</f>
        <v>6785.1294400999996</v>
      </c>
      <c r="O158" s="19">
        <f>J158*INDEX('Pliegos Tarifarios (Quilicura)'!$D:$D,MATCH($B158,'Pliegos Tarifarios (Quilicura)'!$A:$A,0))</f>
        <v>25877.759589500001</v>
      </c>
      <c r="P158" s="19">
        <f>H158*INDEX('Pliegos Tarifarios (Quilicura)'!$E:$E,MATCH($B158,'Pliegos Tarifarios (Quilicura)'!$A:$A,0))</f>
        <v>9015.820544799999</v>
      </c>
      <c r="Q158" s="19" cm="1">
        <f t="array" ref="Q158">H158*_xlfn.IFS(H158&lt;=350,INDEX('Pliegos Tarifarios (Quilicura)'!$F:$F,MATCH($B158,'Pliegos Tarifarios (Quilicura)'!$A:$A,0)),H158&lt;=500,INDEX('Pliegos Tarifarios (Quilicura)'!$G:$G,MATCH($B158,'Pliegos Tarifarios (Quilicura)'!$A:$A,0)),H158&lt;=1000,INDEX('Pliegos Tarifarios (Quilicura)'!$H:$H,MATCH($B158,'Pliegos Tarifarios (Quilicura)'!$A:$A,0)),H158&lt;=5000,INDEX('Pliegos Tarifarios (Quilicura)'!$I:$I,MATCH($B158,'Pliegos Tarifarios (Quilicura)'!$A:$A,0)),H158&gt;5000,INDEX('Pliegos Tarifarios (Quilicura)'!$J:$J,MATCH($B158,'Pliegos Tarifarios (Quilicura)'!$A:$A,0)))/1.19</f>
        <v>1635.1305692436977</v>
      </c>
      <c r="R158" s="19">
        <f>INDEX('Pliegos Tarifarios (Quilicura)'!$K:$K,MATCH($B158,'Pliegos Tarifarios (Quilicura)'!$A:$A,0))</f>
        <v>716.899</v>
      </c>
      <c r="S158" s="21">
        <f t="shared" si="9"/>
        <v>126881.19397684369</v>
      </c>
      <c r="T158" s="21">
        <f t="shared" si="10"/>
        <v>24107.426855600301</v>
      </c>
      <c r="U158" s="19">
        <v>0</v>
      </c>
      <c r="V158" s="21">
        <f t="shared" si="11"/>
        <v>150988.62083244399</v>
      </c>
    </row>
    <row r="159" spans="1:22" x14ac:dyDescent="0.3">
      <c r="A159" s="3" t="s">
        <v>142</v>
      </c>
      <c r="B159" s="3">
        <v>3</v>
      </c>
      <c r="C159" s="4" t="s">
        <v>186</v>
      </c>
      <c r="D159" s="3" t="s">
        <v>202</v>
      </c>
      <c r="E159" s="3" t="s">
        <v>47</v>
      </c>
      <c r="F159" s="4" t="s">
        <v>50</v>
      </c>
      <c r="G159" s="3" t="s">
        <v>30</v>
      </c>
      <c r="H159" s="5">
        <v>698.08069999999998</v>
      </c>
      <c r="I159" s="5">
        <v>1.8934</v>
      </c>
      <c r="J159" s="5">
        <v>1.8531</v>
      </c>
      <c r="K159" s="6">
        <v>0.97871553818527512</v>
      </c>
      <c r="L159" s="5">
        <v>24.93</v>
      </c>
      <c r="M159" s="19">
        <f>H159*INDEX('Pliegos Tarifarios (Quilicura)'!$B:$B,MATCH($B159,'Pliegos Tarifarios (Quilicura)'!$A:$A,0))</f>
        <v>82958.514226599989</v>
      </c>
      <c r="N159" s="19">
        <f>I159*INDEX('Pliegos Tarifarios (Quilicura)'!$C:$C,MATCH($B159,'Pliegos Tarifarios (Quilicura)'!$A:$A,0))</f>
        <v>6612.2621245999999</v>
      </c>
      <c r="O159" s="19">
        <f>J159*INDEX('Pliegos Tarifarios (Quilicura)'!$D:$D,MATCH($B159,'Pliegos Tarifarios (Quilicura)'!$A:$A,0))</f>
        <v>26300.705476499999</v>
      </c>
      <c r="P159" s="19">
        <f>H159*INDEX('Pliegos Tarifarios (Quilicura)'!$E:$E,MATCH($B159,'Pliegos Tarifarios (Quilicura)'!$A:$A,0))</f>
        <v>9027.5796124000008</v>
      </c>
      <c r="Q159" s="19" cm="1">
        <f t="array" ref="Q159">H159*_xlfn.IFS(H159&lt;=350,INDEX('Pliegos Tarifarios (Quilicura)'!$F:$F,MATCH($B159,'Pliegos Tarifarios (Quilicura)'!$A:$A,0)),H159&lt;=500,INDEX('Pliegos Tarifarios (Quilicura)'!$G:$G,MATCH($B159,'Pliegos Tarifarios (Quilicura)'!$A:$A,0)),H159&lt;=1000,INDEX('Pliegos Tarifarios (Quilicura)'!$H:$H,MATCH($B159,'Pliegos Tarifarios (Quilicura)'!$A:$A,0)),H159&lt;=5000,INDEX('Pliegos Tarifarios (Quilicura)'!$I:$I,MATCH($B159,'Pliegos Tarifarios (Quilicura)'!$A:$A,0)),H159&gt;5000,INDEX('Pliegos Tarifarios (Quilicura)'!$J:$J,MATCH($B159,'Pliegos Tarifarios (Quilicura)'!$A:$A,0)))/1.19</f>
        <v>1637.2632215966389</v>
      </c>
      <c r="R159" s="19">
        <f>INDEX('Pliegos Tarifarios (Quilicura)'!$K:$K,MATCH($B159,'Pliegos Tarifarios (Quilicura)'!$A:$A,0))</f>
        <v>716.899</v>
      </c>
      <c r="S159" s="21">
        <f t="shared" si="9"/>
        <v>127253.22366169664</v>
      </c>
      <c r="T159" s="21">
        <f t="shared" si="10"/>
        <v>24178.112495722362</v>
      </c>
      <c r="U159" s="19">
        <v>0</v>
      </c>
      <c r="V159" s="21">
        <f t="shared" si="11"/>
        <v>151431.33615741899</v>
      </c>
    </row>
    <row r="160" spans="1:22" x14ac:dyDescent="0.3">
      <c r="A160" s="3" t="s">
        <v>142</v>
      </c>
      <c r="B160" s="3">
        <v>3</v>
      </c>
      <c r="C160" s="4" t="s">
        <v>186</v>
      </c>
      <c r="D160" s="3" t="s">
        <v>203</v>
      </c>
      <c r="E160" s="3" t="s">
        <v>52</v>
      </c>
      <c r="F160" s="4" t="s">
        <v>53</v>
      </c>
      <c r="G160" s="3" t="s">
        <v>30</v>
      </c>
      <c r="H160" s="5">
        <v>697.90800000000002</v>
      </c>
      <c r="I160" s="5">
        <v>1.9265000000000001</v>
      </c>
      <c r="J160" s="5">
        <v>1.9265000000000001</v>
      </c>
      <c r="K160" s="6">
        <v>1</v>
      </c>
      <c r="L160" s="5">
        <v>24.93</v>
      </c>
      <c r="M160" s="19">
        <f>H160*INDEX('Pliegos Tarifarios (Quilicura)'!$B:$B,MATCH($B160,'Pliegos Tarifarios (Quilicura)'!$A:$A,0))</f>
        <v>82937.990903999991</v>
      </c>
      <c r="N160" s="19">
        <f>I160*INDEX('Pliegos Tarifarios (Quilicura)'!$C:$C,MATCH($B160,'Pliegos Tarifarios (Quilicura)'!$A:$A,0))</f>
        <v>6727.8562284999998</v>
      </c>
      <c r="O160" s="19">
        <f>J160*INDEX('Pliegos Tarifarios (Quilicura)'!$D:$D,MATCH($B160,'Pliegos Tarifarios (Quilicura)'!$A:$A,0))</f>
        <v>27342.458097500003</v>
      </c>
      <c r="P160" s="19">
        <f>H160*INDEX('Pliegos Tarifarios (Quilicura)'!$E:$E,MATCH($B160,'Pliegos Tarifarios (Quilicura)'!$A:$A,0))</f>
        <v>9025.3462560000007</v>
      </c>
      <c r="Q160" s="19" cm="1">
        <f t="array" ref="Q160">H160*_xlfn.IFS(H160&lt;=350,INDEX('Pliegos Tarifarios (Quilicura)'!$F:$F,MATCH($B160,'Pliegos Tarifarios (Quilicura)'!$A:$A,0)),H160&lt;=500,INDEX('Pliegos Tarifarios (Quilicura)'!$G:$G,MATCH($B160,'Pliegos Tarifarios (Quilicura)'!$A:$A,0)),H160&lt;=1000,INDEX('Pliegos Tarifarios (Quilicura)'!$H:$H,MATCH($B160,'Pliegos Tarifarios (Quilicura)'!$A:$A,0)),H160&lt;=5000,INDEX('Pliegos Tarifarios (Quilicura)'!$I:$I,MATCH($B160,'Pliegos Tarifarios (Quilicura)'!$A:$A,0)),H160&gt;5000,INDEX('Pliegos Tarifarios (Quilicura)'!$J:$J,MATCH($B160,'Pliegos Tarifarios (Quilicura)'!$A:$A,0)))/1.19</f>
        <v>1636.8581747899161</v>
      </c>
      <c r="R160" s="19">
        <f>INDEX('Pliegos Tarifarios (Quilicura)'!$K:$K,MATCH($B160,'Pliegos Tarifarios (Quilicura)'!$A:$A,0))</f>
        <v>716.899</v>
      </c>
      <c r="S160" s="21">
        <f t="shared" si="9"/>
        <v>128387.40866078991</v>
      </c>
      <c r="T160" s="21">
        <f t="shared" si="10"/>
        <v>24393.607645550084</v>
      </c>
      <c r="U160" s="19">
        <v>0</v>
      </c>
      <c r="V160" s="21">
        <f t="shared" si="11"/>
        <v>152781.01630634</v>
      </c>
    </row>
    <row r="161" spans="1:22" x14ac:dyDescent="0.3">
      <c r="A161" s="3" t="s">
        <v>142</v>
      </c>
      <c r="B161" s="3">
        <v>3</v>
      </c>
      <c r="C161" s="4" t="s">
        <v>186</v>
      </c>
      <c r="D161" s="3" t="s">
        <v>204</v>
      </c>
      <c r="E161" s="3" t="s">
        <v>55</v>
      </c>
      <c r="F161" s="4" t="s">
        <v>56</v>
      </c>
      <c r="G161" s="3" t="s">
        <v>30</v>
      </c>
      <c r="H161" s="5">
        <v>465.82859999999999</v>
      </c>
      <c r="I161" s="5">
        <v>1.2518</v>
      </c>
      <c r="J161" s="5">
        <v>1.2312000000000001</v>
      </c>
      <c r="K161" s="6">
        <v>0.98354369707621025</v>
      </c>
      <c r="L161" s="5">
        <v>16.64</v>
      </c>
      <c r="M161" s="19">
        <f>H161*INDEX('Pliegos Tarifarios (Quilicura)'!$B:$B,MATCH($B161,'Pliegos Tarifarios (Quilicura)'!$A:$A,0))</f>
        <v>55358.1391668</v>
      </c>
      <c r="N161" s="19">
        <f>I161*INDEX('Pliegos Tarifarios (Quilicura)'!$C:$C,MATCH($B161,'Pliegos Tarifarios (Quilicura)'!$A:$A,0))</f>
        <v>4371.6223341999994</v>
      </c>
      <c r="O161" s="19">
        <f>J161*INDEX('Pliegos Tarifarios (Quilicura)'!$D:$D,MATCH($B161,'Pliegos Tarifarios (Quilicura)'!$A:$A,0))</f>
        <v>17474.193828000003</v>
      </c>
      <c r="P161" s="19">
        <f>H161*INDEX('Pliegos Tarifarios (Quilicura)'!$E:$E,MATCH($B161,'Pliegos Tarifarios (Quilicura)'!$A:$A,0))</f>
        <v>6024.0954552000003</v>
      </c>
      <c r="Q161" s="19" cm="1">
        <f t="array" ref="Q161">H161*_xlfn.IFS(H161&lt;=350,INDEX('Pliegos Tarifarios (Quilicura)'!$F:$F,MATCH($B161,'Pliegos Tarifarios (Quilicura)'!$A:$A,0)),H161&lt;=500,INDEX('Pliegos Tarifarios (Quilicura)'!$G:$G,MATCH($B161,'Pliegos Tarifarios (Quilicura)'!$A:$A,0)),H161&lt;=1000,INDEX('Pliegos Tarifarios (Quilicura)'!$H:$H,MATCH($B161,'Pliegos Tarifarios (Quilicura)'!$A:$A,0)),H161&lt;=5000,INDEX('Pliegos Tarifarios (Quilicura)'!$I:$I,MATCH($B161,'Pliegos Tarifarios (Quilicura)'!$A:$A,0)),H161&gt;5000,INDEX('Pliegos Tarifarios (Quilicura)'!$J:$J,MATCH($B161,'Pliegos Tarifarios (Quilicura)'!$A:$A,0)))/1.19</f>
        <v>656.07456605042023</v>
      </c>
      <c r="R161" s="19">
        <f>INDEX('Pliegos Tarifarios (Quilicura)'!$K:$K,MATCH($B161,'Pliegos Tarifarios (Quilicura)'!$A:$A,0))</f>
        <v>716.899</v>
      </c>
      <c r="S161" s="21">
        <f t="shared" si="9"/>
        <v>84601.024350250431</v>
      </c>
      <c r="T161" s="21">
        <f t="shared" si="10"/>
        <v>16074.194626547582</v>
      </c>
      <c r="U161" s="19">
        <v>0</v>
      </c>
      <c r="V161" s="21">
        <f t="shared" si="11"/>
        <v>100675.21897679802</v>
      </c>
    </row>
    <row r="162" spans="1:22" x14ac:dyDescent="0.3">
      <c r="A162" s="3" t="s">
        <v>142</v>
      </c>
      <c r="B162" s="3">
        <v>3</v>
      </c>
      <c r="C162" s="4" t="s">
        <v>186</v>
      </c>
      <c r="D162" s="3" t="s">
        <v>205</v>
      </c>
      <c r="E162" s="3" t="s">
        <v>58</v>
      </c>
      <c r="F162" s="4" t="s">
        <v>59</v>
      </c>
      <c r="G162" s="3" t="s">
        <v>30</v>
      </c>
      <c r="H162" s="5">
        <v>464.55079999999998</v>
      </c>
      <c r="I162" s="5">
        <v>1.2605999999999999</v>
      </c>
      <c r="J162" s="5">
        <v>1.2157</v>
      </c>
      <c r="K162" s="6">
        <v>0.96438204029827068</v>
      </c>
      <c r="L162" s="5">
        <v>16.59</v>
      </c>
      <c r="M162" s="19">
        <f>H162*INDEX('Pliegos Tarifarios (Quilicura)'!$B:$B,MATCH($B162,'Pliegos Tarifarios (Quilicura)'!$A:$A,0))</f>
        <v>55206.287970399993</v>
      </c>
      <c r="N162" s="19">
        <f>I162*INDEX('Pliegos Tarifarios (Quilicura)'!$C:$C,MATCH($B162,'Pliegos Tarifarios (Quilicura)'!$A:$A,0))</f>
        <v>4402.3543013999997</v>
      </c>
      <c r="O162" s="19">
        <f>J162*INDEX('Pliegos Tarifarios (Quilicura)'!$D:$D,MATCH($B162,'Pliegos Tarifarios (Quilicura)'!$A:$A,0))</f>
        <v>17254.205195500002</v>
      </c>
      <c r="P162" s="19">
        <f>H162*INDEX('Pliegos Tarifarios (Quilicura)'!$E:$E,MATCH($B162,'Pliegos Tarifarios (Quilicura)'!$A:$A,0))</f>
        <v>6007.5709455999995</v>
      </c>
      <c r="Q162" s="19" cm="1">
        <f t="array" ref="Q162">H162*_xlfn.IFS(H162&lt;=350,INDEX('Pliegos Tarifarios (Quilicura)'!$F:$F,MATCH($B162,'Pliegos Tarifarios (Quilicura)'!$A:$A,0)),H162&lt;=500,INDEX('Pliegos Tarifarios (Quilicura)'!$G:$G,MATCH($B162,'Pliegos Tarifarios (Quilicura)'!$A:$A,0)),H162&lt;=1000,INDEX('Pliegos Tarifarios (Quilicura)'!$H:$H,MATCH($B162,'Pliegos Tarifarios (Quilicura)'!$A:$A,0)),H162&lt;=5000,INDEX('Pliegos Tarifarios (Quilicura)'!$I:$I,MATCH($B162,'Pliegos Tarifarios (Quilicura)'!$A:$A,0)),H162&gt;5000,INDEX('Pliegos Tarifarios (Quilicura)'!$J:$J,MATCH($B162,'Pliegos Tarifarios (Quilicura)'!$A:$A,0)))/1.19</f>
        <v>654.27490823529422</v>
      </c>
      <c r="R162" s="19">
        <f>INDEX('Pliegos Tarifarios (Quilicura)'!$K:$K,MATCH($B162,'Pliegos Tarifarios (Quilicura)'!$A:$A,0))</f>
        <v>716.899</v>
      </c>
      <c r="S162" s="21">
        <f t="shared" si="9"/>
        <v>84241.592321135307</v>
      </c>
      <c r="T162" s="21">
        <f t="shared" si="10"/>
        <v>16005.902541015708</v>
      </c>
      <c r="U162" s="19">
        <v>0</v>
      </c>
      <c r="V162" s="21">
        <f t="shared" si="11"/>
        <v>100247.49486215101</v>
      </c>
    </row>
    <row r="163" spans="1:22" x14ac:dyDescent="0.3">
      <c r="A163" s="3" t="s">
        <v>142</v>
      </c>
      <c r="B163" s="3">
        <v>3</v>
      </c>
      <c r="C163" s="4" t="s">
        <v>186</v>
      </c>
      <c r="D163" s="3" t="s">
        <v>206</v>
      </c>
      <c r="E163" s="3" t="s">
        <v>61</v>
      </c>
      <c r="F163" s="4" t="s">
        <v>62</v>
      </c>
      <c r="G163" s="3" t="s">
        <v>30</v>
      </c>
      <c r="H163" s="5">
        <v>464.00420000000003</v>
      </c>
      <c r="I163" s="5">
        <v>1.2728999999999999</v>
      </c>
      <c r="J163" s="5">
        <v>1.2484999999999999</v>
      </c>
      <c r="K163" s="6">
        <v>0.98083117291224764</v>
      </c>
      <c r="L163" s="5">
        <v>16.57</v>
      </c>
      <c r="M163" s="19">
        <f>H163*INDEX('Pliegos Tarifarios (Quilicura)'!$B:$B,MATCH($B163,'Pliegos Tarifarios (Quilicura)'!$A:$A,0))</f>
        <v>55141.3311196</v>
      </c>
      <c r="N163" s="19">
        <f>I163*INDEX('Pliegos Tarifarios (Quilicura)'!$C:$C,MATCH($B163,'Pliegos Tarifarios (Quilicura)'!$A:$A,0))</f>
        <v>4445.3092100999993</v>
      </c>
      <c r="O163" s="19">
        <f>J163*INDEX('Pliegos Tarifarios (Quilicura)'!$D:$D,MATCH($B163,'Pliegos Tarifarios (Quilicura)'!$A:$A,0))</f>
        <v>17719.7295275</v>
      </c>
      <c r="P163" s="19">
        <f>H163*INDEX('Pliegos Tarifarios (Quilicura)'!$E:$E,MATCH($B163,'Pliegos Tarifarios (Quilicura)'!$A:$A,0))</f>
        <v>6000.5023144000006</v>
      </c>
      <c r="Q163" s="19" cm="1">
        <f t="array" ref="Q163">H163*_xlfn.IFS(H163&lt;=350,INDEX('Pliegos Tarifarios (Quilicura)'!$F:$F,MATCH($B163,'Pliegos Tarifarios (Quilicura)'!$A:$A,0)),H163&lt;=500,INDEX('Pliegos Tarifarios (Quilicura)'!$G:$G,MATCH($B163,'Pliegos Tarifarios (Quilicura)'!$A:$A,0)),H163&lt;=1000,INDEX('Pliegos Tarifarios (Quilicura)'!$H:$H,MATCH($B163,'Pliegos Tarifarios (Quilicura)'!$A:$A,0)),H163&lt;=5000,INDEX('Pliegos Tarifarios (Quilicura)'!$I:$I,MATCH($B163,'Pliegos Tarifarios (Quilicura)'!$A:$A,0)),H163&gt;5000,INDEX('Pliegos Tarifarios (Quilicura)'!$J:$J,MATCH($B163,'Pliegos Tarifarios (Quilicura)'!$A:$A,0)))/1.19</f>
        <v>653.50507495798331</v>
      </c>
      <c r="R163" s="19">
        <f>INDEX('Pliegos Tarifarios (Quilicura)'!$K:$K,MATCH($B163,'Pliegos Tarifarios (Quilicura)'!$A:$A,0))</f>
        <v>716.899</v>
      </c>
      <c r="S163" s="21">
        <f t="shared" si="9"/>
        <v>84677.276246557987</v>
      </c>
      <c r="T163" s="21">
        <f t="shared" si="10"/>
        <v>16088.682486846017</v>
      </c>
      <c r="U163" s="19">
        <v>0</v>
      </c>
      <c r="V163" s="21">
        <f t="shared" si="11"/>
        <v>100765.958733404</v>
      </c>
    </row>
    <row r="164" spans="1:22" x14ac:dyDescent="0.3">
      <c r="A164" s="3" t="s">
        <v>142</v>
      </c>
      <c r="B164" s="3">
        <v>3</v>
      </c>
      <c r="C164" s="4" t="s">
        <v>186</v>
      </c>
      <c r="D164" s="3" t="s">
        <v>207</v>
      </c>
      <c r="E164" s="3" t="s">
        <v>34</v>
      </c>
      <c r="F164" s="4" t="s">
        <v>64</v>
      </c>
      <c r="G164" s="3" t="s">
        <v>30</v>
      </c>
      <c r="H164" s="5">
        <v>930.13800000000003</v>
      </c>
      <c r="I164" s="5">
        <v>2.5306000000000002</v>
      </c>
      <c r="J164" s="5">
        <v>2.4624999999999999</v>
      </c>
      <c r="K164" s="6">
        <v>0.97308938591638339</v>
      </c>
      <c r="L164" s="5">
        <v>33.22</v>
      </c>
      <c r="M164" s="19">
        <f>H164*INDEX('Pliegos Tarifarios (Quilicura)'!$B:$B,MATCH($B164,'Pliegos Tarifarios (Quilicura)'!$A:$A,0))</f>
        <v>110535.739644</v>
      </c>
      <c r="N164" s="19">
        <f>I164*INDEX('Pliegos Tarifarios (Quilicura)'!$C:$C,MATCH($B164,'Pliegos Tarifarios (Quilicura)'!$A:$A,0))</f>
        <v>8837.5359313999998</v>
      </c>
      <c r="O164" s="19">
        <f>J164*INDEX('Pliegos Tarifarios (Quilicura)'!$D:$D,MATCH($B164,'Pliegos Tarifarios (Quilicura)'!$A:$A,0))</f>
        <v>34949.806937499998</v>
      </c>
      <c r="P164" s="19">
        <f>H164*INDEX('Pliegos Tarifarios (Quilicura)'!$E:$E,MATCH($B164,'Pliegos Tarifarios (Quilicura)'!$A:$A,0))</f>
        <v>12028.544616000001</v>
      </c>
      <c r="Q164" s="19" cm="1">
        <f t="array" ref="Q164">H164*_xlfn.IFS(H164&lt;=350,INDEX('Pliegos Tarifarios (Quilicura)'!$F:$F,MATCH($B164,'Pliegos Tarifarios (Quilicura)'!$A:$A,0)),H164&lt;=500,INDEX('Pliegos Tarifarios (Quilicura)'!$G:$G,MATCH($B164,'Pliegos Tarifarios (Quilicura)'!$A:$A,0)),H164&lt;=1000,INDEX('Pliegos Tarifarios (Quilicura)'!$H:$H,MATCH($B164,'Pliegos Tarifarios (Quilicura)'!$A:$A,0)),H164&lt;=5000,INDEX('Pliegos Tarifarios (Quilicura)'!$I:$I,MATCH($B164,'Pliegos Tarifarios (Quilicura)'!$A:$A,0)),H164&gt;5000,INDEX('Pliegos Tarifarios (Quilicura)'!$J:$J,MATCH($B164,'Pliegos Tarifarios (Quilicura)'!$A:$A,0)))/1.19</f>
        <v>2181.5253428571436</v>
      </c>
      <c r="R164" s="19">
        <f>INDEX('Pliegos Tarifarios (Quilicura)'!$K:$K,MATCH($B164,'Pliegos Tarifarios (Quilicura)'!$A:$A,0))</f>
        <v>716.899</v>
      </c>
      <c r="S164" s="21">
        <f t="shared" si="9"/>
        <v>169250.05147175715</v>
      </c>
      <c r="T164" s="21">
        <f t="shared" si="10"/>
        <v>32157.50977963386</v>
      </c>
      <c r="U164" s="19">
        <v>0</v>
      </c>
      <c r="V164" s="21">
        <f t="shared" si="11"/>
        <v>201407.56125139102</v>
      </c>
    </row>
    <row r="165" spans="1:22" x14ac:dyDescent="0.3">
      <c r="A165" s="3" t="s">
        <v>142</v>
      </c>
      <c r="B165" s="3">
        <v>3</v>
      </c>
      <c r="C165" s="4" t="s">
        <v>186</v>
      </c>
      <c r="D165" s="3" t="s">
        <v>208</v>
      </c>
      <c r="E165" s="3" t="s">
        <v>34</v>
      </c>
      <c r="F165" s="4" t="s">
        <v>66</v>
      </c>
      <c r="G165" s="3" t="s">
        <v>30</v>
      </c>
      <c r="H165" s="5">
        <v>929.54489999999998</v>
      </c>
      <c r="I165" s="5">
        <v>2.4569999999999999</v>
      </c>
      <c r="J165" s="5">
        <v>2.4531000000000001</v>
      </c>
      <c r="K165" s="6">
        <v>0.99841269841269853</v>
      </c>
      <c r="L165" s="5">
        <v>33.200000000000003</v>
      </c>
      <c r="M165" s="19">
        <f>H165*INDEX('Pliegos Tarifarios (Quilicura)'!$B:$B,MATCH($B165,'Pliegos Tarifarios (Quilicura)'!$A:$A,0))</f>
        <v>110465.2568262</v>
      </c>
      <c r="N165" s="19">
        <f>I165*INDEX('Pliegos Tarifarios (Quilicura)'!$C:$C,MATCH($B165,'Pliegos Tarifarios (Quilicura)'!$A:$A,0))</f>
        <v>8580.5049329999983</v>
      </c>
      <c r="O165" s="19">
        <f>J165*INDEX('Pliegos Tarifarios (Quilicura)'!$D:$D,MATCH($B165,'Pliegos Tarifarios (Quilicura)'!$A:$A,0))</f>
        <v>34816.394476500005</v>
      </c>
      <c r="P165" s="19">
        <f>H165*INDEX('Pliegos Tarifarios (Quilicura)'!$E:$E,MATCH($B165,'Pliegos Tarifarios (Quilicura)'!$A:$A,0))</f>
        <v>12020.874646800001</v>
      </c>
      <c r="Q165" s="19" cm="1">
        <f t="array" ref="Q165">H165*_xlfn.IFS(H165&lt;=350,INDEX('Pliegos Tarifarios (Quilicura)'!$F:$F,MATCH($B165,'Pliegos Tarifarios (Quilicura)'!$A:$A,0)),H165&lt;=500,INDEX('Pliegos Tarifarios (Quilicura)'!$G:$G,MATCH($B165,'Pliegos Tarifarios (Quilicura)'!$A:$A,0)),H165&lt;=1000,INDEX('Pliegos Tarifarios (Quilicura)'!$H:$H,MATCH($B165,'Pliegos Tarifarios (Quilicura)'!$A:$A,0)),H165&lt;=5000,INDEX('Pliegos Tarifarios (Quilicura)'!$I:$I,MATCH($B165,'Pliegos Tarifarios (Quilicura)'!$A:$A,0)),H165&gt;5000,INDEX('Pliegos Tarifarios (Quilicura)'!$J:$J,MATCH($B165,'Pliegos Tarifarios (Quilicura)'!$A:$A,0)))/1.19</f>
        <v>2180.1342990756307</v>
      </c>
      <c r="R165" s="19">
        <f>INDEX('Pliegos Tarifarios (Quilicura)'!$K:$K,MATCH($B165,'Pliegos Tarifarios (Quilicura)'!$A:$A,0))</f>
        <v>716.899</v>
      </c>
      <c r="S165" s="21">
        <f t="shared" si="9"/>
        <v>168780.06418157564</v>
      </c>
      <c r="T165" s="21">
        <f t="shared" si="10"/>
        <v>32068.212194499371</v>
      </c>
      <c r="U165" s="19">
        <v>0</v>
      </c>
      <c r="V165" s="21">
        <f t="shared" si="11"/>
        <v>200848.27637607499</v>
      </c>
    </row>
    <row r="166" spans="1:22" x14ac:dyDescent="0.3">
      <c r="A166" s="3" t="s">
        <v>142</v>
      </c>
      <c r="B166" s="3">
        <v>3</v>
      </c>
      <c r="C166" s="4" t="s">
        <v>186</v>
      </c>
      <c r="D166" s="3" t="s">
        <v>209</v>
      </c>
      <c r="E166" s="3" t="s">
        <v>34</v>
      </c>
      <c r="F166" s="4" t="s">
        <v>68</v>
      </c>
      <c r="G166" s="3" t="s">
        <v>30</v>
      </c>
      <c r="H166" s="5">
        <v>930.25379999999996</v>
      </c>
      <c r="I166" s="5">
        <v>2.5184000000000002</v>
      </c>
      <c r="J166" s="5">
        <v>2.5047000000000001</v>
      </c>
      <c r="K166" s="6">
        <v>0.99456003811944094</v>
      </c>
      <c r="L166" s="5">
        <v>33.22</v>
      </c>
      <c r="M166" s="19">
        <f>H166*INDEX('Pliegos Tarifarios (Quilicura)'!$B:$B,MATCH($B166,'Pliegos Tarifarios (Quilicura)'!$A:$A,0))</f>
        <v>110549.50108439999</v>
      </c>
      <c r="N166" s="19">
        <f>I166*INDEX('Pliegos Tarifarios (Quilicura)'!$C:$C,MATCH($B166,'Pliegos Tarifarios (Quilicura)'!$A:$A,0))</f>
        <v>8794.9302496</v>
      </c>
      <c r="O166" s="19">
        <f>J166*INDEX('Pliegos Tarifarios (Quilicura)'!$D:$D,MATCH($B166,'Pliegos Tarifarios (Quilicura)'!$A:$A,0))</f>
        <v>35548.743730500006</v>
      </c>
      <c r="P166" s="19">
        <f>H166*INDEX('Pliegos Tarifarios (Quilicura)'!$E:$E,MATCH($B166,'Pliegos Tarifarios (Quilicura)'!$A:$A,0))</f>
        <v>12030.042141599999</v>
      </c>
      <c r="Q166" s="19" cm="1">
        <f t="array" ref="Q166">H166*_xlfn.IFS(H166&lt;=350,INDEX('Pliegos Tarifarios (Quilicura)'!$F:$F,MATCH($B166,'Pliegos Tarifarios (Quilicura)'!$A:$A,0)),H166&lt;=500,INDEX('Pliegos Tarifarios (Quilicura)'!$G:$G,MATCH($B166,'Pliegos Tarifarios (Quilicura)'!$A:$A,0)),H166&lt;=1000,INDEX('Pliegos Tarifarios (Quilicura)'!$H:$H,MATCH($B166,'Pliegos Tarifarios (Quilicura)'!$A:$A,0)),H166&lt;=5000,INDEX('Pliegos Tarifarios (Quilicura)'!$I:$I,MATCH($B166,'Pliegos Tarifarios (Quilicura)'!$A:$A,0)),H166&gt;5000,INDEX('Pliegos Tarifarios (Quilicura)'!$J:$J,MATCH($B166,'Pliegos Tarifarios (Quilicura)'!$A:$A,0)))/1.19</f>
        <v>2181.7969376470592</v>
      </c>
      <c r="R166" s="19">
        <f>INDEX('Pliegos Tarifarios (Quilicura)'!$K:$K,MATCH($B166,'Pliegos Tarifarios (Quilicura)'!$A:$A,0))</f>
        <v>716.899</v>
      </c>
      <c r="S166" s="21">
        <f t="shared" si="9"/>
        <v>169821.91314374708</v>
      </c>
      <c r="T166" s="21">
        <f t="shared" si="10"/>
        <v>32266.163497311947</v>
      </c>
      <c r="U166" s="19">
        <v>0</v>
      </c>
      <c r="V166" s="21">
        <f t="shared" si="11"/>
        <v>202088.07664105901</v>
      </c>
    </row>
    <row r="167" spans="1:22" x14ac:dyDescent="0.3">
      <c r="A167" s="3" t="s">
        <v>142</v>
      </c>
      <c r="B167" s="3">
        <v>3</v>
      </c>
      <c r="C167" s="4" t="s">
        <v>186</v>
      </c>
      <c r="D167" s="3" t="s">
        <v>210</v>
      </c>
      <c r="E167" s="3" t="s">
        <v>70</v>
      </c>
      <c r="F167" s="4" t="s">
        <v>71</v>
      </c>
      <c r="G167" s="3" t="s">
        <v>30</v>
      </c>
      <c r="H167" s="5">
        <v>1162.2675999999999</v>
      </c>
      <c r="I167" s="5">
        <v>3.1343000000000001</v>
      </c>
      <c r="J167" s="5">
        <v>3.1343000000000001</v>
      </c>
      <c r="K167" s="6">
        <v>1</v>
      </c>
      <c r="L167" s="5">
        <v>41.51</v>
      </c>
      <c r="M167" s="19">
        <f>H167*INDEX('Pliegos Tarifarios (Quilicura)'!$B:$B,MATCH($B167,'Pliegos Tarifarios (Quilicura)'!$A:$A,0))</f>
        <v>138121.55704879999</v>
      </c>
      <c r="N167" s="19">
        <f>I167*INDEX('Pliegos Tarifarios (Quilicura)'!$C:$C,MATCH($B167,'Pliegos Tarifarios (Quilicura)'!$A:$A,0))</f>
        <v>10945.818726699999</v>
      </c>
      <c r="O167" s="19">
        <f>J167*INDEX('Pliegos Tarifarios (Quilicura)'!$D:$D,MATCH($B167,'Pliegos Tarifarios (Quilicura)'!$A:$A,0))</f>
        <v>44484.540054500001</v>
      </c>
      <c r="P167" s="19">
        <f>H167*INDEX('Pliegos Tarifarios (Quilicura)'!$E:$E,MATCH($B167,'Pliegos Tarifarios (Quilicura)'!$A:$A,0))</f>
        <v>15030.4446032</v>
      </c>
      <c r="Q167" s="19" cm="1">
        <f t="array" ref="Q167">H167*_xlfn.IFS(H167&lt;=350,INDEX('Pliegos Tarifarios (Quilicura)'!$F:$F,MATCH($B167,'Pliegos Tarifarios (Quilicura)'!$A:$A,0)),H167&lt;=500,INDEX('Pliegos Tarifarios (Quilicura)'!$G:$G,MATCH($B167,'Pliegos Tarifarios (Quilicura)'!$A:$A,0)),H167&lt;=1000,INDEX('Pliegos Tarifarios (Quilicura)'!$H:$H,MATCH($B167,'Pliegos Tarifarios (Quilicura)'!$A:$A,0)),H167&lt;=5000,INDEX('Pliegos Tarifarios (Quilicura)'!$I:$I,MATCH($B167,'Pliegos Tarifarios (Quilicura)'!$A:$A,0)),H167&gt;5000,INDEX('Pliegos Tarifarios (Quilicura)'!$J:$J,MATCH($B167,'Pliegos Tarifarios (Quilicura)'!$A:$A,0)))/1.19</f>
        <v>3487.7794954621845</v>
      </c>
      <c r="R167" s="19">
        <f>INDEX('Pliegos Tarifarios (Quilicura)'!$K:$K,MATCH($B167,'Pliegos Tarifarios (Quilicura)'!$A:$A,0))</f>
        <v>716.899</v>
      </c>
      <c r="S167" s="21">
        <f t="shared" si="9"/>
        <v>212787.03892866222</v>
      </c>
      <c r="T167" s="21">
        <f t="shared" si="10"/>
        <v>40429.537396445819</v>
      </c>
      <c r="U167" s="19">
        <v>0</v>
      </c>
      <c r="V167" s="21">
        <f t="shared" si="11"/>
        <v>253216.57632510804</v>
      </c>
    </row>
    <row r="168" spans="1:22" x14ac:dyDescent="0.3">
      <c r="A168" s="3" t="s">
        <v>142</v>
      </c>
      <c r="B168" s="3">
        <v>3</v>
      </c>
      <c r="C168" s="4" t="s">
        <v>186</v>
      </c>
      <c r="D168" s="3" t="s">
        <v>211</v>
      </c>
      <c r="E168" s="3" t="s">
        <v>73</v>
      </c>
      <c r="F168" s="4" t="s">
        <v>74</v>
      </c>
      <c r="G168" s="3" t="s">
        <v>16</v>
      </c>
      <c r="H168" s="5">
        <v>1863.5761</v>
      </c>
      <c r="I168" s="5">
        <v>5.0891000000000002</v>
      </c>
      <c r="J168" s="5">
        <v>4.9204999999999997</v>
      </c>
      <c r="K168" s="6">
        <v>0.96687037000648435</v>
      </c>
      <c r="L168" s="5">
        <v>66.56</v>
      </c>
      <c r="M168" s="19">
        <f>H168*INDEX('Pliegos Tarifarios (Quilicura)'!$B:$B,MATCH($B168,'Pliegos Tarifarios (Quilicura)'!$A:$A,0))</f>
        <v>221463.65657179998</v>
      </c>
      <c r="N168" s="19">
        <f>I168*INDEX('Pliegos Tarifarios (Quilicura)'!$C:$C,MATCH($B168,'Pliegos Tarifarios (Quilicura)'!$A:$A,0))</f>
        <v>17772.506167899999</v>
      </c>
      <c r="O168" s="19">
        <f>J168*INDEX('Pliegos Tarifarios (Quilicura)'!$D:$D,MATCH($B168,'Pliegos Tarifarios (Quilicura)'!$A:$A,0))</f>
        <v>69835.746207499993</v>
      </c>
      <c r="P168" s="19">
        <f>H168*INDEX('Pliegos Tarifarios (Quilicura)'!$E:$E,MATCH($B168,'Pliegos Tarifarios (Quilicura)'!$A:$A,0))</f>
        <v>24099.7661252</v>
      </c>
      <c r="Q168" s="19" cm="1">
        <f t="array" ref="Q168">H168*_xlfn.IFS(H168&lt;=350,INDEX('Pliegos Tarifarios (Quilicura)'!$F:$F,MATCH($B168,'Pliegos Tarifarios (Quilicura)'!$A:$A,0)),H168&lt;=500,INDEX('Pliegos Tarifarios (Quilicura)'!$G:$G,MATCH($B168,'Pliegos Tarifarios (Quilicura)'!$A:$A,0)),H168&lt;=1000,INDEX('Pliegos Tarifarios (Quilicura)'!$H:$H,MATCH($B168,'Pliegos Tarifarios (Quilicura)'!$A:$A,0)),H168&lt;=5000,INDEX('Pliegos Tarifarios (Quilicura)'!$I:$I,MATCH($B168,'Pliegos Tarifarios (Quilicura)'!$A:$A,0)),H168&gt;5000,INDEX('Pliegos Tarifarios (Quilicura)'!$J:$J,MATCH($B168,'Pliegos Tarifarios (Quilicura)'!$A:$A,0)))/1.19</f>
        <v>5592.2943303361344</v>
      </c>
      <c r="R168" s="19">
        <f>INDEX('Pliegos Tarifarios (Quilicura)'!$K:$K,MATCH($B168,'Pliegos Tarifarios (Quilicura)'!$A:$A,0))</f>
        <v>716.899</v>
      </c>
      <c r="S168" s="21">
        <f t="shared" si="9"/>
        <v>339480.86840273609</v>
      </c>
      <c r="T168" s="21">
        <f t="shared" si="10"/>
        <v>64501.364996519857</v>
      </c>
      <c r="U168" s="19">
        <v>0</v>
      </c>
      <c r="V168" s="21">
        <f t="shared" si="11"/>
        <v>403982.23339925596</v>
      </c>
    </row>
    <row r="169" spans="1:22" x14ac:dyDescent="0.3">
      <c r="A169" s="3" t="s">
        <v>142</v>
      </c>
      <c r="B169" s="3">
        <v>3</v>
      </c>
      <c r="C169" s="4" t="s">
        <v>186</v>
      </c>
      <c r="D169" s="3" t="s">
        <v>212</v>
      </c>
      <c r="E169" s="3" t="s">
        <v>73</v>
      </c>
      <c r="F169" s="4" t="s">
        <v>76</v>
      </c>
      <c r="G169" s="3" t="s">
        <v>16</v>
      </c>
      <c r="H169" s="5">
        <v>1394.0657000000001</v>
      </c>
      <c r="I169" s="5">
        <v>3.8227000000000002</v>
      </c>
      <c r="J169" s="5">
        <v>3.8227000000000002</v>
      </c>
      <c r="K169" s="6">
        <v>1</v>
      </c>
      <c r="L169" s="5">
        <v>49.79</v>
      </c>
      <c r="M169" s="19">
        <f>H169*INDEX('Pliegos Tarifarios (Quilicura)'!$B:$B,MATCH($B169,'Pliegos Tarifarios (Quilicura)'!$A:$A,0))</f>
        <v>165667.97965660002</v>
      </c>
      <c r="N169" s="19">
        <f>I169*INDEX('Pliegos Tarifarios (Quilicura)'!$C:$C,MATCH($B169,'Pliegos Tarifarios (Quilicura)'!$A:$A,0))</f>
        <v>13349.8967063</v>
      </c>
      <c r="O169" s="19">
        <f>J169*INDEX('Pliegos Tarifarios (Quilicura)'!$D:$D,MATCH($B169,'Pliegos Tarifarios (Quilicura)'!$A:$A,0))</f>
        <v>54254.873900500002</v>
      </c>
      <c r="P169" s="19">
        <f>H169*INDEX('Pliegos Tarifarios (Quilicura)'!$E:$E,MATCH($B169,'Pliegos Tarifarios (Quilicura)'!$A:$A,0))</f>
        <v>18028.057632400003</v>
      </c>
      <c r="Q169" s="19" cm="1">
        <f t="array" ref="Q169">H169*_xlfn.IFS(H169&lt;=350,INDEX('Pliegos Tarifarios (Quilicura)'!$F:$F,MATCH($B169,'Pliegos Tarifarios (Quilicura)'!$A:$A,0)),H169&lt;=500,INDEX('Pliegos Tarifarios (Quilicura)'!$G:$G,MATCH($B169,'Pliegos Tarifarios (Quilicura)'!$A:$A,0)),H169&lt;=1000,INDEX('Pliegos Tarifarios (Quilicura)'!$H:$H,MATCH($B169,'Pliegos Tarifarios (Quilicura)'!$A:$A,0)),H169&lt;=5000,INDEX('Pliegos Tarifarios (Quilicura)'!$I:$I,MATCH($B169,'Pliegos Tarifarios (Quilicura)'!$A:$A,0)),H169&gt;5000,INDEX('Pliegos Tarifarios (Quilicura)'!$J:$J,MATCH($B169,'Pliegos Tarifarios (Quilicura)'!$A:$A,0)))/1.19</f>
        <v>4183.3685837815128</v>
      </c>
      <c r="R169" s="19">
        <f>INDEX('Pliegos Tarifarios (Quilicura)'!$K:$K,MATCH($B169,'Pliegos Tarifarios (Quilicura)'!$A:$A,0))</f>
        <v>716.899</v>
      </c>
      <c r="S169" s="21">
        <f t="shared" si="9"/>
        <v>256201.07547958154</v>
      </c>
      <c r="T169" s="21">
        <f t="shared" si="10"/>
        <v>48678.204341120494</v>
      </c>
      <c r="U169" s="19">
        <v>0</v>
      </c>
      <c r="V169" s="21">
        <f t="shared" si="11"/>
        <v>304879.27982070204</v>
      </c>
    </row>
    <row r="170" spans="1:22" x14ac:dyDescent="0.3">
      <c r="A170" s="3" t="s">
        <v>142</v>
      </c>
      <c r="B170" s="3">
        <v>3</v>
      </c>
      <c r="C170" s="4" t="s">
        <v>186</v>
      </c>
      <c r="D170" s="3" t="s">
        <v>213</v>
      </c>
      <c r="E170" s="3" t="s">
        <v>78</v>
      </c>
      <c r="F170" s="4" t="s">
        <v>79</v>
      </c>
      <c r="G170" s="3" t="s">
        <v>16</v>
      </c>
      <c r="H170" s="5">
        <v>1164.0768</v>
      </c>
      <c r="I170" s="5">
        <v>3.2284000000000002</v>
      </c>
      <c r="J170" s="5">
        <v>3.0926</v>
      </c>
      <c r="K170" s="6">
        <v>0.95793581960104068</v>
      </c>
      <c r="L170" s="5">
        <v>41.57</v>
      </c>
      <c r="M170" s="19">
        <f>H170*INDEX('Pliegos Tarifarios (Quilicura)'!$B:$B,MATCH($B170,'Pliegos Tarifarios (Quilicura)'!$A:$A,0))</f>
        <v>138336.5587584</v>
      </c>
      <c r="N170" s="19">
        <f>I170*INDEX('Pliegos Tarifarios (Quilicura)'!$C:$C,MATCH($B170,'Pliegos Tarifarios (Quilicura)'!$A:$A,0))</f>
        <v>11274.441239600001</v>
      </c>
      <c r="O170" s="19">
        <f>J170*INDEX('Pliegos Tarifarios (Quilicura)'!$D:$D,MATCH($B170,'Pliegos Tarifarios (Quilicura)'!$A:$A,0))</f>
        <v>43892.699669000001</v>
      </c>
      <c r="P170" s="19">
        <f>H170*INDEX('Pliegos Tarifarios (Quilicura)'!$E:$E,MATCH($B170,'Pliegos Tarifarios (Quilicura)'!$A:$A,0))</f>
        <v>15053.841177600001</v>
      </c>
      <c r="Q170" s="19" cm="1">
        <f t="array" ref="Q170">H170*_xlfn.IFS(H170&lt;=350,INDEX('Pliegos Tarifarios (Quilicura)'!$F:$F,MATCH($B170,'Pliegos Tarifarios (Quilicura)'!$A:$A,0)),H170&lt;=500,INDEX('Pliegos Tarifarios (Quilicura)'!$G:$G,MATCH($B170,'Pliegos Tarifarios (Quilicura)'!$A:$A,0)),H170&lt;=1000,INDEX('Pliegos Tarifarios (Quilicura)'!$H:$H,MATCH($B170,'Pliegos Tarifarios (Quilicura)'!$A:$A,0)),H170&lt;=5000,INDEX('Pliegos Tarifarios (Quilicura)'!$I:$I,MATCH($B170,'Pliegos Tarifarios (Quilicura)'!$A:$A,0)),H170&gt;5000,INDEX('Pliegos Tarifarios (Quilicura)'!$J:$J,MATCH($B170,'Pliegos Tarifarios (Quilicura)'!$A:$A,0)))/1.19</f>
        <v>3493.2086157983194</v>
      </c>
      <c r="R170" s="19">
        <f>INDEX('Pliegos Tarifarios (Quilicura)'!$K:$K,MATCH($B170,'Pliegos Tarifarios (Quilicura)'!$A:$A,0))</f>
        <v>716.899</v>
      </c>
      <c r="S170" s="21">
        <f t="shared" si="9"/>
        <v>212767.64846039834</v>
      </c>
      <c r="T170" s="21">
        <f t="shared" si="10"/>
        <v>40425.853207475688</v>
      </c>
      <c r="U170" s="19">
        <v>0</v>
      </c>
      <c r="V170" s="21">
        <f t="shared" si="11"/>
        <v>253193.50166787402</v>
      </c>
    </row>
    <row r="171" spans="1:22" x14ac:dyDescent="0.3">
      <c r="A171" s="3" t="s">
        <v>142</v>
      </c>
      <c r="B171" s="3">
        <v>3</v>
      </c>
      <c r="C171" s="4" t="s">
        <v>186</v>
      </c>
      <c r="D171" s="3" t="s">
        <v>214</v>
      </c>
      <c r="E171" s="3" t="s">
        <v>78</v>
      </c>
      <c r="F171" s="4" t="s">
        <v>81</v>
      </c>
      <c r="G171" s="3" t="s">
        <v>16</v>
      </c>
      <c r="H171" s="5">
        <v>775.76379999999995</v>
      </c>
      <c r="I171" s="5">
        <v>2.0663999999999998</v>
      </c>
      <c r="J171" s="5">
        <v>2.0588000000000002</v>
      </c>
      <c r="K171" s="6">
        <v>0.99632210607820382</v>
      </c>
      <c r="L171" s="5">
        <v>27.71</v>
      </c>
      <c r="M171" s="19">
        <f>H171*INDEX('Pliegos Tarifarios (Quilicura)'!$B:$B,MATCH($B171,'Pliegos Tarifarios (Quilicura)'!$A:$A,0))</f>
        <v>92190.218464399994</v>
      </c>
      <c r="N171" s="19">
        <f>I171*INDEX('Pliegos Tarifarios (Quilicura)'!$C:$C,MATCH($B171,'Pliegos Tarifarios (Quilicura)'!$A:$A,0))</f>
        <v>7216.4246615999991</v>
      </c>
      <c r="O171" s="19">
        <f>J171*INDEX('Pliegos Tarifarios (Quilicura)'!$D:$D,MATCH($B171,'Pliegos Tarifarios (Quilicura)'!$A:$A,0))</f>
        <v>29220.167522000003</v>
      </c>
      <c r="P171" s="19">
        <f>H171*INDEX('Pliegos Tarifarios (Quilicura)'!$E:$E,MATCH($B171,'Pliegos Tarifarios (Quilicura)'!$A:$A,0))</f>
        <v>10032.1774616</v>
      </c>
      <c r="Q171" s="19" cm="1">
        <f t="array" ref="Q171">H171*_xlfn.IFS(H171&lt;=350,INDEX('Pliegos Tarifarios (Quilicura)'!$F:$F,MATCH($B171,'Pliegos Tarifarios (Quilicura)'!$A:$A,0)),H171&lt;=500,INDEX('Pliegos Tarifarios (Quilicura)'!$G:$G,MATCH($B171,'Pliegos Tarifarios (Quilicura)'!$A:$A,0)),H171&lt;=1000,INDEX('Pliegos Tarifarios (Quilicura)'!$H:$H,MATCH($B171,'Pliegos Tarifarios (Quilicura)'!$A:$A,0)),H171&lt;=5000,INDEX('Pliegos Tarifarios (Quilicura)'!$I:$I,MATCH($B171,'Pliegos Tarifarios (Quilicura)'!$A:$A,0)),H171&gt;5000,INDEX('Pliegos Tarifarios (Quilicura)'!$J:$J,MATCH($B171,'Pliegos Tarifarios (Quilicura)'!$A:$A,0)))/1.19</f>
        <v>1819.459467058824</v>
      </c>
      <c r="R171" s="19">
        <f>INDEX('Pliegos Tarifarios (Quilicura)'!$K:$K,MATCH($B171,'Pliegos Tarifarios (Quilicura)'!$A:$A,0))</f>
        <v>716.899</v>
      </c>
      <c r="S171" s="21">
        <f t="shared" si="9"/>
        <v>141195.34657665883</v>
      </c>
      <c r="T171" s="21">
        <f t="shared" si="10"/>
        <v>26827.11584956518</v>
      </c>
      <c r="U171" s="19">
        <v>0</v>
      </c>
      <c r="V171" s="21">
        <f t="shared" si="11"/>
        <v>168022.46242622402</v>
      </c>
    </row>
    <row r="172" spans="1:22" x14ac:dyDescent="0.3">
      <c r="A172" s="3" t="s">
        <v>142</v>
      </c>
      <c r="B172" s="3">
        <v>3</v>
      </c>
      <c r="C172" s="4" t="s">
        <v>186</v>
      </c>
      <c r="D172" s="3" t="s">
        <v>215</v>
      </c>
      <c r="E172" s="3" t="s">
        <v>78</v>
      </c>
      <c r="F172" s="4" t="s">
        <v>83</v>
      </c>
      <c r="G172" s="3" t="s">
        <v>16</v>
      </c>
      <c r="H172" s="5">
        <v>773.68960000000004</v>
      </c>
      <c r="I172" s="5">
        <v>2.0764</v>
      </c>
      <c r="J172" s="5">
        <v>2.0423</v>
      </c>
      <c r="K172" s="6">
        <v>0.98357734540550956</v>
      </c>
      <c r="L172" s="5">
        <v>27.63</v>
      </c>
      <c r="M172" s="19">
        <f>H172*INDEX('Pliegos Tarifarios (Quilicura)'!$B:$B,MATCH($B172,'Pliegos Tarifarios (Quilicura)'!$A:$A,0))</f>
        <v>91943.724684800007</v>
      </c>
      <c r="N172" s="19">
        <f>I172*INDEX('Pliegos Tarifarios (Quilicura)'!$C:$C,MATCH($B172,'Pliegos Tarifarios (Quilicura)'!$A:$A,0))</f>
        <v>7251.3473515999995</v>
      </c>
      <c r="O172" s="19">
        <f>J172*INDEX('Pliegos Tarifarios (Quilicura)'!$D:$D,MATCH($B172,'Pliegos Tarifarios (Quilicura)'!$A:$A,0))</f>
        <v>28985.986074500001</v>
      </c>
      <c r="P172" s="19">
        <f>H172*INDEX('Pliegos Tarifarios (Quilicura)'!$E:$E,MATCH($B172,'Pliegos Tarifarios (Quilicura)'!$A:$A,0))</f>
        <v>10005.3539072</v>
      </c>
      <c r="Q172" s="19" cm="1">
        <f t="array" ref="Q172">H172*_xlfn.IFS(H172&lt;=350,INDEX('Pliegos Tarifarios (Quilicura)'!$F:$F,MATCH($B172,'Pliegos Tarifarios (Quilicura)'!$A:$A,0)),H172&lt;=500,INDEX('Pliegos Tarifarios (Quilicura)'!$G:$G,MATCH($B172,'Pliegos Tarifarios (Quilicura)'!$A:$A,0)),H172&lt;=1000,INDEX('Pliegos Tarifarios (Quilicura)'!$H:$H,MATCH($B172,'Pliegos Tarifarios (Quilicura)'!$A:$A,0)),H172&lt;=5000,INDEX('Pliegos Tarifarios (Quilicura)'!$I:$I,MATCH($B172,'Pliegos Tarifarios (Quilicura)'!$A:$A,0)),H172&gt;5000,INDEX('Pliegos Tarifarios (Quilicura)'!$J:$J,MATCH($B172,'Pliegos Tarifarios (Quilicura)'!$A:$A,0)))/1.19</f>
        <v>1814.5946836974792</v>
      </c>
      <c r="R172" s="19">
        <f>INDEX('Pliegos Tarifarios (Quilicura)'!$K:$K,MATCH($B172,'Pliegos Tarifarios (Quilicura)'!$A:$A,0))</f>
        <v>716.899</v>
      </c>
      <c r="S172" s="21">
        <f t="shared" si="9"/>
        <v>140717.90570179748</v>
      </c>
      <c r="T172" s="21">
        <f t="shared" si="10"/>
        <v>26736.402083341523</v>
      </c>
      <c r="U172" s="19">
        <v>0</v>
      </c>
      <c r="V172" s="21">
        <f t="shared" si="11"/>
        <v>167454.30778513901</v>
      </c>
    </row>
    <row r="173" spans="1:22" x14ac:dyDescent="0.3">
      <c r="A173" s="3" t="s">
        <v>142</v>
      </c>
      <c r="B173" s="3">
        <v>3</v>
      </c>
      <c r="C173" s="4" t="s">
        <v>186</v>
      </c>
      <c r="D173" s="3" t="s">
        <v>216</v>
      </c>
      <c r="E173" s="3" t="s">
        <v>78</v>
      </c>
      <c r="F173" s="4" t="s">
        <v>85</v>
      </c>
      <c r="G173" s="3" t="s">
        <v>16</v>
      </c>
      <c r="H173" s="5">
        <v>930.80129999999997</v>
      </c>
      <c r="I173" s="5">
        <v>2.4975999999999998</v>
      </c>
      <c r="J173" s="5">
        <v>2.4969999999999999</v>
      </c>
      <c r="K173" s="6">
        <v>0.99975976937860345</v>
      </c>
      <c r="L173" s="5">
        <v>33.24</v>
      </c>
      <c r="M173" s="19">
        <f>H173*INDEX('Pliegos Tarifarios (Quilicura)'!$B:$B,MATCH($B173,'Pliegos Tarifarios (Quilicura)'!$A:$A,0))</f>
        <v>110614.56488939999</v>
      </c>
      <c r="N173" s="19">
        <f>I173*INDEX('Pliegos Tarifarios (Quilicura)'!$C:$C,MATCH($B173,'Pliegos Tarifarios (Quilicura)'!$A:$A,0))</f>
        <v>8722.2910543999988</v>
      </c>
      <c r="O173" s="19">
        <f>J173*INDEX('Pliegos Tarifarios (Quilicura)'!$D:$D,MATCH($B173,'Pliegos Tarifarios (Quilicura)'!$A:$A,0))</f>
        <v>35439.459054999999</v>
      </c>
      <c r="P173" s="19">
        <f>H173*INDEX('Pliegos Tarifarios (Quilicura)'!$E:$E,MATCH($B173,'Pliegos Tarifarios (Quilicura)'!$A:$A,0))</f>
        <v>12037.122411599999</v>
      </c>
      <c r="Q173" s="19" cm="1">
        <f t="array" ref="Q173">H173*_xlfn.IFS(H173&lt;=350,INDEX('Pliegos Tarifarios (Quilicura)'!$F:$F,MATCH($B173,'Pliegos Tarifarios (Quilicura)'!$A:$A,0)),H173&lt;=500,INDEX('Pliegos Tarifarios (Quilicura)'!$G:$G,MATCH($B173,'Pliegos Tarifarios (Quilicura)'!$A:$A,0)),H173&lt;=1000,INDEX('Pliegos Tarifarios (Quilicura)'!$H:$H,MATCH($B173,'Pliegos Tarifarios (Quilicura)'!$A:$A,0)),H173&lt;=5000,INDEX('Pliegos Tarifarios (Quilicura)'!$I:$I,MATCH($B173,'Pliegos Tarifarios (Quilicura)'!$A:$A,0)),H173&gt;5000,INDEX('Pliegos Tarifarios (Quilicura)'!$J:$J,MATCH($B173,'Pliegos Tarifarios (Quilicura)'!$A:$A,0)))/1.19</f>
        <v>2183.0810321848744</v>
      </c>
      <c r="R173" s="19">
        <f>INDEX('Pliegos Tarifarios (Quilicura)'!$K:$K,MATCH($B173,'Pliegos Tarifarios (Quilicura)'!$A:$A,0))</f>
        <v>716.899</v>
      </c>
      <c r="S173" s="21">
        <f t="shared" si="9"/>
        <v>169713.41744258488</v>
      </c>
      <c r="T173" s="21">
        <f t="shared" si="10"/>
        <v>32245.549314091128</v>
      </c>
      <c r="U173" s="19">
        <v>0</v>
      </c>
      <c r="V173" s="21">
        <f t="shared" si="11"/>
        <v>201958.966756676</v>
      </c>
    </row>
    <row r="174" spans="1:22" x14ac:dyDescent="0.3">
      <c r="A174" s="3" t="s">
        <v>142</v>
      </c>
      <c r="B174" s="3">
        <v>3</v>
      </c>
      <c r="C174" s="4" t="s">
        <v>186</v>
      </c>
      <c r="D174" s="3" t="s">
        <v>217</v>
      </c>
      <c r="E174" s="3" t="s">
        <v>78</v>
      </c>
      <c r="F174" s="4" t="s">
        <v>87</v>
      </c>
      <c r="G174" s="3" t="s">
        <v>16</v>
      </c>
      <c r="H174" s="5">
        <v>930.61969999999997</v>
      </c>
      <c r="I174" s="5">
        <v>2.5613999999999999</v>
      </c>
      <c r="J174" s="5">
        <v>2.5613999999999999</v>
      </c>
      <c r="K174" s="6">
        <v>1</v>
      </c>
      <c r="L174" s="5">
        <v>33.24</v>
      </c>
      <c r="M174" s="19">
        <f>H174*INDEX('Pliegos Tarifarios (Quilicura)'!$B:$B,MATCH($B174,'Pliegos Tarifarios (Quilicura)'!$A:$A,0))</f>
        <v>110592.98390859998</v>
      </c>
      <c r="N174" s="19">
        <f>I174*INDEX('Pliegos Tarifarios (Quilicura)'!$C:$C,MATCH($B174,'Pliegos Tarifarios (Quilicura)'!$A:$A,0))</f>
        <v>8945.0978165999986</v>
      </c>
      <c r="O174" s="19">
        <f>J174*INDEX('Pliegos Tarifarios (Quilicura)'!$D:$D,MATCH($B174,'Pliegos Tarifarios (Quilicura)'!$A:$A,0))</f>
        <v>36353.476341000001</v>
      </c>
      <c r="P174" s="19">
        <f>H174*INDEX('Pliegos Tarifarios (Quilicura)'!$E:$E,MATCH($B174,'Pliegos Tarifarios (Quilicura)'!$A:$A,0))</f>
        <v>12034.7739604</v>
      </c>
      <c r="Q174" s="19" cm="1">
        <f t="array" ref="Q174">H174*_xlfn.IFS(H174&lt;=350,INDEX('Pliegos Tarifarios (Quilicura)'!$F:$F,MATCH($B174,'Pliegos Tarifarios (Quilicura)'!$A:$A,0)),H174&lt;=500,INDEX('Pliegos Tarifarios (Quilicura)'!$G:$G,MATCH($B174,'Pliegos Tarifarios (Quilicura)'!$A:$A,0)),H174&lt;=1000,INDEX('Pliegos Tarifarios (Quilicura)'!$H:$H,MATCH($B174,'Pliegos Tarifarios (Quilicura)'!$A:$A,0)),H174&lt;=5000,INDEX('Pliegos Tarifarios (Quilicura)'!$I:$I,MATCH($B174,'Pliegos Tarifarios (Quilicura)'!$A:$A,0)),H174&gt;5000,INDEX('Pliegos Tarifarios (Quilicura)'!$J:$J,MATCH($B174,'Pliegos Tarifarios (Quilicura)'!$A:$A,0)))/1.19</f>
        <v>2182.6551115126053</v>
      </c>
      <c r="R174" s="19">
        <f>INDEX('Pliegos Tarifarios (Quilicura)'!$K:$K,MATCH($B174,'Pliegos Tarifarios (Quilicura)'!$A:$A,0))</f>
        <v>716.899</v>
      </c>
      <c r="S174" s="21">
        <f t="shared" si="9"/>
        <v>170825.8861381126</v>
      </c>
      <c r="T174" s="21">
        <f t="shared" si="10"/>
        <v>32456.918366241396</v>
      </c>
      <c r="U174" s="19">
        <v>0</v>
      </c>
      <c r="V174" s="21">
        <f t="shared" si="11"/>
        <v>203282.80450435399</v>
      </c>
    </row>
    <row r="175" spans="1:22" x14ac:dyDescent="0.3">
      <c r="A175" s="3" t="s">
        <v>142</v>
      </c>
      <c r="B175" s="3">
        <v>3</v>
      </c>
      <c r="C175" s="4" t="s">
        <v>186</v>
      </c>
      <c r="D175" s="3" t="s">
        <v>218</v>
      </c>
      <c r="E175" s="3" t="s">
        <v>78</v>
      </c>
      <c r="F175" s="4" t="s">
        <v>89</v>
      </c>
      <c r="G175" s="3" t="s">
        <v>16</v>
      </c>
      <c r="H175" s="5">
        <v>1163.4788000000001</v>
      </c>
      <c r="I175" s="5">
        <v>3.1711999999999998</v>
      </c>
      <c r="J175" s="5">
        <v>3.1625000000000001</v>
      </c>
      <c r="K175" s="6">
        <v>0.99725655903128163</v>
      </c>
      <c r="L175" s="5">
        <v>41.55</v>
      </c>
      <c r="M175" s="19">
        <f>H175*INDEX('Pliegos Tarifarios (Quilicura)'!$B:$B,MATCH($B175,'Pliegos Tarifarios (Quilicura)'!$A:$A,0))</f>
        <v>138265.49363440002</v>
      </c>
      <c r="N175" s="19">
        <f>I175*INDEX('Pliegos Tarifarios (Quilicura)'!$C:$C,MATCH($B175,'Pliegos Tarifarios (Quilicura)'!$A:$A,0))</f>
        <v>11074.683452799998</v>
      </c>
      <c r="O175" s="19">
        <f>J175*INDEX('Pliegos Tarifarios (Quilicura)'!$D:$D,MATCH($B175,'Pliegos Tarifarios (Quilicura)'!$A:$A,0))</f>
        <v>44884.777437500001</v>
      </c>
      <c r="P175" s="19">
        <f>H175*INDEX('Pliegos Tarifarios (Quilicura)'!$E:$E,MATCH($B175,'Pliegos Tarifarios (Quilicura)'!$A:$A,0))</f>
        <v>15046.107841600002</v>
      </c>
      <c r="Q175" s="19" cm="1">
        <f t="array" ref="Q175">H175*_xlfn.IFS(H175&lt;=350,INDEX('Pliegos Tarifarios (Quilicura)'!$F:$F,MATCH($B175,'Pliegos Tarifarios (Quilicura)'!$A:$A,0)),H175&lt;=500,INDEX('Pliegos Tarifarios (Quilicura)'!$G:$G,MATCH($B175,'Pliegos Tarifarios (Quilicura)'!$A:$A,0)),H175&lt;=1000,INDEX('Pliegos Tarifarios (Quilicura)'!$H:$H,MATCH($B175,'Pliegos Tarifarios (Quilicura)'!$A:$A,0)),H175&lt;=5000,INDEX('Pliegos Tarifarios (Quilicura)'!$I:$I,MATCH($B175,'Pliegos Tarifarios (Quilicura)'!$A:$A,0)),H175&gt;5000,INDEX('Pliegos Tarifarios (Quilicura)'!$J:$J,MATCH($B175,'Pliegos Tarifarios (Quilicura)'!$A:$A,0)))/1.19</f>
        <v>3491.4141132773116</v>
      </c>
      <c r="R175" s="19">
        <f>INDEX('Pliegos Tarifarios (Quilicura)'!$K:$K,MATCH($B175,'Pliegos Tarifarios (Quilicura)'!$A:$A,0))</f>
        <v>716.899</v>
      </c>
      <c r="S175" s="21">
        <f t="shared" si="9"/>
        <v>213479.37547957731</v>
      </c>
      <c r="T175" s="21">
        <f t="shared" si="10"/>
        <v>40561.081341119687</v>
      </c>
      <c r="U175" s="19">
        <v>0</v>
      </c>
      <c r="V175" s="21">
        <f t="shared" si="11"/>
        <v>254040.456820697</v>
      </c>
    </row>
    <row r="176" spans="1:22" x14ac:dyDescent="0.3">
      <c r="A176" s="3" t="s">
        <v>142</v>
      </c>
      <c r="B176" s="3">
        <v>3</v>
      </c>
      <c r="C176" s="4" t="s">
        <v>186</v>
      </c>
      <c r="D176" s="3" t="s">
        <v>219</v>
      </c>
      <c r="E176" s="3" t="s">
        <v>91</v>
      </c>
      <c r="F176" s="4" t="s">
        <v>92</v>
      </c>
      <c r="G176" s="3" t="s">
        <v>16</v>
      </c>
      <c r="H176" s="5">
        <v>930.62540000000001</v>
      </c>
      <c r="I176" s="5">
        <v>2.5017999999999998</v>
      </c>
      <c r="J176" s="5">
        <v>2.4552999999999998</v>
      </c>
      <c r="K176" s="6">
        <v>0.98141338236469744</v>
      </c>
      <c r="L176" s="5">
        <v>33.24</v>
      </c>
      <c r="M176" s="19">
        <f>H176*INDEX('Pliegos Tarifarios (Quilicura)'!$B:$B,MATCH($B176,'Pliegos Tarifarios (Quilicura)'!$A:$A,0))</f>
        <v>110593.6612852</v>
      </c>
      <c r="N176" s="19">
        <f>I176*INDEX('Pliegos Tarifarios (Quilicura)'!$C:$C,MATCH($B176,'Pliegos Tarifarios (Quilicura)'!$A:$A,0))</f>
        <v>8736.9585841999979</v>
      </c>
      <c r="O176" s="19">
        <f>J176*INDEX('Pliegos Tarifarios (Quilicura)'!$D:$D,MATCH($B176,'Pliegos Tarifarios (Quilicura)'!$A:$A,0))</f>
        <v>34847.6186695</v>
      </c>
      <c r="P176" s="19">
        <f>H176*INDEX('Pliegos Tarifarios (Quilicura)'!$E:$E,MATCH($B176,'Pliegos Tarifarios (Quilicura)'!$A:$A,0))</f>
        <v>12034.847672800001</v>
      </c>
      <c r="Q176" s="19" cm="1">
        <f t="array" ref="Q176">H176*_xlfn.IFS(H176&lt;=350,INDEX('Pliegos Tarifarios (Quilicura)'!$F:$F,MATCH($B176,'Pliegos Tarifarios (Quilicura)'!$A:$A,0)),H176&lt;=500,INDEX('Pliegos Tarifarios (Quilicura)'!$G:$G,MATCH($B176,'Pliegos Tarifarios (Quilicura)'!$A:$A,0)),H176&lt;=1000,INDEX('Pliegos Tarifarios (Quilicura)'!$H:$H,MATCH($B176,'Pliegos Tarifarios (Quilicura)'!$A:$A,0)),H176&lt;=5000,INDEX('Pliegos Tarifarios (Quilicura)'!$I:$I,MATCH($B176,'Pliegos Tarifarios (Quilicura)'!$A:$A,0)),H176&gt;5000,INDEX('Pliegos Tarifarios (Quilicura)'!$J:$J,MATCH($B176,'Pliegos Tarifarios (Quilicura)'!$A:$A,0)))/1.19</f>
        <v>2182.6684801680676</v>
      </c>
      <c r="R176" s="19">
        <f>INDEX('Pliegos Tarifarios (Quilicura)'!$K:$K,MATCH($B176,'Pliegos Tarifarios (Quilicura)'!$A:$A,0))</f>
        <v>716.899</v>
      </c>
      <c r="S176" s="21">
        <f t="shared" si="9"/>
        <v>169112.65369186806</v>
      </c>
      <c r="T176" s="21">
        <f t="shared" si="10"/>
        <v>32131.404201454934</v>
      </c>
      <c r="U176" s="19">
        <v>0</v>
      </c>
      <c r="V176" s="21">
        <f t="shared" si="11"/>
        <v>201244.05789332301</v>
      </c>
    </row>
    <row r="177" spans="1:22" x14ac:dyDescent="0.3">
      <c r="A177" s="3" t="s">
        <v>142</v>
      </c>
      <c r="B177" s="3">
        <v>3</v>
      </c>
      <c r="C177" s="4" t="s">
        <v>186</v>
      </c>
      <c r="D177" s="3" t="s">
        <v>220</v>
      </c>
      <c r="E177" s="3" t="s">
        <v>94</v>
      </c>
      <c r="F177" s="4" t="s">
        <v>95</v>
      </c>
      <c r="G177" s="3" t="s">
        <v>16</v>
      </c>
      <c r="H177" s="5">
        <v>698.90909999999997</v>
      </c>
      <c r="I177" s="5">
        <v>1.8974</v>
      </c>
      <c r="J177" s="5">
        <v>1.8604000000000001</v>
      </c>
      <c r="K177" s="6">
        <v>0.98049963107410143</v>
      </c>
      <c r="L177" s="5">
        <v>24.96</v>
      </c>
      <c r="M177" s="19">
        <f>H177*INDEX('Pliegos Tarifarios (Quilicura)'!$B:$B,MATCH($B177,'Pliegos Tarifarios (Quilicura)'!$A:$A,0))</f>
        <v>83056.959625799995</v>
      </c>
      <c r="N177" s="19">
        <f>I177*INDEX('Pliegos Tarifarios (Quilicura)'!$C:$C,MATCH($B177,'Pliegos Tarifarios (Quilicura)'!$A:$A,0))</f>
        <v>6626.2312005999993</v>
      </c>
      <c r="O177" s="19">
        <f>J177*INDEX('Pliegos Tarifarios (Quilicura)'!$D:$D,MATCH($B177,'Pliegos Tarifarios (Quilicura)'!$A:$A,0))</f>
        <v>26404.313026000003</v>
      </c>
      <c r="P177" s="19">
        <f>H177*INDEX('Pliegos Tarifarios (Quilicura)'!$E:$E,MATCH($B177,'Pliegos Tarifarios (Quilicura)'!$A:$A,0))</f>
        <v>9038.2924812000001</v>
      </c>
      <c r="Q177" s="19" cm="1">
        <f t="array" ref="Q177">H177*_xlfn.IFS(H177&lt;=350,INDEX('Pliegos Tarifarios (Quilicura)'!$F:$F,MATCH($B177,'Pliegos Tarifarios (Quilicura)'!$A:$A,0)),H177&lt;=500,INDEX('Pliegos Tarifarios (Quilicura)'!$G:$G,MATCH($B177,'Pliegos Tarifarios (Quilicura)'!$A:$A,0)),H177&lt;=1000,INDEX('Pliegos Tarifarios (Quilicura)'!$H:$H,MATCH($B177,'Pliegos Tarifarios (Quilicura)'!$A:$A,0)),H177&lt;=5000,INDEX('Pliegos Tarifarios (Quilicura)'!$I:$I,MATCH($B177,'Pliegos Tarifarios (Quilicura)'!$A:$A,0)),H177&gt;5000,INDEX('Pliegos Tarifarios (Quilicura)'!$J:$J,MATCH($B177,'Pliegos Tarifarios (Quilicura)'!$A:$A,0)))/1.19</f>
        <v>1639.2061328571431</v>
      </c>
      <c r="R177" s="19">
        <f>INDEX('Pliegos Tarifarios (Quilicura)'!$K:$K,MATCH($B177,'Pliegos Tarifarios (Quilicura)'!$A:$A,0))</f>
        <v>716.899</v>
      </c>
      <c r="S177" s="21">
        <f t="shared" si="9"/>
        <v>127481.90146645714</v>
      </c>
      <c r="T177" s="21">
        <f t="shared" si="10"/>
        <v>24221.561278626858</v>
      </c>
      <c r="U177" s="19">
        <v>0</v>
      </c>
      <c r="V177" s="21">
        <f t="shared" si="11"/>
        <v>151703.46274508399</v>
      </c>
    </row>
    <row r="178" spans="1:22" x14ac:dyDescent="0.3">
      <c r="A178" s="3" t="s">
        <v>142</v>
      </c>
      <c r="B178" s="3">
        <v>3</v>
      </c>
      <c r="C178" s="4" t="s">
        <v>186</v>
      </c>
      <c r="D178" s="3" t="s">
        <v>221</v>
      </c>
      <c r="E178" s="3" t="s">
        <v>91</v>
      </c>
      <c r="F178" s="4" t="s">
        <v>97</v>
      </c>
      <c r="G178" s="3" t="s">
        <v>16</v>
      </c>
      <c r="H178" s="5">
        <v>699.18679999999995</v>
      </c>
      <c r="I178" s="5">
        <v>1.8673999999999999</v>
      </c>
      <c r="J178" s="5">
        <v>1.8267</v>
      </c>
      <c r="K178" s="6">
        <v>0.97820499089643353</v>
      </c>
      <c r="L178" s="5">
        <v>24.97</v>
      </c>
      <c r="M178" s="19">
        <f>H178*INDEX('Pliegos Tarifarios (Quilicura)'!$B:$B,MATCH($B178,'Pliegos Tarifarios (Quilicura)'!$A:$A,0))</f>
        <v>83089.960938399992</v>
      </c>
      <c r="N178" s="19">
        <f>I178*INDEX('Pliegos Tarifarios (Quilicura)'!$C:$C,MATCH($B178,'Pliegos Tarifarios (Quilicura)'!$A:$A,0))</f>
        <v>6521.4631305999992</v>
      </c>
      <c r="O178" s="19">
        <f>J178*INDEX('Pliegos Tarifarios (Quilicura)'!$D:$D,MATCH($B178,'Pliegos Tarifarios (Quilicura)'!$A:$A,0))</f>
        <v>25926.015160499999</v>
      </c>
      <c r="P178" s="19">
        <f>H178*INDEX('Pliegos Tarifarios (Quilicura)'!$E:$E,MATCH($B178,'Pliegos Tarifarios (Quilicura)'!$A:$A,0))</f>
        <v>9041.8836976000002</v>
      </c>
      <c r="Q178" s="19" cm="1">
        <f t="array" ref="Q178">H178*_xlfn.IFS(H178&lt;=350,INDEX('Pliegos Tarifarios (Quilicura)'!$F:$F,MATCH($B178,'Pliegos Tarifarios (Quilicura)'!$A:$A,0)),H178&lt;=500,INDEX('Pliegos Tarifarios (Quilicura)'!$G:$G,MATCH($B178,'Pliegos Tarifarios (Quilicura)'!$A:$A,0)),H178&lt;=1000,INDEX('Pliegos Tarifarios (Quilicura)'!$H:$H,MATCH($B178,'Pliegos Tarifarios (Quilicura)'!$A:$A,0)),H178&lt;=5000,INDEX('Pliegos Tarifarios (Quilicura)'!$I:$I,MATCH($B178,'Pliegos Tarifarios (Quilicura)'!$A:$A,0)),H178&gt;5000,INDEX('Pliegos Tarifarios (Quilicura)'!$J:$J,MATCH($B178,'Pliegos Tarifarios (Quilicura)'!$A:$A,0)))/1.19</f>
        <v>1639.857444369748</v>
      </c>
      <c r="R178" s="19">
        <f>INDEX('Pliegos Tarifarios (Quilicura)'!$K:$K,MATCH($B178,'Pliegos Tarifarios (Quilicura)'!$A:$A,0))</f>
        <v>716.899</v>
      </c>
      <c r="S178" s="21">
        <f t="shared" si="9"/>
        <v>126936.07937146974</v>
      </c>
      <c r="T178" s="21">
        <f t="shared" si="10"/>
        <v>24117.855080579251</v>
      </c>
      <c r="U178" s="19">
        <v>0</v>
      </c>
      <c r="V178" s="21">
        <f t="shared" si="11"/>
        <v>151053.934452049</v>
      </c>
    </row>
    <row r="179" spans="1:22" x14ac:dyDescent="0.3">
      <c r="A179" s="3" t="s">
        <v>142</v>
      </c>
      <c r="B179" s="3">
        <v>3</v>
      </c>
      <c r="C179" s="4" t="s">
        <v>186</v>
      </c>
      <c r="D179" s="3" t="s">
        <v>222</v>
      </c>
      <c r="E179" s="3" t="s">
        <v>99</v>
      </c>
      <c r="F179" s="4" t="s">
        <v>100</v>
      </c>
      <c r="G179" s="3" t="s">
        <v>16</v>
      </c>
      <c r="H179" s="5">
        <v>3490.2899000000002</v>
      </c>
      <c r="I179" s="5">
        <v>9.3461999999999996</v>
      </c>
      <c r="J179" s="5">
        <v>9.2431999999999999</v>
      </c>
      <c r="K179" s="6">
        <v>0.98897947829064226</v>
      </c>
      <c r="L179" s="5">
        <v>124.65</v>
      </c>
      <c r="M179" s="19">
        <f>H179*INDEX('Pliegos Tarifarios (Quilicura)'!$B:$B,MATCH($B179,'Pliegos Tarifarios (Quilicura)'!$A:$A,0))</f>
        <v>414779.07113619999</v>
      </c>
      <c r="N179" s="19">
        <f>I179*INDEX('Pliegos Tarifarios (Quilicura)'!$C:$C,MATCH($B179,'Pliegos Tarifarios (Quilicura)'!$A:$A,0))</f>
        <v>32639.444527799995</v>
      </c>
      <c r="O179" s="19">
        <f>J179*INDEX('Pliegos Tarifarios (Quilicura)'!$D:$D,MATCH($B179,'Pliegos Tarifarios (Quilicura)'!$A:$A,0))</f>
        <v>131187.027608</v>
      </c>
      <c r="P179" s="19">
        <f>H179*INDEX('Pliegos Tarifarios (Quilicura)'!$E:$E,MATCH($B179,'Pliegos Tarifarios (Quilicura)'!$A:$A,0))</f>
        <v>45136.428986800005</v>
      </c>
      <c r="Q179" s="19" cm="1">
        <f t="array" ref="Q179">H179*_xlfn.IFS(H179&lt;=350,INDEX('Pliegos Tarifarios (Quilicura)'!$F:$F,MATCH($B179,'Pliegos Tarifarios (Quilicura)'!$A:$A,0)),H179&lt;=500,INDEX('Pliegos Tarifarios (Quilicura)'!$G:$G,MATCH($B179,'Pliegos Tarifarios (Quilicura)'!$A:$A,0)),H179&lt;=1000,INDEX('Pliegos Tarifarios (Quilicura)'!$H:$H,MATCH($B179,'Pliegos Tarifarios (Quilicura)'!$A:$A,0)),H179&lt;=5000,INDEX('Pliegos Tarifarios (Quilicura)'!$I:$I,MATCH($B179,'Pliegos Tarifarios (Quilicura)'!$A:$A,0)),H179&gt;5000,INDEX('Pliegos Tarifarios (Quilicura)'!$J:$J,MATCH($B179,'Pliegos Tarifarios (Quilicura)'!$A:$A,0)))/1.19</f>
        <v>10473.80271672269</v>
      </c>
      <c r="R179" s="19">
        <f>INDEX('Pliegos Tarifarios (Quilicura)'!$K:$K,MATCH($B179,'Pliegos Tarifarios (Quilicura)'!$A:$A,0))</f>
        <v>716.899</v>
      </c>
      <c r="S179" s="21">
        <f t="shared" si="9"/>
        <v>634932.67397552275</v>
      </c>
      <c r="T179" s="21">
        <f t="shared" si="10"/>
        <v>120637.20805534933</v>
      </c>
      <c r="U179" s="19">
        <v>0</v>
      </c>
      <c r="V179" s="21">
        <f t="shared" si="11"/>
        <v>755569.88203087205</v>
      </c>
    </row>
    <row r="180" spans="1:22" x14ac:dyDescent="0.3">
      <c r="A180" s="3" t="s">
        <v>142</v>
      </c>
      <c r="B180" s="3">
        <v>3</v>
      </c>
      <c r="C180" s="4" t="s">
        <v>186</v>
      </c>
      <c r="D180" s="3" t="s">
        <v>223</v>
      </c>
      <c r="E180" s="3" t="s">
        <v>102</v>
      </c>
      <c r="F180" s="4" t="s">
        <v>103</v>
      </c>
      <c r="G180" s="3" t="s">
        <v>16</v>
      </c>
      <c r="H180" s="5">
        <v>2786.6958</v>
      </c>
      <c r="I180" s="5">
        <v>7.3956999999999997</v>
      </c>
      <c r="J180" s="5">
        <v>7.3456999999999999</v>
      </c>
      <c r="K180" s="6">
        <v>0.99323931473694171</v>
      </c>
      <c r="L180" s="5">
        <v>99.52</v>
      </c>
      <c r="M180" s="19">
        <f>H180*INDEX('Pliegos Tarifarios (Quilicura)'!$B:$B,MATCH($B180,'Pliegos Tarifarios (Quilicura)'!$A:$A,0))</f>
        <v>331165.35548039997</v>
      </c>
      <c r="N180" s="19">
        <f>I180*INDEX('Pliegos Tarifarios (Quilicura)'!$C:$C,MATCH($B180,'Pliegos Tarifarios (Quilicura)'!$A:$A,0))</f>
        <v>25827.773843299998</v>
      </c>
      <c r="O180" s="19">
        <f>J180*INDEX('Pliegos Tarifarios (Quilicura)'!$D:$D,MATCH($B180,'Pliegos Tarifarios (Quilicura)'!$A:$A,0))</f>
        <v>104256.16114550001</v>
      </c>
      <c r="P180" s="19">
        <f>H180*INDEX('Pliegos Tarifarios (Quilicura)'!$E:$E,MATCH($B180,'Pliegos Tarifarios (Quilicura)'!$A:$A,0))</f>
        <v>36037.5500856</v>
      </c>
      <c r="Q180" s="19" cm="1">
        <f t="array" ref="Q180">H180*_xlfn.IFS(H180&lt;=350,INDEX('Pliegos Tarifarios (Quilicura)'!$F:$F,MATCH($B180,'Pliegos Tarifarios (Quilicura)'!$A:$A,0)),H180&lt;=500,INDEX('Pliegos Tarifarios (Quilicura)'!$G:$G,MATCH($B180,'Pliegos Tarifarios (Quilicura)'!$A:$A,0)),H180&lt;=1000,INDEX('Pliegos Tarifarios (Quilicura)'!$H:$H,MATCH($B180,'Pliegos Tarifarios (Quilicura)'!$A:$A,0)),H180&lt;=5000,INDEX('Pliegos Tarifarios (Quilicura)'!$I:$I,MATCH($B180,'Pliegos Tarifarios (Quilicura)'!$A:$A,0)),H180&gt;5000,INDEX('Pliegos Tarifarios (Quilicura)'!$J:$J,MATCH($B180,'Pliegos Tarifarios (Quilicura)'!$A:$A,0)))/1.19</f>
        <v>8362.4291611764693</v>
      </c>
      <c r="R180" s="19">
        <f>INDEX('Pliegos Tarifarios (Quilicura)'!$K:$K,MATCH($B180,'Pliegos Tarifarios (Quilicura)'!$A:$A,0))</f>
        <v>716.899</v>
      </c>
      <c r="S180" s="21">
        <f t="shared" si="9"/>
        <v>506366.16871597647</v>
      </c>
      <c r="T180" s="21">
        <f t="shared" si="10"/>
        <v>96209.572056035526</v>
      </c>
      <c r="U180" s="19">
        <v>0</v>
      </c>
      <c r="V180" s="21">
        <f t="shared" si="11"/>
        <v>602575.74077201204</v>
      </c>
    </row>
    <row r="181" spans="1:22" x14ac:dyDescent="0.3">
      <c r="A181" s="3" t="s">
        <v>142</v>
      </c>
      <c r="B181" s="3">
        <v>3</v>
      </c>
      <c r="C181" s="4" t="s">
        <v>186</v>
      </c>
      <c r="D181" s="3" t="s">
        <v>224</v>
      </c>
      <c r="E181" s="3" t="s">
        <v>105</v>
      </c>
      <c r="F181" s="4" t="s">
        <v>106</v>
      </c>
      <c r="G181" s="3" t="s">
        <v>30</v>
      </c>
      <c r="H181" s="5">
        <v>929.15610000000004</v>
      </c>
      <c r="I181" s="5">
        <v>2.4748000000000001</v>
      </c>
      <c r="J181" s="5">
        <v>2.4003999999999999</v>
      </c>
      <c r="K181" s="6">
        <v>0.96993696460320011</v>
      </c>
      <c r="L181" s="5">
        <v>33.18</v>
      </c>
      <c r="M181" s="19">
        <f>H181*INDEX('Pliegos Tarifarios (Quilicura)'!$B:$B,MATCH($B181,'Pliegos Tarifarios (Quilicura)'!$A:$A,0))</f>
        <v>110419.0526118</v>
      </c>
      <c r="N181" s="19">
        <f>I181*INDEX('Pliegos Tarifarios (Quilicura)'!$C:$C,MATCH($B181,'Pliegos Tarifarios (Quilicura)'!$A:$A,0))</f>
        <v>8642.6673212000005</v>
      </c>
      <c r="O181" s="19">
        <f>J181*INDEX('Pliegos Tarifarios (Quilicura)'!$D:$D,MATCH($B181,'Pliegos Tarifarios (Quilicura)'!$A:$A,0))</f>
        <v>34068.433125999996</v>
      </c>
      <c r="P181" s="19">
        <f>H181*INDEX('Pliegos Tarifarios (Quilicura)'!$E:$E,MATCH($B181,'Pliegos Tarifarios (Quilicura)'!$A:$A,0))</f>
        <v>12015.8466852</v>
      </c>
      <c r="Q181" s="19" cm="1">
        <f t="array" ref="Q181">H181*_xlfn.IFS(H181&lt;=350,INDEX('Pliegos Tarifarios (Quilicura)'!$F:$F,MATCH($B181,'Pliegos Tarifarios (Quilicura)'!$A:$A,0)),H181&lt;=500,INDEX('Pliegos Tarifarios (Quilicura)'!$G:$G,MATCH($B181,'Pliegos Tarifarios (Quilicura)'!$A:$A,0)),H181&lt;=1000,INDEX('Pliegos Tarifarios (Quilicura)'!$H:$H,MATCH($B181,'Pliegos Tarifarios (Quilicura)'!$A:$A,0)),H181&lt;=5000,INDEX('Pliegos Tarifarios (Quilicura)'!$I:$I,MATCH($B181,'Pliegos Tarifarios (Quilicura)'!$A:$A,0)),H181&gt;5000,INDEX('Pliegos Tarifarios (Quilicura)'!$J:$J,MATCH($B181,'Pliegos Tarifarios (Quilicura)'!$A:$A,0)))/1.19</f>
        <v>2179.2224160504206</v>
      </c>
      <c r="R181" s="19">
        <f>INDEX('Pliegos Tarifarios (Quilicura)'!$K:$K,MATCH($B181,'Pliegos Tarifarios (Quilicura)'!$A:$A,0))</f>
        <v>716.899</v>
      </c>
      <c r="S181" s="21">
        <f t="shared" si="9"/>
        <v>168042.12116025042</v>
      </c>
      <c r="T181" s="21">
        <f t="shared" si="10"/>
        <v>31928.003020447581</v>
      </c>
      <c r="U181" s="19">
        <v>0</v>
      </c>
      <c r="V181" s="21">
        <f t="shared" si="11"/>
        <v>199970.12418069801</v>
      </c>
    </row>
    <row r="182" spans="1:22" x14ac:dyDescent="0.3">
      <c r="A182" s="3" t="s">
        <v>142</v>
      </c>
      <c r="B182" s="3">
        <v>3</v>
      </c>
      <c r="C182" s="4" t="s">
        <v>186</v>
      </c>
      <c r="D182" s="3" t="s">
        <v>225</v>
      </c>
      <c r="E182" s="3" t="s">
        <v>105</v>
      </c>
      <c r="F182" s="4" t="s">
        <v>108</v>
      </c>
      <c r="G182" s="3" t="s">
        <v>30</v>
      </c>
      <c r="H182" s="5">
        <v>932.75210000000004</v>
      </c>
      <c r="I182" s="5">
        <v>2.4782999999999999</v>
      </c>
      <c r="J182" s="5">
        <v>2.4605999999999999</v>
      </c>
      <c r="K182" s="6">
        <v>0.99285800750514464</v>
      </c>
      <c r="L182" s="5">
        <v>33.31</v>
      </c>
      <c r="M182" s="19">
        <f>H182*INDEX('Pliegos Tarifarios (Quilicura)'!$B:$B,MATCH($B182,'Pliegos Tarifarios (Quilicura)'!$A:$A,0))</f>
        <v>110846.3940598</v>
      </c>
      <c r="N182" s="19">
        <f>I182*INDEX('Pliegos Tarifarios (Quilicura)'!$C:$C,MATCH($B182,'Pliegos Tarifarios (Quilicura)'!$A:$A,0))</f>
        <v>8654.8902626999989</v>
      </c>
      <c r="O182" s="19">
        <f>J182*INDEX('Pliegos Tarifarios (Quilicura)'!$D:$D,MATCH($B182,'Pliegos Tarifarios (Quilicura)'!$A:$A,0))</f>
        <v>34922.840588999999</v>
      </c>
      <c r="P182" s="19">
        <f>H182*INDEX('Pliegos Tarifarios (Quilicura)'!$E:$E,MATCH($B182,'Pliegos Tarifarios (Quilicura)'!$A:$A,0))</f>
        <v>12062.3501572</v>
      </c>
      <c r="Q182" s="19" cm="1">
        <f t="array" ref="Q182">H182*_xlfn.IFS(H182&lt;=350,INDEX('Pliegos Tarifarios (Quilicura)'!$F:$F,MATCH($B182,'Pliegos Tarifarios (Quilicura)'!$A:$A,0)),H182&lt;=500,INDEX('Pliegos Tarifarios (Quilicura)'!$G:$G,MATCH($B182,'Pliegos Tarifarios (Quilicura)'!$A:$A,0)),H182&lt;=1000,INDEX('Pliegos Tarifarios (Quilicura)'!$H:$H,MATCH($B182,'Pliegos Tarifarios (Quilicura)'!$A:$A,0)),H182&lt;=5000,INDEX('Pliegos Tarifarios (Quilicura)'!$I:$I,MATCH($B182,'Pliegos Tarifarios (Quilicura)'!$A:$A,0)),H182&gt;5000,INDEX('Pliegos Tarifarios (Quilicura)'!$J:$J,MATCH($B182,'Pliegos Tarifarios (Quilicura)'!$A:$A,0)))/1.19</f>
        <v>2187.6563958823531</v>
      </c>
      <c r="R182" s="19">
        <f>INDEX('Pliegos Tarifarios (Quilicura)'!$K:$K,MATCH($B182,'Pliegos Tarifarios (Quilicura)'!$A:$A,0))</f>
        <v>716.899</v>
      </c>
      <c r="S182" s="21">
        <f t="shared" si="9"/>
        <v>169391.03046458235</v>
      </c>
      <c r="T182" s="21">
        <f t="shared" si="10"/>
        <v>32184.295788270647</v>
      </c>
      <c r="U182" s="19">
        <v>0</v>
      </c>
      <c r="V182" s="21">
        <f t="shared" si="11"/>
        <v>201575.326252853</v>
      </c>
    </row>
    <row r="183" spans="1:22" x14ac:dyDescent="0.3">
      <c r="A183" s="3" t="s">
        <v>142</v>
      </c>
      <c r="B183" s="3">
        <v>3</v>
      </c>
      <c r="C183" s="4" t="s">
        <v>186</v>
      </c>
      <c r="D183" s="3" t="s">
        <v>226</v>
      </c>
      <c r="E183" s="3" t="s">
        <v>110</v>
      </c>
      <c r="F183" s="4" t="s">
        <v>111</v>
      </c>
      <c r="G183" s="3" t="s">
        <v>30</v>
      </c>
      <c r="H183" s="5">
        <v>463.93990000000002</v>
      </c>
      <c r="I183" s="5">
        <v>1.2533000000000001</v>
      </c>
      <c r="J183" s="5">
        <v>1.2190000000000001</v>
      </c>
      <c r="K183" s="6">
        <v>0.97263225085773564</v>
      </c>
      <c r="L183" s="5">
        <v>16.57</v>
      </c>
      <c r="M183" s="19">
        <f>H183*INDEX('Pliegos Tarifarios (Quilicura)'!$B:$B,MATCH($B183,'Pliegos Tarifarios (Quilicura)'!$A:$A,0))</f>
        <v>55133.689836199999</v>
      </c>
      <c r="N183" s="19">
        <f>I183*INDEX('Pliegos Tarifarios (Quilicura)'!$C:$C,MATCH($B183,'Pliegos Tarifarios (Quilicura)'!$A:$A,0))</f>
        <v>4376.8607376999998</v>
      </c>
      <c r="O183" s="19">
        <f>J183*INDEX('Pliegos Tarifarios (Quilicura)'!$D:$D,MATCH($B183,'Pliegos Tarifarios (Quilicura)'!$A:$A,0))</f>
        <v>17301.041485000002</v>
      </c>
      <c r="P183" s="19">
        <f>H183*INDEX('Pliegos Tarifarios (Quilicura)'!$E:$E,MATCH($B183,'Pliegos Tarifarios (Quilicura)'!$A:$A,0))</f>
        <v>5999.6707868000003</v>
      </c>
      <c r="Q183" s="19" cm="1">
        <f t="array" ref="Q183">H183*_xlfn.IFS(H183&lt;=350,INDEX('Pliegos Tarifarios (Quilicura)'!$F:$F,MATCH($B183,'Pliegos Tarifarios (Quilicura)'!$A:$A,0)),H183&lt;=500,INDEX('Pliegos Tarifarios (Quilicura)'!$G:$G,MATCH($B183,'Pliegos Tarifarios (Quilicura)'!$A:$A,0)),H183&lt;=1000,INDEX('Pliegos Tarifarios (Quilicura)'!$H:$H,MATCH($B183,'Pliegos Tarifarios (Quilicura)'!$A:$A,0)),H183&lt;=5000,INDEX('Pliegos Tarifarios (Quilicura)'!$I:$I,MATCH($B183,'Pliegos Tarifarios (Quilicura)'!$A:$A,0)),H183&gt;5000,INDEX('Pliegos Tarifarios (Quilicura)'!$J:$J,MATCH($B183,'Pliegos Tarifarios (Quilicura)'!$A:$A,0)))/1.19</f>
        <v>653.41451462184887</v>
      </c>
      <c r="R183" s="19">
        <f>INDEX('Pliegos Tarifarios (Quilicura)'!$K:$K,MATCH($B183,'Pliegos Tarifarios (Quilicura)'!$A:$A,0))</f>
        <v>716.899</v>
      </c>
      <c r="S183" s="21">
        <f t="shared" si="9"/>
        <v>84181.576360321851</v>
      </c>
      <c r="T183" s="21">
        <f t="shared" si="10"/>
        <v>15994.499508461153</v>
      </c>
      <c r="U183" s="19">
        <v>0</v>
      </c>
      <c r="V183" s="21">
        <f t="shared" si="11"/>
        <v>100176.07586878301</v>
      </c>
    </row>
    <row r="184" spans="1:22" x14ac:dyDescent="0.3">
      <c r="A184" s="3" t="s">
        <v>142</v>
      </c>
      <c r="B184" s="3">
        <v>3</v>
      </c>
      <c r="C184" s="4" t="s">
        <v>186</v>
      </c>
      <c r="D184" s="3" t="s">
        <v>227</v>
      </c>
      <c r="E184" s="3" t="s">
        <v>113</v>
      </c>
      <c r="F184" s="4" t="s">
        <v>114</v>
      </c>
      <c r="G184" s="3" t="s">
        <v>30</v>
      </c>
      <c r="H184" s="5">
        <v>697.24360000000001</v>
      </c>
      <c r="I184" s="5">
        <v>1.8900999999999999</v>
      </c>
      <c r="J184" s="5">
        <v>1.8333999999999999</v>
      </c>
      <c r="K184" s="6">
        <v>0.97000158721760754</v>
      </c>
      <c r="L184" s="5">
        <v>24.9</v>
      </c>
      <c r="M184" s="19">
        <f>H184*INDEX('Pliegos Tarifarios (Quilicura)'!$B:$B,MATCH($B184,'Pliegos Tarifarios (Quilicura)'!$A:$A,0))</f>
        <v>82859.034936800002</v>
      </c>
      <c r="N184" s="19">
        <f>I184*INDEX('Pliegos Tarifarios (Quilicura)'!$C:$C,MATCH($B184,'Pliegos Tarifarios (Quilicura)'!$A:$A,0))</f>
        <v>6600.7376368999994</v>
      </c>
      <c r="O184" s="19">
        <f>J184*INDEX('Pliegos Tarifarios (Quilicura)'!$D:$D,MATCH($B184,'Pliegos Tarifarios (Quilicura)'!$A:$A,0))</f>
        <v>26021.107021</v>
      </c>
      <c r="P184" s="19">
        <f>H184*INDEX('Pliegos Tarifarios (Quilicura)'!$E:$E,MATCH($B184,'Pliegos Tarifarios (Quilicura)'!$A:$A,0))</f>
        <v>9016.7542352</v>
      </c>
      <c r="Q184" s="19" cm="1">
        <f t="array" ref="Q184">H184*_xlfn.IFS(H184&lt;=350,INDEX('Pliegos Tarifarios (Quilicura)'!$F:$F,MATCH($B184,'Pliegos Tarifarios (Quilicura)'!$A:$A,0)),H184&lt;=500,INDEX('Pliegos Tarifarios (Quilicura)'!$G:$G,MATCH($B184,'Pliegos Tarifarios (Quilicura)'!$A:$A,0)),H184&lt;=1000,INDEX('Pliegos Tarifarios (Quilicura)'!$H:$H,MATCH($B184,'Pliegos Tarifarios (Quilicura)'!$A:$A,0)),H184&lt;=5000,INDEX('Pliegos Tarifarios (Quilicura)'!$I:$I,MATCH($B184,'Pliegos Tarifarios (Quilicura)'!$A:$A,0)),H184&gt;5000,INDEX('Pliegos Tarifarios (Quilicura)'!$J:$J,MATCH($B184,'Pliegos Tarifarios (Quilicura)'!$A:$A,0)))/1.19</f>
        <v>1635.2999055462187</v>
      </c>
      <c r="R184" s="19">
        <f>INDEX('Pliegos Tarifarios (Quilicura)'!$K:$K,MATCH($B184,'Pliegos Tarifarios (Quilicura)'!$A:$A,0))</f>
        <v>716.899</v>
      </c>
      <c r="S184" s="21">
        <f t="shared" si="9"/>
        <v>126849.83273544622</v>
      </c>
      <c r="T184" s="21">
        <f t="shared" si="10"/>
        <v>24101.468219734783</v>
      </c>
      <c r="U184" s="19">
        <v>0</v>
      </c>
      <c r="V184" s="21">
        <f t="shared" si="11"/>
        <v>150951.30095518101</v>
      </c>
    </row>
    <row r="185" spans="1:22" x14ac:dyDescent="0.3">
      <c r="A185" s="3" t="s">
        <v>142</v>
      </c>
      <c r="B185" s="3">
        <v>3</v>
      </c>
      <c r="C185" s="4" t="s">
        <v>186</v>
      </c>
      <c r="D185" s="3" t="s">
        <v>228</v>
      </c>
      <c r="E185" s="3" t="s">
        <v>116</v>
      </c>
      <c r="F185" s="4" t="s">
        <v>117</v>
      </c>
      <c r="G185" s="3" t="s">
        <v>30</v>
      </c>
      <c r="H185" s="5">
        <v>116.4704</v>
      </c>
      <c r="I185" s="5">
        <v>0.30909999999999999</v>
      </c>
      <c r="J185" s="5">
        <v>0.309</v>
      </c>
      <c r="K185" s="6">
        <v>0.99967648010352639</v>
      </c>
      <c r="L185" s="5">
        <v>4.16</v>
      </c>
      <c r="M185" s="19">
        <f>H185*INDEX('Pliegos Tarifarios (Quilicura)'!$B:$B,MATCH($B185,'Pliegos Tarifarios (Quilicura)'!$A:$A,0))</f>
        <v>13841.109395199999</v>
      </c>
      <c r="N185" s="19">
        <f>I185*INDEX('Pliegos Tarifarios (Quilicura)'!$C:$C,MATCH($B185,'Pliegos Tarifarios (Quilicura)'!$A:$A,0))</f>
        <v>1079.4603479</v>
      </c>
      <c r="O185" s="19">
        <f>J185*INDEX('Pliegos Tarifarios (Quilicura)'!$D:$D,MATCH($B185,'Pliegos Tarifarios (Quilicura)'!$A:$A,0))</f>
        <v>4385.5798350000005</v>
      </c>
      <c r="P185" s="19">
        <f>H185*INDEX('Pliegos Tarifarios (Quilicura)'!$E:$E,MATCH($B185,'Pliegos Tarifarios (Quilicura)'!$A:$A,0))</f>
        <v>1506.1952128</v>
      </c>
      <c r="Q185" s="19" cm="1">
        <f t="array" ref="Q185">H185*_xlfn.IFS(H185&lt;=350,INDEX('Pliegos Tarifarios (Quilicura)'!$F:$F,MATCH($B185,'Pliegos Tarifarios (Quilicura)'!$A:$A,0)),H185&lt;=500,INDEX('Pliegos Tarifarios (Quilicura)'!$G:$G,MATCH($B185,'Pliegos Tarifarios (Quilicura)'!$A:$A,0)),H185&lt;=1000,INDEX('Pliegos Tarifarios (Quilicura)'!$H:$H,MATCH($B185,'Pliegos Tarifarios (Quilicura)'!$A:$A,0)),H185&lt;=5000,INDEX('Pliegos Tarifarios (Quilicura)'!$I:$I,MATCH($B185,'Pliegos Tarifarios (Quilicura)'!$A:$A,0)),H185&gt;5000,INDEX('Pliegos Tarifarios (Quilicura)'!$J:$J,MATCH($B185,'Pliegos Tarifarios (Quilicura)'!$A:$A,0)))/1.19</f>
        <v>76.733440000000002</v>
      </c>
      <c r="R185" s="19">
        <f>INDEX('Pliegos Tarifarios (Quilicura)'!$K:$K,MATCH($B185,'Pliegos Tarifarios (Quilicura)'!$A:$A,0))</f>
        <v>716.899</v>
      </c>
      <c r="S185" s="21">
        <f t="shared" si="9"/>
        <v>21605.9772309</v>
      </c>
      <c r="T185" s="21">
        <f t="shared" si="10"/>
        <v>4105.1356738710001</v>
      </c>
      <c r="U185" s="19">
        <v>0</v>
      </c>
      <c r="V185" s="21">
        <f t="shared" si="11"/>
        <v>25711.112904770998</v>
      </c>
    </row>
    <row r="186" spans="1:22" x14ac:dyDescent="0.3">
      <c r="A186" s="3" t="s">
        <v>142</v>
      </c>
      <c r="B186" s="3">
        <v>3</v>
      </c>
      <c r="C186" s="4" t="s">
        <v>186</v>
      </c>
      <c r="D186" s="3" t="s">
        <v>229</v>
      </c>
      <c r="E186" s="3" t="s">
        <v>116</v>
      </c>
      <c r="F186" s="4" t="s">
        <v>119</v>
      </c>
      <c r="G186" s="3" t="s">
        <v>30</v>
      </c>
      <c r="H186" s="5">
        <v>115.88549999999999</v>
      </c>
      <c r="I186" s="5">
        <v>0.30930000000000002</v>
      </c>
      <c r="J186" s="5">
        <v>0.30930000000000002</v>
      </c>
      <c r="K186" s="6">
        <v>1</v>
      </c>
      <c r="L186" s="5">
        <v>4.1399999999999997</v>
      </c>
      <c r="M186" s="19">
        <f>H186*INDEX('Pliegos Tarifarios (Quilicura)'!$B:$B,MATCH($B186,'Pliegos Tarifarios (Quilicura)'!$A:$A,0))</f>
        <v>13771.601048999999</v>
      </c>
      <c r="N186" s="19">
        <f>I186*INDEX('Pliegos Tarifarios (Quilicura)'!$C:$C,MATCH($B186,'Pliegos Tarifarios (Quilicura)'!$A:$A,0))</f>
        <v>1080.1588016999999</v>
      </c>
      <c r="O186" s="19">
        <f>J186*INDEX('Pliegos Tarifarios (Quilicura)'!$D:$D,MATCH($B186,'Pliegos Tarifarios (Quilicura)'!$A:$A,0))</f>
        <v>4389.8376795000004</v>
      </c>
      <c r="P186" s="19">
        <f>H186*INDEX('Pliegos Tarifarios (Quilicura)'!$E:$E,MATCH($B186,'Pliegos Tarifarios (Quilicura)'!$A:$A,0))</f>
        <v>1498.631286</v>
      </c>
      <c r="Q186" s="19" cm="1">
        <f t="array" ref="Q186">H186*_xlfn.IFS(H186&lt;=350,INDEX('Pliegos Tarifarios (Quilicura)'!$F:$F,MATCH($B186,'Pliegos Tarifarios (Quilicura)'!$A:$A,0)),H186&lt;=500,INDEX('Pliegos Tarifarios (Quilicura)'!$G:$G,MATCH($B186,'Pliegos Tarifarios (Quilicura)'!$A:$A,0)),H186&lt;=1000,INDEX('Pliegos Tarifarios (Quilicura)'!$H:$H,MATCH($B186,'Pliegos Tarifarios (Quilicura)'!$A:$A,0)),H186&lt;=5000,INDEX('Pliegos Tarifarios (Quilicura)'!$I:$I,MATCH($B186,'Pliegos Tarifarios (Quilicura)'!$A:$A,0)),H186&gt;5000,INDEX('Pliegos Tarifarios (Quilicura)'!$J:$J,MATCH($B186,'Pliegos Tarifarios (Quilicura)'!$A:$A,0)))/1.19</f>
        <v>76.348094117647065</v>
      </c>
      <c r="R186" s="19">
        <f>INDEX('Pliegos Tarifarios (Quilicura)'!$K:$K,MATCH($B186,'Pliegos Tarifarios (Quilicura)'!$A:$A,0))</f>
        <v>716.899</v>
      </c>
      <c r="S186" s="21">
        <f t="shared" si="9"/>
        <v>21533.475910317648</v>
      </c>
      <c r="T186" s="21">
        <f t="shared" si="10"/>
        <v>4091.3604229603529</v>
      </c>
      <c r="U186" s="19">
        <v>0</v>
      </c>
      <c r="V186" s="21">
        <f t="shared" si="11"/>
        <v>25624.836333277999</v>
      </c>
    </row>
    <row r="187" spans="1:22" x14ac:dyDescent="0.3">
      <c r="A187" s="3" t="s">
        <v>142</v>
      </c>
      <c r="B187" s="3">
        <v>3</v>
      </c>
      <c r="C187" s="4" t="s">
        <v>186</v>
      </c>
      <c r="D187" s="3" t="s">
        <v>230</v>
      </c>
      <c r="E187" s="3" t="s">
        <v>121</v>
      </c>
      <c r="F187" s="4" t="s">
        <v>122</v>
      </c>
      <c r="G187" s="3" t="s">
        <v>30</v>
      </c>
      <c r="H187" s="5">
        <v>116.4569</v>
      </c>
      <c r="I187" s="5">
        <v>0.31009999999999999</v>
      </c>
      <c r="J187" s="5">
        <v>0.31009999999999999</v>
      </c>
      <c r="K187" s="6">
        <v>1</v>
      </c>
      <c r="L187" s="5">
        <v>4.16</v>
      </c>
      <c r="M187" s="19">
        <f>H187*INDEX('Pliegos Tarifarios (Quilicura)'!$B:$B,MATCH($B187,'Pliegos Tarifarios (Quilicura)'!$A:$A,0))</f>
        <v>13839.505082199999</v>
      </c>
      <c r="N187" s="19">
        <f>I187*INDEX('Pliegos Tarifarios (Quilicura)'!$C:$C,MATCH($B187,'Pliegos Tarifarios (Quilicura)'!$A:$A,0))</f>
        <v>1082.9526168999998</v>
      </c>
      <c r="O187" s="19">
        <f>J187*INDEX('Pliegos Tarifarios (Quilicura)'!$D:$D,MATCH($B187,'Pliegos Tarifarios (Quilicura)'!$A:$A,0))</f>
        <v>4401.1919314999996</v>
      </c>
      <c r="P187" s="19">
        <f>H187*INDEX('Pliegos Tarifarios (Quilicura)'!$E:$E,MATCH($B187,'Pliegos Tarifarios (Quilicura)'!$A:$A,0))</f>
        <v>1506.0206308000002</v>
      </c>
      <c r="Q187" s="19" cm="1">
        <f t="array" ref="Q187">H187*_xlfn.IFS(H187&lt;=350,INDEX('Pliegos Tarifarios (Quilicura)'!$F:$F,MATCH($B187,'Pliegos Tarifarios (Quilicura)'!$A:$A,0)),H187&lt;=500,INDEX('Pliegos Tarifarios (Quilicura)'!$G:$G,MATCH($B187,'Pliegos Tarifarios (Quilicura)'!$A:$A,0)),H187&lt;=1000,INDEX('Pliegos Tarifarios (Quilicura)'!$H:$H,MATCH($B187,'Pliegos Tarifarios (Quilicura)'!$A:$A,0)),H187&lt;=5000,INDEX('Pliegos Tarifarios (Quilicura)'!$I:$I,MATCH($B187,'Pliegos Tarifarios (Quilicura)'!$A:$A,0)),H187&gt;5000,INDEX('Pliegos Tarifarios (Quilicura)'!$J:$J,MATCH($B187,'Pliegos Tarifarios (Quilicura)'!$A:$A,0)))/1.19</f>
        <v>76.724545882352956</v>
      </c>
      <c r="R187" s="19">
        <f>INDEX('Pliegos Tarifarios (Quilicura)'!$K:$K,MATCH($B187,'Pliegos Tarifarios (Quilicura)'!$A:$A,0))</f>
        <v>716.899</v>
      </c>
      <c r="S187" s="21">
        <f t="shared" si="9"/>
        <v>21623.293807282353</v>
      </c>
      <c r="T187" s="21">
        <f t="shared" si="10"/>
        <v>4108.4258233836472</v>
      </c>
      <c r="U187" s="19">
        <v>0</v>
      </c>
      <c r="V187" s="21">
        <f t="shared" si="11"/>
        <v>25731.719630666001</v>
      </c>
    </row>
    <row r="188" spans="1:22" x14ac:dyDescent="0.3">
      <c r="A188" s="3" t="s">
        <v>142</v>
      </c>
      <c r="B188" s="3">
        <v>3</v>
      </c>
      <c r="C188" s="4" t="s">
        <v>186</v>
      </c>
      <c r="D188" s="3" t="s">
        <v>231</v>
      </c>
      <c r="E188" s="3" t="s">
        <v>121</v>
      </c>
      <c r="F188" s="4" t="s">
        <v>124</v>
      </c>
      <c r="G188" s="3" t="s">
        <v>30</v>
      </c>
      <c r="H188" s="5">
        <v>116.2538</v>
      </c>
      <c r="I188" s="5">
        <v>0.31369999999999998</v>
      </c>
      <c r="J188" s="5">
        <v>0.30769999999999997</v>
      </c>
      <c r="K188" s="6">
        <v>0.98087344596748482</v>
      </c>
      <c r="L188" s="5">
        <v>4.1500000000000004</v>
      </c>
      <c r="M188" s="19">
        <f>H188*INDEX('Pliegos Tarifarios (Quilicura)'!$B:$B,MATCH($B188,'Pliegos Tarifarios (Quilicura)'!$A:$A,0))</f>
        <v>13815.369084399999</v>
      </c>
      <c r="N188" s="19">
        <f>I188*INDEX('Pliegos Tarifarios (Quilicura)'!$C:$C,MATCH($B188,'Pliegos Tarifarios (Quilicura)'!$A:$A,0))</f>
        <v>1095.5247852999998</v>
      </c>
      <c r="O188" s="19">
        <f>J188*INDEX('Pliegos Tarifarios (Quilicura)'!$D:$D,MATCH($B188,'Pliegos Tarifarios (Quilicura)'!$A:$A,0))</f>
        <v>4367.1291755000002</v>
      </c>
      <c r="P188" s="19">
        <f>H188*INDEX('Pliegos Tarifarios (Quilicura)'!$E:$E,MATCH($B188,'Pliegos Tarifarios (Quilicura)'!$A:$A,0))</f>
        <v>1503.3941416</v>
      </c>
      <c r="Q188" s="19" cm="1">
        <f t="array" ref="Q188">H188*_xlfn.IFS(H188&lt;=350,INDEX('Pliegos Tarifarios (Quilicura)'!$F:$F,MATCH($B188,'Pliegos Tarifarios (Quilicura)'!$A:$A,0)),H188&lt;=500,INDEX('Pliegos Tarifarios (Quilicura)'!$G:$G,MATCH($B188,'Pliegos Tarifarios (Quilicura)'!$A:$A,0)),H188&lt;=1000,INDEX('Pliegos Tarifarios (Quilicura)'!$H:$H,MATCH($B188,'Pliegos Tarifarios (Quilicura)'!$A:$A,0)),H188&lt;=5000,INDEX('Pliegos Tarifarios (Quilicura)'!$I:$I,MATCH($B188,'Pliegos Tarifarios (Quilicura)'!$A:$A,0)),H188&gt;5000,INDEX('Pliegos Tarifarios (Quilicura)'!$J:$J,MATCH($B188,'Pliegos Tarifarios (Quilicura)'!$A:$A,0)))/1.19</f>
        <v>76.590738823529421</v>
      </c>
      <c r="R188" s="19">
        <f>INDEX('Pliegos Tarifarios (Quilicura)'!$K:$K,MATCH($B188,'Pliegos Tarifarios (Quilicura)'!$A:$A,0))</f>
        <v>716.899</v>
      </c>
      <c r="S188" s="21">
        <f t="shared" si="9"/>
        <v>21574.906925623531</v>
      </c>
      <c r="T188" s="21">
        <f t="shared" si="10"/>
        <v>4099.2323158684712</v>
      </c>
      <c r="U188" s="19">
        <v>0</v>
      </c>
      <c r="V188" s="21">
        <f t="shared" si="11"/>
        <v>25674.139241492001</v>
      </c>
    </row>
    <row r="189" spans="1:22" x14ac:dyDescent="0.3">
      <c r="A189" s="3" t="s">
        <v>142</v>
      </c>
      <c r="B189" s="3">
        <v>3</v>
      </c>
      <c r="C189" s="4" t="s">
        <v>186</v>
      </c>
      <c r="D189" s="3" t="s">
        <v>232</v>
      </c>
      <c r="E189" s="3" t="s">
        <v>121</v>
      </c>
      <c r="F189" s="4" t="s">
        <v>126</v>
      </c>
      <c r="G189" s="3" t="s">
        <v>30</v>
      </c>
      <c r="H189" s="5">
        <v>116.2936</v>
      </c>
      <c r="I189" s="5">
        <v>0.31469999999999998</v>
      </c>
      <c r="J189" s="5">
        <v>0.31059999999999999</v>
      </c>
      <c r="K189" s="6">
        <v>0.98697171909755321</v>
      </c>
      <c r="L189" s="5">
        <v>4.1500000000000004</v>
      </c>
      <c r="M189" s="19">
        <f>H189*INDEX('Pliegos Tarifarios (Quilicura)'!$B:$B,MATCH($B189,'Pliegos Tarifarios (Quilicura)'!$A:$A,0))</f>
        <v>13820.0988368</v>
      </c>
      <c r="N189" s="19">
        <f>I189*INDEX('Pliegos Tarifarios (Quilicura)'!$C:$C,MATCH($B189,'Pliegos Tarifarios (Quilicura)'!$A:$A,0))</f>
        <v>1099.0170542999999</v>
      </c>
      <c r="O189" s="19">
        <f>J189*INDEX('Pliegos Tarifarios (Quilicura)'!$D:$D,MATCH($B189,'Pliegos Tarifarios (Quilicura)'!$A:$A,0))</f>
        <v>4408.2883389999997</v>
      </c>
      <c r="P189" s="19">
        <f>H189*INDEX('Pliegos Tarifarios (Quilicura)'!$E:$E,MATCH($B189,'Pliegos Tarifarios (Quilicura)'!$A:$A,0))</f>
        <v>1503.9088352000001</v>
      </c>
      <c r="Q189" s="19" cm="1">
        <f t="array" ref="Q189">H189*_xlfn.IFS(H189&lt;=350,INDEX('Pliegos Tarifarios (Quilicura)'!$F:$F,MATCH($B189,'Pliegos Tarifarios (Quilicura)'!$A:$A,0)),H189&lt;=500,INDEX('Pliegos Tarifarios (Quilicura)'!$G:$G,MATCH($B189,'Pliegos Tarifarios (Quilicura)'!$A:$A,0)),H189&lt;=1000,INDEX('Pliegos Tarifarios (Quilicura)'!$H:$H,MATCH($B189,'Pliegos Tarifarios (Quilicura)'!$A:$A,0)),H189&lt;=5000,INDEX('Pliegos Tarifarios (Quilicura)'!$I:$I,MATCH($B189,'Pliegos Tarifarios (Quilicura)'!$A:$A,0)),H189&gt;5000,INDEX('Pliegos Tarifarios (Quilicura)'!$J:$J,MATCH($B189,'Pliegos Tarifarios (Quilicura)'!$A:$A,0)))/1.19</f>
        <v>76.616960000000006</v>
      </c>
      <c r="R189" s="19">
        <f>INDEX('Pliegos Tarifarios (Quilicura)'!$K:$K,MATCH($B189,'Pliegos Tarifarios (Quilicura)'!$A:$A,0))</f>
        <v>716.899</v>
      </c>
      <c r="S189" s="21">
        <f t="shared" si="9"/>
        <v>21624.829025300001</v>
      </c>
      <c r="T189" s="21">
        <f t="shared" si="10"/>
        <v>4108.717514807</v>
      </c>
      <c r="U189" s="19">
        <v>0</v>
      </c>
      <c r="V189" s="21">
        <f t="shared" si="11"/>
        <v>25733.546540107003</v>
      </c>
    </row>
    <row r="190" spans="1:22" x14ac:dyDescent="0.3">
      <c r="A190" s="3" t="s">
        <v>142</v>
      </c>
      <c r="B190" s="3">
        <v>3</v>
      </c>
      <c r="C190" s="4" t="s">
        <v>186</v>
      </c>
      <c r="D190" s="3" t="s">
        <v>233</v>
      </c>
      <c r="E190" s="3" t="s">
        <v>121</v>
      </c>
      <c r="F190" s="4" t="s">
        <v>128</v>
      </c>
      <c r="G190" s="3" t="s">
        <v>30</v>
      </c>
      <c r="H190" s="5">
        <v>116.0423</v>
      </c>
      <c r="I190" s="5">
        <v>0.31459999999999999</v>
      </c>
      <c r="J190" s="5">
        <v>0.31359999999999999</v>
      </c>
      <c r="K190" s="6">
        <v>0.99682136045772407</v>
      </c>
      <c r="L190" s="5">
        <v>4.1399999999999997</v>
      </c>
      <c r="M190" s="19">
        <f>H190*INDEX('Pliegos Tarifarios (Quilicura)'!$B:$B,MATCH($B190,'Pliegos Tarifarios (Quilicura)'!$A:$A,0))</f>
        <v>13790.234847399999</v>
      </c>
      <c r="N190" s="19">
        <f>I190*INDEX('Pliegos Tarifarios (Quilicura)'!$C:$C,MATCH($B190,'Pliegos Tarifarios (Quilicura)'!$A:$A,0))</f>
        <v>1098.6678273999999</v>
      </c>
      <c r="O190" s="19">
        <f>J190*INDEX('Pliegos Tarifarios (Quilicura)'!$D:$D,MATCH($B190,'Pliegos Tarifarios (Quilicura)'!$A:$A,0))</f>
        <v>4450.8667839999998</v>
      </c>
      <c r="P190" s="19">
        <f>H190*INDEX('Pliegos Tarifarios (Quilicura)'!$E:$E,MATCH($B190,'Pliegos Tarifarios (Quilicura)'!$A:$A,0))</f>
        <v>1500.6590236</v>
      </c>
      <c r="Q190" s="19" cm="1">
        <f t="array" ref="Q190">H190*_xlfn.IFS(H190&lt;=350,INDEX('Pliegos Tarifarios (Quilicura)'!$F:$F,MATCH($B190,'Pliegos Tarifarios (Quilicura)'!$A:$A,0)),H190&lt;=500,INDEX('Pliegos Tarifarios (Quilicura)'!$G:$G,MATCH($B190,'Pliegos Tarifarios (Quilicura)'!$A:$A,0)),H190&lt;=1000,INDEX('Pliegos Tarifarios (Quilicura)'!$H:$H,MATCH($B190,'Pliegos Tarifarios (Quilicura)'!$A:$A,0)),H190&lt;=5000,INDEX('Pliegos Tarifarios (Quilicura)'!$I:$I,MATCH($B190,'Pliegos Tarifarios (Quilicura)'!$A:$A,0)),H190&gt;5000,INDEX('Pliegos Tarifarios (Quilicura)'!$J:$J,MATCH($B190,'Pliegos Tarifarios (Quilicura)'!$A:$A,0)))/1.19</f>
        <v>76.451397647058826</v>
      </c>
      <c r="R190" s="19">
        <f>INDEX('Pliegos Tarifarios (Quilicura)'!$K:$K,MATCH($B190,'Pliegos Tarifarios (Quilicura)'!$A:$A,0))</f>
        <v>716.899</v>
      </c>
      <c r="S190" s="21">
        <f t="shared" si="9"/>
        <v>21633.778880047063</v>
      </c>
      <c r="T190" s="21">
        <f t="shared" si="10"/>
        <v>4110.4179872089417</v>
      </c>
      <c r="U190" s="19">
        <v>0</v>
      </c>
      <c r="V190" s="21">
        <f t="shared" si="11"/>
        <v>25744.196867256003</v>
      </c>
    </row>
    <row r="191" spans="1:22" x14ac:dyDescent="0.3">
      <c r="A191" s="3" t="s">
        <v>142</v>
      </c>
      <c r="B191" s="3">
        <v>3</v>
      </c>
      <c r="C191" s="4" t="s">
        <v>186</v>
      </c>
      <c r="D191" s="3" t="s">
        <v>234</v>
      </c>
      <c r="E191" s="3" t="s">
        <v>121</v>
      </c>
      <c r="F191" s="4" t="s">
        <v>130</v>
      </c>
      <c r="G191" s="3" t="s">
        <v>30</v>
      </c>
      <c r="H191" s="5">
        <v>116.2907</v>
      </c>
      <c r="I191" s="5">
        <v>0.3115</v>
      </c>
      <c r="J191" s="5">
        <v>0.30599999999999999</v>
      </c>
      <c r="K191" s="6">
        <v>0.9823434991974318</v>
      </c>
      <c r="L191" s="5">
        <v>4.1500000000000004</v>
      </c>
      <c r="M191" s="19">
        <f>H191*INDEX('Pliegos Tarifarios (Quilicura)'!$B:$B,MATCH($B191,'Pliegos Tarifarios (Quilicura)'!$A:$A,0))</f>
        <v>13819.754206599999</v>
      </c>
      <c r="N191" s="19">
        <f>I191*INDEX('Pliegos Tarifarios (Quilicura)'!$C:$C,MATCH($B191,'Pliegos Tarifarios (Quilicura)'!$A:$A,0))</f>
        <v>1087.8417935</v>
      </c>
      <c r="O191" s="19">
        <f>J191*INDEX('Pliegos Tarifarios (Quilicura)'!$D:$D,MATCH($B191,'Pliegos Tarifarios (Quilicura)'!$A:$A,0))</f>
        <v>4343.0013900000004</v>
      </c>
      <c r="P191" s="19">
        <f>H191*INDEX('Pliegos Tarifarios (Quilicura)'!$E:$E,MATCH($B191,'Pliegos Tarifarios (Quilicura)'!$A:$A,0))</f>
        <v>1503.8713324</v>
      </c>
      <c r="Q191" s="19" cm="1">
        <f t="array" ref="Q191">H191*_xlfn.IFS(H191&lt;=350,INDEX('Pliegos Tarifarios (Quilicura)'!$F:$F,MATCH($B191,'Pliegos Tarifarios (Quilicura)'!$A:$A,0)),H191&lt;=500,INDEX('Pliegos Tarifarios (Quilicura)'!$G:$G,MATCH($B191,'Pliegos Tarifarios (Quilicura)'!$A:$A,0)),H191&lt;=1000,INDEX('Pliegos Tarifarios (Quilicura)'!$H:$H,MATCH($B191,'Pliegos Tarifarios (Quilicura)'!$A:$A,0)),H191&lt;=5000,INDEX('Pliegos Tarifarios (Quilicura)'!$I:$I,MATCH($B191,'Pliegos Tarifarios (Quilicura)'!$A:$A,0)),H191&gt;5000,INDEX('Pliegos Tarifarios (Quilicura)'!$J:$J,MATCH($B191,'Pliegos Tarifarios (Quilicura)'!$A:$A,0)))/1.19</f>
        <v>76.615049411764716</v>
      </c>
      <c r="R191" s="19">
        <f>INDEX('Pliegos Tarifarios (Quilicura)'!$K:$K,MATCH($B191,'Pliegos Tarifarios (Quilicura)'!$A:$A,0))</f>
        <v>716.899</v>
      </c>
      <c r="S191" s="21">
        <f t="shared" si="9"/>
        <v>21547.982771911767</v>
      </c>
      <c r="T191" s="21">
        <f t="shared" si="10"/>
        <v>4094.116726663236</v>
      </c>
      <c r="U191" s="19">
        <v>0</v>
      </c>
      <c r="V191" s="21">
        <f t="shared" si="11"/>
        <v>25642.099498575004</v>
      </c>
    </row>
    <row r="192" spans="1:22" x14ac:dyDescent="0.3">
      <c r="A192" s="3" t="s">
        <v>142</v>
      </c>
      <c r="B192" s="3">
        <v>3</v>
      </c>
      <c r="C192" s="4" t="s">
        <v>186</v>
      </c>
      <c r="D192" s="3" t="s">
        <v>235</v>
      </c>
      <c r="E192" s="3" t="s">
        <v>121</v>
      </c>
      <c r="F192" s="4" t="s">
        <v>132</v>
      </c>
      <c r="G192" s="3" t="s">
        <v>30</v>
      </c>
      <c r="H192" s="5">
        <v>116.2743</v>
      </c>
      <c r="I192" s="5">
        <v>0.32</v>
      </c>
      <c r="J192" s="5">
        <v>0.30880000000000002</v>
      </c>
      <c r="K192" s="6">
        <v>0.96500000000000008</v>
      </c>
      <c r="L192" s="5">
        <v>4.1500000000000004</v>
      </c>
      <c r="M192" s="19">
        <f>H192*INDEX('Pliegos Tarifarios (Quilicura)'!$B:$B,MATCH($B192,'Pliegos Tarifarios (Quilicura)'!$A:$A,0))</f>
        <v>13817.8052634</v>
      </c>
      <c r="N192" s="19">
        <f>I192*INDEX('Pliegos Tarifarios (Quilicura)'!$C:$C,MATCH($B192,'Pliegos Tarifarios (Quilicura)'!$A:$A,0))</f>
        <v>1117.5260799999999</v>
      </c>
      <c r="O192" s="19">
        <f>J192*INDEX('Pliegos Tarifarios (Quilicura)'!$D:$D,MATCH($B192,'Pliegos Tarifarios (Quilicura)'!$A:$A,0))</f>
        <v>4382.7412720000002</v>
      </c>
      <c r="P192" s="19">
        <f>H192*INDEX('Pliegos Tarifarios (Quilicura)'!$E:$E,MATCH($B192,'Pliegos Tarifarios (Quilicura)'!$A:$A,0))</f>
        <v>1503.6592476000001</v>
      </c>
      <c r="Q192" s="19" cm="1">
        <f t="array" ref="Q192">H192*_xlfn.IFS(H192&lt;=350,INDEX('Pliegos Tarifarios (Quilicura)'!$F:$F,MATCH($B192,'Pliegos Tarifarios (Quilicura)'!$A:$A,0)),H192&lt;=500,INDEX('Pliegos Tarifarios (Quilicura)'!$G:$G,MATCH($B192,'Pliegos Tarifarios (Quilicura)'!$A:$A,0)),H192&lt;=1000,INDEX('Pliegos Tarifarios (Quilicura)'!$H:$H,MATCH($B192,'Pliegos Tarifarios (Quilicura)'!$A:$A,0)),H192&lt;=5000,INDEX('Pliegos Tarifarios (Quilicura)'!$I:$I,MATCH($B192,'Pliegos Tarifarios (Quilicura)'!$A:$A,0)),H192&gt;5000,INDEX('Pliegos Tarifarios (Quilicura)'!$J:$J,MATCH($B192,'Pliegos Tarifarios (Quilicura)'!$A:$A,0)))/1.19</f>
        <v>76.604244705882365</v>
      </c>
      <c r="R192" s="19">
        <f>INDEX('Pliegos Tarifarios (Quilicura)'!$K:$K,MATCH($B192,'Pliegos Tarifarios (Quilicura)'!$A:$A,0))</f>
        <v>716.899</v>
      </c>
      <c r="S192" s="21">
        <f t="shared" si="9"/>
        <v>21615.235107705885</v>
      </c>
      <c r="T192" s="21">
        <f t="shared" si="10"/>
        <v>4106.8946704641185</v>
      </c>
      <c r="U192" s="19">
        <v>0</v>
      </c>
      <c r="V192" s="21">
        <f t="shared" si="11"/>
        <v>25722.129778170005</v>
      </c>
    </row>
    <row r="193" spans="1:22" x14ac:dyDescent="0.3">
      <c r="A193" s="3" t="s">
        <v>142</v>
      </c>
      <c r="B193" s="3">
        <v>3</v>
      </c>
      <c r="C193" s="4" t="s">
        <v>186</v>
      </c>
      <c r="D193" s="3" t="s">
        <v>236</v>
      </c>
      <c r="E193" s="3" t="s">
        <v>121</v>
      </c>
      <c r="F193" s="4" t="s">
        <v>134</v>
      </c>
      <c r="G193" s="3" t="s">
        <v>30</v>
      </c>
      <c r="H193" s="5">
        <v>116.176</v>
      </c>
      <c r="I193" s="5">
        <v>0.314</v>
      </c>
      <c r="J193" s="5">
        <v>0.30130000000000001</v>
      </c>
      <c r="K193" s="6">
        <v>0.9595541401273886</v>
      </c>
      <c r="L193" s="5">
        <v>4.1500000000000004</v>
      </c>
      <c r="M193" s="19">
        <f>H193*INDEX('Pliegos Tarifarios (Quilicura)'!$B:$B,MATCH($B193,'Pliegos Tarifarios (Quilicura)'!$A:$A,0))</f>
        <v>13806.123487999999</v>
      </c>
      <c r="N193" s="19">
        <f>I193*INDEX('Pliegos Tarifarios (Quilicura)'!$C:$C,MATCH($B193,'Pliegos Tarifarios (Quilicura)'!$A:$A,0))</f>
        <v>1096.5724659999998</v>
      </c>
      <c r="O193" s="19">
        <f>J193*INDEX('Pliegos Tarifarios (Quilicura)'!$D:$D,MATCH($B193,'Pliegos Tarifarios (Quilicura)'!$A:$A,0))</f>
        <v>4276.2951595000004</v>
      </c>
      <c r="P193" s="19">
        <f>H193*INDEX('Pliegos Tarifarios (Quilicura)'!$E:$E,MATCH($B193,'Pliegos Tarifarios (Quilicura)'!$A:$A,0))</f>
        <v>1502.3880320000001</v>
      </c>
      <c r="Q193" s="19" cm="1">
        <f t="array" ref="Q193">H193*_xlfn.IFS(H193&lt;=350,INDEX('Pliegos Tarifarios (Quilicura)'!$F:$F,MATCH($B193,'Pliegos Tarifarios (Quilicura)'!$A:$A,0)),H193&lt;=500,INDEX('Pliegos Tarifarios (Quilicura)'!$G:$G,MATCH($B193,'Pliegos Tarifarios (Quilicura)'!$A:$A,0)),H193&lt;=1000,INDEX('Pliegos Tarifarios (Quilicura)'!$H:$H,MATCH($B193,'Pliegos Tarifarios (Quilicura)'!$A:$A,0)),H193&lt;=5000,INDEX('Pliegos Tarifarios (Quilicura)'!$I:$I,MATCH($B193,'Pliegos Tarifarios (Quilicura)'!$A:$A,0)),H193&gt;5000,INDEX('Pliegos Tarifarios (Quilicura)'!$J:$J,MATCH($B193,'Pliegos Tarifarios (Quilicura)'!$A:$A,0)))/1.19</f>
        <v>76.539482352941178</v>
      </c>
      <c r="R193" s="19">
        <f>INDEX('Pliegos Tarifarios (Quilicura)'!$K:$K,MATCH($B193,'Pliegos Tarifarios (Quilicura)'!$A:$A,0))</f>
        <v>716.899</v>
      </c>
      <c r="S193" s="21">
        <f t="shared" si="9"/>
        <v>21474.817627852943</v>
      </c>
      <c r="T193" s="21">
        <f t="shared" si="10"/>
        <v>4080.2153492920593</v>
      </c>
      <c r="U193" s="19">
        <v>0</v>
      </c>
      <c r="V193" s="21">
        <f t="shared" si="11"/>
        <v>25555.032977145001</v>
      </c>
    </row>
    <row r="194" spans="1:22" x14ac:dyDescent="0.3">
      <c r="A194" s="3" t="s">
        <v>142</v>
      </c>
      <c r="B194" s="3">
        <v>3</v>
      </c>
      <c r="C194" s="4" t="s">
        <v>186</v>
      </c>
      <c r="D194" s="3" t="s">
        <v>237</v>
      </c>
      <c r="E194" s="3" t="s">
        <v>121</v>
      </c>
      <c r="F194" s="4" t="s">
        <v>136</v>
      </c>
      <c r="G194" s="3" t="s">
        <v>30</v>
      </c>
      <c r="H194" s="5">
        <v>116.2694</v>
      </c>
      <c r="I194" s="5">
        <v>0.31530000000000002</v>
      </c>
      <c r="J194" s="5">
        <v>0.30230000000000001</v>
      </c>
      <c r="K194" s="6">
        <v>0.95876942594354575</v>
      </c>
      <c r="L194" s="5">
        <v>4.1500000000000004</v>
      </c>
      <c r="M194" s="19">
        <f>H194*INDEX('Pliegos Tarifarios (Quilicura)'!$B:$B,MATCH($B194,'Pliegos Tarifarios (Quilicura)'!$A:$A,0))</f>
        <v>13817.2229572</v>
      </c>
      <c r="N194" s="19">
        <f>I194*INDEX('Pliegos Tarifarios (Quilicura)'!$C:$C,MATCH($B194,'Pliegos Tarifarios (Quilicura)'!$A:$A,0))</f>
        <v>1101.1124156999999</v>
      </c>
      <c r="O194" s="19">
        <f>J194*INDEX('Pliegos Tarifarios (Quilicura)'!$D:$D,MATCH($B194,'Pliegos Tarifarios (Quilicura)'!$A:$A,0))</f>
        <v>4290.4879745000007</v>
      </c>
      <c r="P194" s="19">
        <f>H194*INDEX('Pliegos Tarifarios (Quilicura)'!$E:$E,MATCH($B194,'Pliegos Tarifarios (Quilicura)'!$A:$A,0))</f>
        <v>1503.5958808</v>
      </c>
      <c r="Q194" s="19" cm="1">
        <f t="array" ref="Q194">H194*_xlfn.IFS(H194&lt;=350,INDEX('Pliegos Tarifarios (Quilicura)'!$F:$F,MATCH($B194,'Pliegos Tarifarios (Quilicura)'!$A:$A,0)),H194&lt;=500,INDEX('Pliegos Tarifarios (Quilicura)'!$G:$G,MATCH($B194,'Pliegos Tarifarios (Quilicura)'!$A:$A,0)),H194&lt;=1000,INDEX('Pliegos Tarifarios (Quilicura)'!$H:$H,MATCH($B194,'Pliegos Tarifarios (Quilicura)'!$A:$A,0)),H194&lt;=5000,INDEX('Pliegos Tarifarios (Quilicura)'!$I:$I,MATCH($B194,'Pliegos Tarifarios (Quilicura)'!$A:$A,0)),H194&gt;5000,INDEX('Pliegos Tarifarios (Quilicura)'!$J:$J,MATCH($B194,'Pliegos Tarifarios (Quilicura)'!$A:$A,0)))/1.19</f>
        <v>76.601016470588249</v>
      </c>
      <c r="R194" s="19">
        <f>INDEX('Pliegos Tarifarios (Quilicura)'!$K:$K,MATCH($B194,'Pliegos Tarifarios (Quilicura)'!$A:$A,0))</f>
        <v>716.899</v>
      </c>
      <c r="S194" s="21">
        <f t="shared" si="9"/>
        <v>21505.919244670589</v>
      </c>
      <c r="T194" s="21">
        <f t="shared" si="10"/>
        <v>4086.1246564874118</v>
      </c>
      <c r="U194" s="19">
        <v>0</v>
      </c>
      <c r="V194" s="21">
        <f t="shared" si="11"/>
        <v>25592.043901158002</v>
      </c>
    </row>
    <row r="195" spans="1:22" x14ac:dyDescent="0.3">
      <c r="A195" s="3" t="s">
        <v>142</v>
      </c>
      <c r="B195" s="3">
        <v>3</v>
      </c>
      <c r="C195" s="4" t="s">
        <v>186</v>
      </c>
      <c r="D195" s="3" t="s">
        <v>238</v>
      </c>
      <c r="E195" s="3" t="s">
        <v>121</v>
      </c>
      <c r="F195" s="4" t="s">
        <v>138</v>
      </c>
      <c r="G195" s="3" t="s">
        <v>30</v>
      </c>
      <c r="H195" s="5">
        <v>115.9468</v>
      </c>
      <c r="I195" s="5">
        <v>0.30959999999999999</v>
      </c>
      <c r="J195" s="5">
        <v>0.30909999999999999</v>
      </c>
      <c r="K195" s="6">
        <v>0.99838501291989667</v>
      </c>
      <c r="L195" s="5">
        <v>4.1399999999999997</v>
      </c>
      <c r="M195" s="19">
        <f>H195*INDEX('Pliegos Tarifarios (Quilicura)'!$B:$B,MATCH($B195,'Pliegos Tarifarios (Quilicura)'!$A:$A,0))</f>
        <v>13778.885818399998</v>
      </c>
      <c r="N195" s="19">
        <f>I195*INDEX('Pliegos Tarifarios (Quilicura)'!$C:$C,MATCH($B195,'Pliegos Tarifarios (Quilicura)'!$A:$A,0))</f>
        <v>1081.2064823999999</v>
      </c>
      <c r="O195" s="19">
        <f>J195*INDEX('Pliegos Tarifarios (Quilicura)'!$D:$D,MATCH($B195,'Pliegos Tarifarios (Quilicura)'!$A:$A,0))</f>
        <v>4386.9991165000001</v>
      </c>
      <c r="P195" s="19">
        <f>H195*INDEX('Pliegos Tarifarios (Quilicura)'!$E:$E,MATCH($B195,'Pliegos Tarifarios (Quilicura)'!$A:$A,0))</f>
        <v>1499.4240176000001</v>
      </c>
      <c r="Q195" s="19" cm="1">
        <f t="array" ref="Q195">H195*_xlfn.IFS(H195&lt;=350,INDEX('Pliegos Tarifarios (Quilicura)'!$F:$F,MATCH($B195,'Pliegos Tarifarios (Quilicura)'!$A:$A,0)),H195&lt;=500,INDEX('Pliegos Tarifarios (Quilicura)'!$G:$G,MATCH($B195,'Pliegos Tarifarios (Quilicura)'!$A:$A,0)),H195&lt;=1000,INDEX('Pliegos Tarifarios (Quilicura)'!$H:$H,MATCH($B195,'Pliegos Tarifarios (Quilicura)'!$A:$A,0)),H195&lt;=5000,INDEX('Pliegos Tarifarios (Quilicura)'!$I:$I,MATCH($B195,'Pliegos Tarifarios (Quilicura)'!$A:$A,0)),H195&gt;5000,INDEX('Pliegos Tarifarios (Quilicura)'!$J:$J,MATCH($B195,'Pliegos Tarifarios (Quilicura)'!$A:$A,0)))/1.19</f>
        <v>76.388480000000001</v>
      </c>
      <c r="R195" s="19">
        <f>INDEX('Pliegos Tarifarios (Quilicura)'!$K:$K,MATCH($B195,'Pliegos Tarifarios (Quilicura)'!$A:$A,0))</f>
        <v>716.899</v>
      </c>
      <c r="S195" s="21">
        <f t="shared" si="9"/>
        <v>21539.802914899999</v>
      </c>
      <c r="T195" s="21">
        <f t="shared" si="10"/>
        <v>4092.5625538310001</v>
      </c>
      <c r="U195" s="19">
        <v>0</v>
      </c>
      <c r="V195" s="21">
        <f t="shared" si="11"/>
        <v>25632.365468731001</v>
      </c>
    </row>
    <row r="196" spans="1:22" x14ac:dyDescent="0.3">
      <c r="A196" s="3" t="s">
        <v>142</v>
      </c>
      <c r="B196" s="3">
        <v>3</v>
      </c>
      <c r="C196" s="4" t="s">
        <v>186</v>
      </c>
      <c r="D196" s="3" t="s">
        <v>239</v>
      </c>
      <c r="E196" s="3" t="s">
        <v>121</v>
      </c>
      <c r="F196" s="4" t="s">
        <v>140</v>
      </c>
      <c r="G196" s="3" t="s">
        <v>30</v>
      </c>
      <c r="H196" s="5">
        <v>116.14870000000001</v>
      </c>
      <c r="I196" s="5">
        <v>0.31730000000000003</v>
      </c>
      <c r="J196" s="5">
        <v>0.30549999999999999</v>
      </c>
      <c r="K196" s="6">
        <v>0.96281121966593119</v>
      </c>
      <c r="L196" s="5">
        <v>4.1500000000000004</v>
      </c>
      <c r="M196" s="19">
        <f>H196*INDEX('Pliegos Tarifarios (Quilicura)'!$B:$B,MATCH($B196,'Pliegos Tarifarios (Quilicura)'!$A:$A,0))</f>
        <v>13802.8792106</v>
      </c>
      <c r="N196" s="19">
        <f>I196*INDEX('Pliegos Tarifarios (Quilicura)'!$C:$C,MATCH($B196,'Pliegos Tarifarios (Quilicura)'!$A:$A,0))</f>
        <v>1108.0969537000001</v>
      </c>
      <c r="O196" s="19">
        <f>J196*INDEX('Pliegos Tarifarios (Quilicura)'!$D:$D,MATCH($B196,'Pliegos Tarifarios (Quilicura)'!$A:$A,0))</f>
        <v>4335.9049825000002</v>
      </c>
      <c r="P196" s="19">
        <f>H196*INDEX('Pliegos Tarifarios (Quilicura)'!$E:$E,MATCH($B196,'Pliegos Tarifarios (Quilicura)'!$A:$A,0))</f>
        <v>1502.0349884000002</v>
      </c>
      <c r="Q196" s="19" cm="1">
        <f t="array" ref="Q196">H196*_xlfn.IFS(H196&lt;=350,INDEX('Pliegos Tarifarios (Quilicura)'!$F:$F,MATCH($B196,'Pliegos Tarifarios (Quilicura)'!$A:$A,0)),H196&lt;=500,INDEX('Pliegos Tarifarios (Quilicura)'!$G:$G,MATCH($B196,'Pliegos Tarifarios (Quilicura)'!$A:$A,0)),H196&lt;=1000,INDEX('Pliegos Tarifarios (Quilicura)'!$H:$H,MATCH($B196,'Pliegos Tarifarios (Quilicura)'!$A:$A,0)),H196&lt;=5000,INDEX('Pliegos Tarifarios (Quilicura)'!$I:$I,MATCH($B196,'Pliegos Tarifarios (Quilicura)'!$A:$A,0)),H196&gt;5000,INDEX('Pliegos Tarifarios (Quilicura)'!$J:$J,MATCH($B196,'Pliegos Tarifarios (Quilicura)'!$A:$A,0)))/1.19</f>
        <v>76.521496470588247</v>
      </c>
      <c r="R196" s="19">
        <f>INDEX('Pliegos Tarifarios (Quilicura)'!$K:$K,MATCH($B196,'Pliegos Tarifarios (Quilicura)'!$A:$A,0))</f>
        <v>716.899</v>
      </c>
      <c r="S196" s="21">
        <f t="shared" si="9"/>
        <v>21542.336631670587</v>
      </c>
      <c r="T196" s="21">
        <f t="shared" si="10"/>
        <v>4093.0439600174118</v>
      </c>
      <c r="U196" s="19">
        <v>0</v>
      </c>
      <c r="V196" s="21">
        <f t="shared" si="11"/>
        <v>25635.380591687997</v>
      </c>
    </row>
    <row r="197" spans="1:22" x14ac:dyDescent="0.3">
      <c r="A197" s="3" t="s">
        <v>142</v>
      </c>
      <c r="B197" s="3">
        <v>3</v>
      </c>
      <c r="C197" s="4" t="s">
        <v>186</v>
      </c>
      <c r="D197" s="3" t="s">
        <v>240</v>
      </c>
      <c r="E197" s="3" t="s">
        <v>121</v>
      </c>
      <c r="F197" s="4" t="s">
        <v>241</v>
      </c>
      <c r="G197" s="3" t="s">
        <v>30</v>
      </c>
      <c r="H197" s="5">
        <v>116.34310000000001</v>
      </c>
      <c r="I197" s="5">
        <v>0.32219999999999999</v>
      </c>
      <c r="J197" s="5">
        <v>0.30809999999999998</v>
      </c>
      <c r="K197" s="6">
        <v>0.95623836126629425</v>
      </c>
      <c r="L197" s="5">
        <v>4.16</v>
      </c>
      <c r="M197" s="19">
        <f>H197*INDEX('Pliegos Tarifarios (Quilicura)'!$B:$B,MATCH($B197,'Pliegos Tarifarios (Quilicura)'!$A:$A,0))</f>
        <v>13825.9813178</v>
      </c>
      <c r="N197" s="19">
        <f>I197*INDEX('Pliegos Tarifarios (Quilicura)'!$C:$C,MATCH($B197,'Pliegos Tarifarios (Quilicura)'!$A:$A,0))</f>
        <v>1125.2090717999999</v>
      </c>
      <c r="O197" s="19">
        <f>J197*INDEX('Pliegos Tarifarios (Quilicura)'!$D:$D,MATCH($B197,'Pliegos Tarifarios (Quilicura)'!$A:$A,0))</f>
        <v>4372.8063014999998</v>
      </c>
      <c r="P197" s="19">
        <f>H197*INDEX('Pliegos Tarifarios (Quilicura)'!$E:$E,MATCH($B197,'Pliegos Tarifarios (Quilicura)'!$A:$A,0))</f>
        <v>1504.5489692000001</v>
      </c>
      <c r="Q197" s="19" cm="1">
        <f t="array" ref="Q197">H197*_xlfn.IFS(H197&lt;=350,INDEX('Pliegos Tarifarios (Quilicura)'!$F:$F,MATCH($B197,'Pliegos Tarifarios (Quilicura)'!$A:$A,0)),H197&lt;=500,INDEX('Pliegos Tarifarios (Quilicura)'!$G:$G,MATCH($B197,'Pliegos Tarifarios (Quilicura)'!$A:$A,0)),H197&lt;=1000,INDEX('Pliegos Tarifarios (Quilicura)'!$H:$H,MATCH($B197,'Pliegos Tarifarios (Quilicura)'!$A:$A,0)),H197&lt;=5000,INDEX('Pliegos Tarifarios (Quilicura)'!$I:$I,MATCH($B197,'Pliegos Tarifarios (Quilicura)'!$A:$A,0)),H197&gt;5000,INDEX('Pliegos Tarifarios (Quilicura)'!$J:$J,MATCH($B197,'Pliegos Tarifarios (Quilicura)'!$A:$A,0)))/1.19</f>
        <v>76.649571764705897</v>
      </c>
      <c r="R197" s="19">
        <f>INDEX('Pliegos Tarifarios (Quilicura)'!$K:$K,MATCH($B197,'Pliegos Tarifarios (Quilicura)'!$A:$A,0))</f>
        <v>716.899</v>
      </c>
      <c r="S197" s="21">
        <f t="shared" si="9"/>
        <v>21622.094232064708</v>
      </c>
      <c r="T197" s="21">
        <f t="shared" si="10"/>
        <v>4108.1979040922943</v>
      </c>
      <c r="U197" s="19">
        <v>0</v>
      </c>
      <c r="V197" s="21">
        <f t="shared" si="11"/>
        <v>25730.292136157004</v>
      </c>
    </row>
    <row r="198" spans="1:22" x14ac:dyDescent="0.3">
      <c r="A198" s="3" t="s">
        <v>142</v>
      </c>
      <c r="B198" s="3">
        <v>3</v>
      </c>
      <c r="C198" s="4" t="s">
        <v>186</v>
      </c>
      <c r="D198" s="3" t="s">
        <v>242</v>
      </c>
      <c r="E198" s="3" t="s">
        <v>121</v>
      </c>
      <c r="F198" s="4" t="s">
        <v>243</v>
      </c>
      <c r="G198" s="3" t="s">
        <v>30</v>
      </c>
      <c r="H198" s="5">
        <v>116.15949999999999</v>
      </c>
      <c r="I198" s="5">
        <v>0.31680000000000003</v>
      </c>
      <c r="J198" s="5">
        <v>0.30599999999999999</v>
      </c>
      <c r="K198" s="6">
        <v>0.96590909090909083</v>
      </c>
      <c r="L198" s="5">
        <v>4.1500000000000004</v>
      </c>
      <c r="M198" s="19">
        <f>H198*INDEX('Pliegos Tarifarios (Quilicura)'!$B:$B,MATCH($B198,'Pliegos Tarifarios (Quilicura)'!$A:$A,0))</f>
        <v>13804.162660999998</v>
      </c>
      <c r="N198" s="19">
        <f>I198*INDEX('Pliegos Tarifarios (Quilicura)'!$C:$C,MATCH($B198,'Pliegos Tarifarios (Quilicura)'!$A:$A,0))</f>
        <v>1106.3508191999999</v>
      </c>
      <c r="O198" s="19">
        <f>J198*INDEX('Pliegos Tarifarios (Quilicura)'!$D:$D,MATCH($B198,'Pliegos Tarifarios (Quilicura)'!$A:$A,0))</f>
        <v>4343.0013900000004</v>
      </c>
      <c r="P198" s="19">
        <f>H198*INDEX('Pliegos Tarifarios (Quilicura)'!$E:$E,MATCH($B198,'Pliegos Tarifarios (Quilicura)'!$A:$A,0))</f>
        <v>1502.1746539999999</v>
      </c>
      <c r="Q198" s="19" cm="1">
        <f t="array" ref="Q198">H198*_xlfn.IFS(H198&lt;=350,INDEX('Pliegos Tarifarios (Quilicura)'!$F:$F,MATCH($B198,'Pliegos Tarifarios (Quilicura)'!$A:$A,0)),H198&lt;=500,INDEX('Pliegos Tarifarios (Quilicura)'!$G:$G,MATCH($B198,'Pliegos Tarifarios (Quilicura)'!$A:$A,0)),H198&lt;=1000,INDEX('Pliegos Tarifarios (Quilicura)'!$H:$H,MATCH($B198,'Pliegos Tarifarios (Quilicura)'!$A:$A,0)),H198&lt;=5000,INDEX('Pliegos Tarifarios (Quilicura)'!$I:$I,MATCH($B198,'Pliegos Tarifarios (Quilicura)'!$A:$A,0)),H198&gt;5000,INDEX('Pliegos Tarifarios (Quilicura)'!$J:$J,MATCH($B198,'Pliegos Tarifarios (Quilicura)'!$A:$A,0)))/1.19</f>
        <v>76.528611764705886</v>
      </c>
      <c r="R198" s="19">
        <f>INDEX('Pliegos Tarifarios (Quilicura)'!$K:$K,MATCH($B198,'Pliegos Tarifarios (Quilicura)'!$A:$A,0))</f>
        <v>716.899</v>
      </c>
      <c r="S198" s="21">
        <f t="shared" si="9"/>
        <v>21549.117135964705</v>
      </c>
      <c r="T198" s="21">
        <f t="shared" si="10"/>
        <v>4094.3322558332939</v>
      </c>
      <c r="U198" s="19">
        <v>0</v>
      </c>
      <c r="V198" s="21">
        <f t="shared" si="11"/>
        <v>25643.449391798</v>
      </c>
    </row>
    <row r="199" spans="1:22" x14ac:dyDescent="0.3">
      <c r="A199" s="3" t="s">
        <v>142</v>
      </c>
      <c r="B199" s="3">
        <v>3</v>
      </c>
      <c r="C199" s="4" t="s">
        <v>186</v>
      </c>
      <c r="D199" s="3" t="s">
        <v>244</v>
      </c>
      <c r="E199" s="3" t="s">
        <v>121</v>
      </c>
      <c r="F199" s="4" t="s">
        <v>245</v>
      </c>
      <c r="G199" s="3" t="s">
        <v>30</v>
      </c>
      <c r="H199" s="5">
        <v>116.4306</v>
      </c>
      <c r="I199" s="5">
        <v>0.31530000000000002</v>
      </c>
      <c r="J199" s="5">
        <v>0.30430000000000001</v>
      </c>
      <c r="K199" s="6">
        <v>0.9651125911830003</v>
      </c>
      <c r="L199" s="5">
        <v>4.16</v>
      </c>
      <c r="M199" s="19">
        <f>H199*INDEX('Pliegos Tarifarios (Quilicura)'!$B:$B,MATCH($B199,'Pliegos Tarifarios (Quilicura)'!$A:$A,0))</f>
        <v>13836.379642799999</v>
      </c>
      <c r="N199" s="19">
        <f>I199*INDEX('Pliegos Tarifarios (Quilicura)'!$C:$C,MATCH($B199,'Pliegos Tarifarios (Quilicura)'!$A:$A,0))</f>
        <v>1101.1124156999999</v>
      </c>
      <c r="O199" s="19">
        <f>J199*INDEX('Pliegos Tarifarios (Quilicura)'!$D:$D,MATCH($B199,'Pliegos Tarifarios (Quilicura)'!$A:$A,0))</f>
        <v>4318.8736045000005</v>
      </c>
      <c r="P199" s="19">
        <f>H199*INDEX('Pliegos Tarifarios (Quilicura)'!$E:$E,MATCH($B199,'Pliegos Tarifarios (Quilicura)'!$A:$A,0))</f>
        <v>1505.6805191999999</v>
      </c>
      <c r="Q199" s="19" cm="1">
        <f t="array" ref="Q199">H199*_xlfn.IFS(H199&lt;=350,INDEX('Pliegos Tarifarios (Quilicura)'!$F:$F,MATCH($B199,'Pliegos Tarifarios (Quilicura)'!$A:$A,0)),H199&lt;=500,INDEX('Pliegos Tarifarios (Quilicura)'!$G:$G,MATCH($B199,'Pliegos Tarifarios (Quilicura)'!$A:$A,0)),H199&lt;=1000,INDEX('Pliegos Tarifarios (Quilicura)'!$H:$H,MATCH($B199,'Pliegos Tarifarios (Quilicura)'!$A:$A,0)),H199&lt;=5000,INDEX('Pliegos Tarifarios (Quilicura)'!$I:$I,MATCH($B199,'Pliegos Tarifarios (Quilicura)'!$A:$A,0)),H199&gt;5000,INDEX('Pliegos Tarifarios (Quilicura)'!$J:$J,MATCH($B199,'Pliegos Tarifarios (Quilicura)'!$A:$A,0)))/1.19</f>
        <v>76.707218823529416</v>
      </c>
      <c r="R199" s="19">
        <f>INDEX('Pliegos Tarifarios (Quilicura)'!$K:$K,MATCH($B199,'Pliegos Tarifarios (Quilicura)'!$A:$A,0))</f>
        <v>716.899</v>
      </c>
      <c r="S199" s="21">
        <f t="shared" si="9"/>
        <v>21555.652401023526</v>
      </c>
      <c r="T199" s="21">
        <f t="shared" si="10"/>
        <v>4095.5739561944702</v>
      </c>
      <c r="U199" s="19">
        <v>0</v>
      </c>
      <c r="V199" s="21">
        <f t="shared" si="11"/>
        <v>25651.226357217995</v>
      </c>
    </row>
    <row r="200" spans="1:22" x14ac:dyDescent="0.3">
      <c r="A200" s="3" t="s">
        <v>142</v>
      </c>
      <c r="B200" s="3">
        <v>3</v>
      </c>
      <c r="C200" s="4" t="s">
        <v>186</v>
      </c>
      <c r="D200" s="3" t="s">
        <v>246</v>
      </c>
      <c r="E200" s="3" t="s">
        <v>121</v>
      </c>
      <c r="F200" s="4" t="s">
        <v>247</v>
      </c>
      <c r="G200" s="3" t="s">
        <v>30</v>
      </c>
      <c r="H200" s="5">
        <v>116.0561</v>
      </c>
      <c r="I200" s="5">
        <v>0.31940000000000002</v>
      </c>
      <c r="J200" s="5">
        <v>0.30819999999999997</v>
      </c>
      <c r="K200" s="6">
        <v>0.96493425172197855</v>
      </c>
      <c r="L200" s="5">
        <v>4.1399999999999997</v>
      </c>
      <c r="M200" s="19">
        <f>H200*INDEX('Pliegos Tarifarios (Quilicura)'!$B:$B,MATCH($B200,'Pliegos Tarifarios (Quilicura)'!$A:$A,0))</f>
        <v>13791.874811799998</v>
      </c>
      <c r="N200" s="19">
        <f>I200*INDEX('Pliegos Tarifarios (Quilicura)'!$C:$C,MATCH($B200,'Pliegos Tarifarios (Quilicura)'!$A:$A,0))</f>
        <v>1115.4307186000001</v>
      </c>
      <c r="O200" s="19">
        <f>J200*INDEX('Pliegos Tarifarios (Quilicura)'!$D:$D,MATCH($B200,'Pliegos Tarifarios (Quilicura)'!$A:$A,0))</f>
        <v>4374.2255829999995</v>
      </c>
      <c r="P200" s="19">
        <f>H200*INDEX('Pliegos Tarifarios (Quilicura)'!$E:$E,MATCH($B200,'Pliegos Tarifarios (Quilicura)'!$A:$A,0))</f>
        <v>1500.8374851999999</v>
      </c>
      <c r="Q200" s="19" cm="1">
        <f t="array" ref="Q200">H200*_xlfn.IFS(H200&lt;=350,INDEX('Pliegos Tarifarios (Quilicura)'!$F:$F,MATCH($B200,'Pliegos Tarifarios (Quilicura)'!$A:$A,0)),H200&lt;=500,INDEX('Pliegos Tarifarios (Quilicura)'!$G:$G,MATCH($B200,'Pliegos Tarifarios (Quilicura)'!$A:$A,0)),H200&lt;=1000,INDEX('Pliegos Tarifarios (Quilicura)'!$H:$H,MATCH($B200,'Pliegos Tarifarios (Quilicura)'!$A:$A,0)),H200&lt;=5000,INDEX('Pliegos Tarifarios (Quilicura)'!$I:$I,MATCH($B200,'Pliegos Tarifarios (Quilicura)'!$A:$A,0)),H200&gt;5000,INDEX('Pliegos Tarifarios (Quilicura)'!$J:$J,MATCH($B200,'Pliegos Tarifarios (Quilicura)'!$A:$A,0)))/1.19</f>
        <v>76.460489411764712</v>
      </c>
      <c r="R200" s="19">
        <f>INDEX('Pliegos Tarifarios (Quilicura)'!$K:$K,MATCH($B200,'Pliegos Tarifarios (Quilicura)'!$A:$A,0))</f>
        <v>716.899</v>
      </c>
      <c r="S200" s="21">
        <f t="shared" si="9"/>
        <v>21575.728088011769</v>
      </c>
      <c r="T200" s="21">
        <f t="shared" si="10"/>
        <v>4099.3883367222361</v>
      </c>
      <c r="U200" s="19">
        <v>0</v>
      </c>
      <c r="V200" s="21">
        <f t="shared" si="11"/>
        <v>25675.116424734006</v>
      </c>
    </row>
    <row r="201" spans="1:22" x14ac:dyDescent="0.3">
      <c r="A201" s="3" t="s">
        <v>142</v>
      </c>
      <c r="B201" s="3">
        <v>3</v>
      </c>
      <c r="C201" s="4" t="s">
        <v>186</v>
      </c>
      <c r="D201" s="3" t="s">
        <v>248</v>
      </c>
      <c r="E201" s="3" t="s">
        <v>121</v>
      </c>
      <c r="F201" s="4" t="s">
        <v>249</v>
      </c>
      <c r="G201" s="3" t="s">
        <v>30</v>
      </c>
      <c r="H201" s="5">
        <v>116.2854</v>
      </c>
      <c r="I201" s="5">
        <v>0.3206</v>
      </c>
      <c r="J201" s="5">
        <v>0.30499999999999999</v>
      </c>
      <c r="K201" s="6">
        <v>0.95134123518402991</v>
      </c>
      <c r="L201" s="5">
        <v>4.1500000000000004</v>
      </c>
      <c r="M201" s="19">
        <f>H201*INDEX('Pliegos Tarifarios (Quilicura)'!$B:$B,MATCH($B201,'Pliegos Tarifarios (Quilicura)'!$A:$A,0))</f>
        <v>13819.124365199999</v>
      </c>
      <c r="N201" s="19">
        <f>I201*INDEX('Pliegos Tarifarios (Quilicura)'!$C:$C,MATCH($B201,'Pliegos Tarifarios (Quilicura)'!$A:$A,0))</f>
        <v>1119.6214413999999</v>
      </c>
      <c r="O201" s="19">
        <f>J201*INDEX('Pliegos Tarifarios (Quilicura)'!$D:$D,MATCH($B201,'Pliegos Tarifarios (Quilicura)'!$A:$A,0))</f>
        <v>4328.808575</v>
      </c>
      <c r="P201" s="19">
        <f>H201*INDEX('Pliegos Tarifarios (Quilicura)'!$E:$E,MATCH($B201,'Pliegos Tarifarios (Quilicura)'!$A:$A,0))</f>
        <v>1503.8027927999999</v>
      </c>
      <c r="Q201" s="19" cm="1">
        <f t="array" ref="Q201">H201*_xlfn.IFS(H201&lt;=350,INDEX('Pliegos Tarifarios (Quilicura)'!$F:$F,MATCH($B201,'Pliegos Tarifarios (Quilicura)'!$A:$A,0)),H201&lt;=500,INDEX('Pliegos Tarifarios (Quilicura)'!$G:$G,MATCH($B201,'Pliegos Tarifarios (Quilicura)'!$A:$A,0)),H201&lt;=1000,INDEX('Pliegos Tarifarios (Quilicura)'!$H:$H,MATCH($B201,'Pliegos Tarifarios (Quilicura)'!$A:$A,0)),H201&lt;=5000,INDEX('Pliegos Tarifarios (Quilicura)'!$I:$I,MATCH($B201,'Pliegos Tarifarios (Quilicura)'!$A:$A,0)),H201&gt;5000,INDEX('Pliegos Tarifarios (Quilicura)'!$J:$J,MATCH($B201,'Pliegos Tarifarios (Quilicura)'!$A:$A,0)))/1.19</f>
        <v>76.611557647058831</v>
      </c>
      <c r="R201" s="19">
        <f>INDEX('Pliegos Tarifarios (Quilicura)'!$K:$K,MATCH($B201,'Pliegos Tarifarios (Quilicura)'!$A:$A,0))</f>
        <v>716.899</v>
      </c>
      <c r="S201" s="21">
        <f t="shared" si="9"/>
        <v>21564.86773204706</v>
      </c>
      <c r="T201" s="21">
        <f t="shared" si="10"/>
        <v>4097.3248690889413</v>
      </c>
      <c r="U201" s="19">
        <v>0</v>
      </c>
      <c r="V201" s="21">
        <f t="shared" si="11"/>
        <v>25662.192601136001</v>
      </c>
    </row>
    <row r="202" spans="1:22" x14ac:dyDescent="0.3">
      <c r="A202" s="3" t="s">
        <v>142</v>
      </c>
      <c r="B202" s="3">
        <v>3</v>
      </c>
      <c r="C202" s="4" t="s">
        <v>186</v>
      </c>
      <c r="D202" s="3" t="s">
        <v>250</v>
      </c>
      <c r="E202" s="3" t="s">
        <v>121</v>
      </c>
      <c r="F202" s="4" t="s">
        <v>251</v>
      </c>
      <c r="G202" s="3" t="s">
        <v>30</v>
      </c>
      <c r="H202" s="5">
        <v>116.3398</v>
      </c>
      <c r="I202" s="5">
        <v>0.32179999999999997</v>
      </c>
      <c r="J202" s="5">
        <v>0.32179999999999997</v>
      </c>
      <c r="K202" s="6">
        <v>1</v>
      </c>
      <c r="L202" s="5">
        <v>4.1500000000000004</v>
      </c>
      <c r="M202" s="19">
        <f>H202*INDEX('Pliegos Tarifarios (Quilicura)'!$B:$B,MATCH($B202,'Pliegos Tarifarios (Quilicura)'!$A:$A,0))</f>
        <v>13825.589152399998</v>
      </c>
      <c r="N202" s="19">
        <f>I202*INDEX('Pliegos Tarifarios (Quilicura)'!$C:$C,MATCH($B202,'Pliegos Tarifarios (Quilicura)'!$A:$A,0))</f>
        <v>1123.8121641999999</v>
      </c>
      <c r="O202" s="19">
        <f>J202*INDEX('Pliegos Tarifarios (Quilicura)'!$D:$D,MATCH($B202,'Pliegos Tarifarios (Quilicura)'!$A:$A,0))</f>
        <v>4567.247867</v>
      </c>
      <c r="P202" s="19">
        <f>H202*INDEX('Pliegos Tarifarios (Quilicura)'!$E:$E,MATCH($B202,'Pliegos Tarifarios (Quilicura)'!$A:$A,0))</f>
        <v>1504.5062935999999</v>
      </c>
      <c r="Q202" s="19" cm="1">
        <f t="array" ref="Q202">H202*_xlfn.IFS(H202&lt;=350,INDEX('Pliegos Tarifarios (Quilicura)'!$F:$F,MATCH($B202,'Pliegos Tarifarios (Quilicura)'!$A:$A,0)),H202&lt;=500,INDEX('Pliegos Tarifarios (Quilicura)'!$G:$G,MATCH($B202,'Pliegos Tarifarios (Quilicura)'!$A:$A,0)),H202&lt;=1000,INDEX('Pliegos Tarifarios (Quilicura)'!$H:$H,MATCH($B202,'Pliegos Tarifarios (Quilicura)'!$A:$A,0)),H202&lt;=5000,INDEX('Pliegos Tarifarios (Quilicura)'!$I:$I,MATCH($B202,'Pliegos Tarifarios (Quilicura)'!$A:$A,0)),H202&gt;5000,INDEX('Pliegos Tarifarios (Quilicura)'!$J:$J,MATCH($B202,'Pliegos Tarifarios (Quilicura)'!$A:$A,0)))/1.19</f>
        <v>76.647397647058824</v>
      </c>
      <c r="R202" s="19">
        <f>INDEX('Pliegos Tarifarios (Quilicura)'!$K:$K,MATCH($B202,'Pliegos Tarifarios (Quilicura)'!$A:$A,0))</f>
        <v>716.899</v>
      </c>
      <c r="S202" s="21">
        <f t="shared" si="9"/>
        <v>21814.701874847058</v>
      </c>
      <c r="T202" s="21">
        <f t="shared" si="10"/>
        <v>4144.793356220941</v>
      </c>
      <c r="U202" s="19">
        <v>0</v>
      </c>
      <c r="V202" s="21">
        <f t="shared" si="11"/>
        <v>25959.495231067998</v>
      </c>
    </row>
    <row r="203" spans="1:22" x14ac:dyDescent="0.3">
      <c r="A203" s="3" t="s">
        <v>142</v>
      </c>
      <c r="B203" s="3">
        <v>3</v>
      </c>
      <c r="C203" s="4" t="s">
        <v>186</v>
      </c>
      <c r="D203" s="3" t="s">
        <v>252</v>
      </c>
      <c r="E203" s="3" t="s">
        <v>121</v>
      </c>
      <c r="F203" s="4" t="s">
        <v>253</v>
      </c>
      <c r="G203" s="3" t="s">
        <v>30</v>
      </c>
      <c r="H203" s="5">
        <v>116.3597</v>
      </c>
      <c r="I203" s="5">
        <v>0.31230000000000002</v>
      </c>
      <c r="J203" s="5">
        <v>0.31230000000000002</v>
      </c>
      <c r="K203" s="6">
        <v>1</v>
      </c>
      <c r="L203" s="5">
        <v>4.16</v>
      </c>
      <c r="M203" s="19">
        <f>H203*INDEX('Pliegos Tarifarios (Quilicura)'!$B:$B,MATCH($B203,'Pliegos Tarifarios (Quilicura)'!$A:$A,0))</f>
        <v>13827.954028599999</v>
      </c>
      <c r="N203" s="19">
        <f>I203*INDEX('Pliegos Tarifarios (Quilicura)'!$C:$C,MATCH($B203,'Pliegos Tarifarios (Quilicura)'!$A:$A,0))</f>
        <v>1090.6356086999999</v>
      </c>
      <c r="O203" s="19">
        <f>J203*INDEX('Pliegos Tarifarios (Quilicura)'!$D:$D,MATCH($B203,'Pliegos Tarifarios (Quilicura)'!$A:$A,0))</f>
        <v>4432.4161245000005</v>
      </c>
      <c r="P203" s="19">
        <f>H203*INDEX('Pliegos Tarifarios (Quilicura)'!$E:$E,MATCH($B203,'Pliegos Tarifarios (Quilicura)'!$A:$A,0))</f>
        <v>1504.7636404</v>
      </c>
      <c r="Q203" s="19" cm="1">
        <f t="array" ref="Q203">H203*_xlfn.IFS(H203&lt;=350,INDEX('Pliegos Tarifarios (Quilicura)'!$F:$F,MATCH($B203,'Pliegos Tarifarios (Quilicura)'!$A:$A,0)),H203&lt;=500,INDEX('Pliegos Tarifarios (Quilicura)'!$G:$G,MATCH($B203,'Pliegos Tarifarios (Quilicura)'!$A:$A,0)),H203&lt;=1000,INDEX('Pliegos Tarifarios (Quilicura)'!$H:$H,MATCH($B203,'Pliegos Tarifarios (Quilicura)'!$A:$A,0)),H203&lt;=5000,INDEX('Pliegos Tarifarios (Quilicura)'!$I:$I,MATCH($B203,'Pliegos Tarifarios (Quilicura)'!$A:$A,0)),H203&gt;5000,INDEX('Pliegos Tarifarios (Quilicura)'!$J:$J,MATCH($B203,'Pliegos Tarifarios (Quilicura)'!$A:$A,0)))/1.19</f>
        <v>76.660508235294131</v>
      </c>
      <c r="R203" s="19">
        <f>INDEX('Pliegos Tarifarios (Quilicura)'!$K:$K,MATCH($B203,'Pliegos Tarifarios (Quilicura)'!$A:$A,0))</f>
        <v>716.899</v>
      </c>
      <c r="S203" s="21">
        <f t="shared" ref="S203:S266" si="12">SUM(M203:R203)</f>
        <v>21649.328910435295</v>
      </c>
      <c r="T203" s="21">
        <f t="shared" ref="T203:T266" si="13">S203*0.19</f>
        <v>4113.3724929827058</v>
      </c>
      <c r="U203" s="19">
        <v>0</v>
      </c>
      <c r="V203" s="21">
        <f t="shared" ref="V203:V266" si="14">SUM(S203:T203)</f>
        <v>25762.701403418003</v>
      </c>
    </row>
    <row r="204" spans="1:22" x14ac:dyDescent="0.3">
      <c r="A204" s="3" t="s">
        <v>142</v>
      </c>
      <c r="B204" s="3">
        <v>3</v>
      </c>
      <c r="C204" s="4" t="s">
        <v>186</v>
      </c>
      <c r="D204" s="3" t="s">
        <v>254</v>
      </c>
      <c r="E204" s="3" t="s">
        <v>121</v>
      </c>
      <c r="F204" s="4" t="s">
        <v>255</v>
      </c>
      <c r="G204" s="3" t="s">
        <v>30</v>
      </c>
      <c r="H204" s="5">
        <v>116.27849999999999</v>
      </c>
      <c r="I204" s="5">
        <v>0.31609999999999999</v>
      </c>
      <c r="J204" s="5">
        <v>0.30620000000000003</v>
      </c>
      <c r="K204" s="6">
        <v>0.96868079721607092</v>
      </c>
      <c r="L204" s="5">
        <v>4.1500000000000004</v>
      </c>
      <c r="M204" s="19">
        <f>H204*INDEX('Pliegos Tarifarios (Quilicura)'!$B:$B,MATCH($B204,'Pliegos Tarifarios (Quilicura)'!$A:$A,0))</f>
        <v>13818.304382999999</v>
      </c>
      <c r="N204" s="19">
        <f>I204*INDEX('Pliegos Tarifarios (Quilicura)'!$C:$C,MATCH($B204,'Pliegos Tarifarios (Quilicura)'!$A:$A,0))</f>
        <v>1103.9062308999999</v>
      </c>
      <c r="O204" s="19">
        <f>J204*INDEX('Pliegos Tarifarios (Quilicura)'!$D:$D,MATCH($B204,'Pliegos Tarifarios (Quilicura)'!$A:$A,0))</f>
        <v>4345.8399530000006</v>
      </c>
      <c r="P204" s="19">
        <f>H204*INDEX('Pliegos Tarifarios (Quilicura)'!$E:$E,MATCH($B204,'Pliegos Tarifarios (Quilicura)'!$A:$A,0))</f>
        <v>1503.7135619999999</v>
      </c>
      <c r="Q204" s="19" cm="1">
        <f t="array" ref="Q204">H204*_xlfn.IFS(H204&lt;=350,INDEX('Pliegos Tarifarios (Quilicura)'!$F:$F,MATCH($B204,'Pliegos Tarifarios (Quilicura)'!$A:$A,0)),H204&lt;=500,INDEX('Pliegos Tarifarios (Quilicura)'!$G:$G,MATCH($B204,'Pliegos Tarifarios (Quilicura)'!$A:$A,0)),H204&lt;=1000,INDEX('Pliegos Tarifarios (Quilicura)'!$H:$H,MATCH($B204,'Pliegos Tarifarios (Quilicura)'!$A:$A,0)),H204&lt;=5000,INDEX('Pliegos Tarifarios (Quilicura)'!$I:$I,MATCH($B204,'Pliegos Tarifarios (Quilicura)'!$A:$A,0)),H204&gt;5000,INDEX('Pliegos Tarifarios (Quilicura)'!$J:$J,MATCH($B204,'Pliegos Tarifarios (Quilicura)'!$A:$A,0)))/1.19</f>
        <v>76.607011764705888</v>
      </c>
      <c r="R204" s="19">
        <f>INDEX('Pliegos Tarifarios (Quilicura)'!$K:$K,MATCH($B204,'Pliegos Tarifarios (Quilicura)'!$A:$A,0))</f>
        <v>716.899</v>
      </c>
      <c r="S204" s="21">
        <f t="shared" si="12"/>
        <v>21565.270140664707</v>
      </c>
      <c r="T204" s="21">
        <f t="shared" si="13"/>
        <v>4097.4013267262944</v>
      </c>
      <c r="U204" s="19">
        <v>0</v>
      </c>
      <c r="V204" s="21">
        <f t="shared" si="14"/>
        <v>25662.671467391003</v>
      </c>
    </row>
    <row r="205" spans="1:22" x14ac:dyDescent="0.3">
      <c r="A205" s="3" t="s">
        <v>142</v>
      </c>
      <c r="B205" s="3">
        <v>3</v>
      </c>
      <c r="C205" s="4" t="s">
        <v>186</v>
      </c>
      <c r="D205" s="3" t="s">
        <v>256</v>
      </c>
      <c r="E205" s="3" t="s">
        <v>121</v>
      </c>
      <c r="F205" s="4" t="s">
        <v>257</v>
      </c>
      <c r="G205" s="3" t="s">
        <v>30</v>
      </c>
      <c r="H205" s="5">
        <v>116.2345</v>
      </c>
      <c r="I205" s="5">
        <v>0.30769999999999997</v>
      </c>
      <c r="J205" s="5">
        <v>0.30609999999999998</v>
      </c>
      <c r="K205" s="6">
        <v>0.99480012999675016</v>
      </c>
      <c r="L205" s="5">
        <v>4.1500000000000004</v>
      </c>
      <c r="M205" s="19">
        <f>H205*INDEX('Pliegos Tarifarios (Quilicura)'!$B:$B,MATCH($B205,'Pliegos Tarifarios (Quilicura)'!$A:$A,0))</f>
        <v>13813.075510999999</v>
      </c>
      <c r="N205" s="19">
        <f>I205*INDEX('Pliegos Tarifarios (Quilicura)'!$C:$C,MATCH($B205,'Pliegos Tarifarios (Quilicura)'!$A:$A,0))</f>
        <v>1074.5711712999998</v>
      </c>
      <c r="O205" s="19">
        <f>J205*INDEX('Pliegos Tarifarios (Quilicura)'!$D:$D,MATCH($B205,'Pliegos Tarifarios (Quilicura)'!$A:$A,0))</f>
        <v>4344.4206715</v>
      </c>
      <c r="P205" s="19">
        <f>H205*INDEX('Pliegos Tarifarios (Quilicura)'!$E:$E,MATCH($B205,'Pliegos Tarifarios (Quilicura)'!$A:$A,0))</f>
        <v>1503.144554</v>
      </c>
      <c r="Q205" s="19" cm="1">
        <f t="array" ref="Q205">H205*_xlfn.IFS(H205&lt;=350,INDEX('Pliegos Tarifarios (Quilicura)'!$F:$F,MATCH($B205,'Pliegos Tarifarios (Quilicura)'!$A:$A,0)),H205&lt;=500,INDEX('Pliegos Tarifarios (Quilicura)'!$G:$G,MATCH($B205,'Pliegos Tarifarios (Quilicura)'!$A:$A,0)),H205&lt;=1000,INDEX('Pliegos Tarifarios (Quilicura)'!$H:$H,MATCH($B205,'Pliegos Tarifarios (Quilicura)'!$A:$A,0)),H205&lt;=5000,INDEX('Pliegos Tarifarios (Quilicura)'!$I:$I,MATCH($B205,'Pliegos Tarifarios (Quilicura)'!$A:$A,0)),H205&gt;5000,INDEX('Pliegos Tarifarios (Quilicura)'!$J:$J,MATCH($B205,'Pliegos Tarifarios (Quilicura)'!$A:$A,0)))/1.19</f>
        <v>76.578023529411766</v>
      </c>
      <c r="R205" s="19">
        <f>INDEX('Pliegos Tarifarios (Quilicura)'!$K:$K,MATCH($B205,'Pliegos Tarifarios (Quilicura)'!$A:$A,0))</f>
        <v>716.899</v>
      </c>
      <c r="S205" s="21">
        <f t="shared" si="12"/>
        <v>21528.688931329409</v>
      </c>
      <c r="T205" s="21">
        <f t="shared" si="13"/>
        <v>4090.4508969525878</v>
      </c>
      <c r="U205" s="19">
        <v>0</v>
      </c>
      <c r="V205" s="21">
        <f t="shared" si="14"/>
        <v>25619.139828281997</v>
      </c>
    </row>
    <row r="206" spans="1:22" x14ac:dyDescent="0.3">
      <c r="A206" s="3" t="s">
        <v>142</v>
      </c>
      <c r="B206" s="3">
        <v>3</v>
      </c>
      <c r="C206" s="4" t="s">
        <v>186</v>
      </c>
      <c r="D206" s="3" t="s">
        <v>258</v>
      </c>
      <c r="E206" s="3" t="s">
        <v>121</v>
      </c>
      <c r="F206" s="4" t="s">
        <v>259</v>
      </c>
      <c r="G206" s="3" t="s">
        <v>30</v>
      </c>
      <c r="H206" s="5">
        <v>116.5744</v>
      </c>
      <c r="I206" s="5">
        <v>0.30780000000000002</v>
      </c>
      <c r="J206" s="5">
        <v>0.30709999999999998</v>
      </c>
      <c r="K206" s="6">
        <v>0.99772579597140987</v>
      </c>
      <c r="L206" s="5">
        <v>4.16</v>
      </c>
      <c r="M206" s="19">
        <f>H206*INDEX('Pliegos Tarifarios (Quilicura)'!$B:$B,MATCH($B206,'Pliegos Tarifarios (Quilicura)'!$A:$A,0))</f>
        <v>13853.468547199998</v>
      </c>
      <c r="N206" s="19">
        <f>I206*INDEX('Pliegos Tarifarios (Quilicura)'!$C:$C,MATCH($B206,'Pliegos Tarifarios (Quilicura)'!$A:$A,0))</f>
        <v>1074.9203981999999</v>
      </c>
      <c r="O206" s="19">
        <f>J206*INDEX('Pliegos Tarifarios (Quilicura)'!$D:$D,MATCH($B206,'Pliegos Tarifarios (Quilicura)'!$A:$A,0))</f>
        <v>4358.6134865000004</v>
      </c>
      <c r="P206" s="19">
        <f>H206*INDEX('Pliegos Tarifarios (Quilicura)'!$E:$E,MATCH($B206,'Pliegos Tarifarios (Quilicura)'!$A:$A,0))</f>
        <v>1507.5401408</v>
      </c>
      <c r="Q206" s="19" cm="1">
        <f t="array" ref="Q206">H206*_xlfn.IFS(H206&lt;=350,INDEX('Pliegos Tarifarios (Quilicura)'!$F:$F,MATCH($B206,'Pliegos Tarifarios (Quilicura)'!$A:$A,0)),H206&lt;=500,INDEX('Pliegos Tarifarios (Quilicura)'!$G:$G,MATCH($B206,'Pliegos Tarifarios (Quilicura)'!$A:$A,0)),H206&lt;=1000,INDEX('Pliegos Tarifarios (Quilicura)'!$H:$H,MATCH($B206,'Pliegos Tarifarios (Quilicura)'!$A:$A,0)),H206&lt;=5000,INDEX('Pliegos Tarifarios (Quilicura)'!$I:$I,MATCH($B206,'Pliegos Tarifarios (Quilicura)'!$A:$A,0)),H206&gt;5000,INDEX('Pliegos Tarifarios (Quilicura)'!$J:$J,MATCH($B206,'Pliegos Tarifarios (Quilicura)'!$A:$A,0)))/1.19</f>
        <v>76.801957647058828</v>
      </c>
      <c r="R206" s="19">
        <f>INDEX('Pliegos Tarifarios (Quilicura)'!$K:$K,MATCH($B206,'Pliegos Tarifarios (Quilicura)'!$A:$A,0))</f>
        <v>716.899</v>
      </c>
      <c r="S206" s="21">
        <f t="shared" si="12"/>
        <v>21588.243530347059</v>
      </c>
      <c r="T206" s="21">
        <f t="shared" si="13"/>
        <v>4101.766270765941</v>
      </c>
      <c r="U206" s="19">
        <v>0</v>
      </c>
      <c r="V206" s="21">
        <f t="shared" si="14"/>
        <v>25690.009801112999</v>
      </c>
    </row>
    <row r="207" spans="1:22" x14ac:dyDescent="0.3">
      <c r="A207" s="3" t="s">
        <v>142</v>
      </c>
      <c r="B207" s="3">
        <v>3</v>
      </c>
      <c r="C207" s="4" t="s">
        <v>186</v>
      </c>
      <c r="D207" s="3" t="s">
        <v>260</v>
      </c>
      <c r="E207" s="3" t="s">
        <v>121</v>
      </c>
      <c r="F207" s="4" t="s">
        <v>261</v>
      </c>
      <c r="G207" s="3" t="s">
        <v>16</v>
      </c>
      <c r="H207" s="5">
        <v>955.99199999999996</v>
      </c>
      <c r="I207" s="5">
        <v>2.5333000000000001</v>
      </c>
      <c r="J207" s="5">
        <v>2.5272000000000001</v>
      </c>
      <c r="K207" s="6">
        <v>0.99759207357991553</v>
      </c>
      <c r="L207" s="5">
        <v>34.14</v>
      </c>
      <c r="M207" s="19">
        <f>H207*INDEX('Pliegos Tarifarios (Quilicura)'!$B:$B,MATCH($B207,'Pliegos Tarifarios (Quilicura)'!$A:$A,0))</f>
        <v>113608.17729599999</v>
      </c>
      <c r="N207" s="19">
        <f>I207*INDEX('Pliegos Tarifarios (Quilicura)'!$C:$C,MATCH($B207,'Pliegos Tarifarios (Quilicura)'!$A:$A,0))</f>
        <v>8846.9650576999993</v>
      </c>
      <c r="O207" s="19">
        <f>J207*INDEX('Pliegos Tarifarios (Quilicura)'!$D:$D,MATCH($B207,'Pliegos Tarifarios (Quilicura)'!$A:$A,0))</f>
        <v>35868.082068000003</v>
      </c>
      <c r="P207" s="19">
        <f>H207*INDEX('Pliegos Tarifarios (Quilicura)'!$E:$E,MATCH($B207,'Pliegos Tarifarios (Quilicura)'!$A:$A,0))</f>
        <v>12362.888543999999</v>
      </c>
      <c r="Q207" s="19" cm="1">
        <f t="array" ref="Q207">H207*_xlfn.IFS(H207&lt;=350,INDEX('Pliegos Tarifarios (Quilicura)'!$F:$F,MATCH($B207,'Pliegos Tarifarios (Quilicura)'!$A:$A,0)),H207&lt;=500,INDEX('Pliegos Tarifarios (Quilicura)'!$G:$G,MATCH($B207,'Pliegos Tarifarios (Quilicura)'!$A:$A,0)),H207&lt;=1000,INDEX('Pliegos Tarifarios (Quilicura)'!$H:$H,MATCH($B207,'Pliegos Tarifarios (Quilicura)'!$A:$A,0)),H207&lt;=5000,INDEX('Pliegos Tarifarios (Quilicura)'!$I:$I,MATCH($B207,'Pliegos Tarifarios (Quilicura)'!$A:$A,0)),H207&gt;5000,INDEX('Pliegos Tarifarios (Quilicura)'!$J:$J,MATCH($B207,'Pliegos Tarifarios (Quilicura)'!$A:$A,0)))/1.19</f>
        <v>2242.1627495798325</v>
      </c>
      <c r="R207" s="19">
        <f>INDEX('Pliegos Tarifarios (Quilicura)'!$K:$K,MATCH($B207,'Pliegos Tarifarios (Quilicura)'!$A:$A,0))</f>
        <v>716.899</v>
      </c>
      <c r="S207" s="21">
        <f t="shared" si="12"/>
        <v>173645.17471527983</v>
      </c>
      <c r="T207" s="21">
        <f t="shared" si="13"/>
        <v>32992.583195903171</v>
      </c>
      <c r="U207" s="19">
        <v>0</v>
      </c>
      <c r="V207" s="21">
        <f t="shared" si="14"/>
        <v>206637.757911183</v>
      </c>
    </row>
    <row r="208" spans="1:22" x14ac:dyDescent="0.3">
      <c r="A208" s="3" t="s">
        <v>142</v>
      </c>
      <c r="B208" s="3">
        <v>3</v>
      </c>
      <c r="C208" s="4" t="s">
        <v>186</v>
      </c>
      <c r="D208" s="3" t="s">
        <v>262</v>
      </c>
      <c r="E208" s="3" t="s">
        <v>121</v>
      </c>
      <c r="F208" s="4" t="s">
        <v>263</v>
      </c>
      <c r="G208" s="3" t="s">
        <v>16</v>
      </c>
      <c r="H208" s="5">
        <v>957.85429999999997</v>
      </c>
      <c r="I208" s="5">
        <v>2.5611000000000002</v>
      </c>
      <c r="J208" s="5">
        <v>2.5611000000000002</v>
      </c>
      <c r="K208" s="6">
        <v>1</v>
      </c>
      <c r="L208" s="5">
        <v>34.21</v>
      </c>
      <c r="M208" s="19">
        <f>H208*INDEX('Pliegos Tarifarios (Quilicura)'!$B:$B,MATCH($B208,'Pliegos Tarifarios (Quilicura)'!$A:$A,0))</f>
        <v>113829.48930339998</v>
      </c>
      <c r="N208" s="19">
        <f>I208*INDEX('Pliegos Tarifarios (Quilicura)'!$C:$C,MATCH($B208,'Pliegos Tarifarios (Quilicura)'!$A:$A,0))</f>
        <v>8944.0501358999991</v>
      </c>
      <c r="O208" s="19">
        <f>J208*INDEX('Pliegos Tarifarios (Quilicura)'!$D:$D,MATCH($B208,'Pliegos Tarifarios (Quilicura)'!$A:$A,0))</f>
        <v>36349.218496500005</v>
      </c>
      <c r="P208" s="19">
        <f>H208*INDEX('Pliegos Tarifarios (Quilicura)'!$E:$E,MATCH($B208,'Pliegos Tarifarios (Quilicura)'!$A:$A,0))</f>
        <v>12386.971807600001</v>
      </c>
      <c r="Q208" s="19" cm="1">
        <f t="array" ref="Q208">H208*_xlfn.IFS(H208&lt;=350,INDEX('Pliegos Tarifarios (Quilicura)'!$F:$F,MATCH($B208,'Pliegos Tarifarios (Quilicura)'!$A:$A,0)),H208&lt;=500,INDEX('Pliegos Tarifarios (Quilicura)'!$G:$G,MATCH($B208,'Pliegos Tarifarios (Quilicura)'!$A:$A,0)),H208&lt;=1000,INDEX('Pliegos Tarifarios (Quilicura)'!$H:$H,MATCH($B208,'Pliegos Tarifarios (Quilicura)'!$A:$A,0)),H208&lt;=5000,INDEX('Pliegos Tarifarios (Quilicura)'!$I:$I,MATCH($B208,'Pliegos Tarifarios (Quilicura)'!$A:$A,0)),H208&gt;5000,INDEX('Pliegos Tarifarios (Quilicura)'!$J:$J,MATCH($B208,'Pliegos Tarifarios (Quilicura)'!$A:$A,0)))/1.19</f>
        <v>2246.5305473109247</v>
      </c>
      <c r="R208" s="19">
        <f>INDEX('Pliegos Tarifarios (Quilicura)'!$K:$K,MATCH($B208,'Pliegos Tarifarios (Quilicura)'!$A:$A,0))</f>
        <v>716.899</v>
      </c>
      <c r="S208" s="21">
        <f t="shared" si="12"/>
        <v>174473.15929071093</v>
      </c>
      <c r="T208" s="21">
        <f t="shared" si="13"/>
        <v>33149.900265235075</v>
      </c>
      <c r="U208" s="19">
        <v>0</v>
      </c>
      <c r="V208" s="21">
        <f t="shared" si="14"/>
        <v>207623.05955594601</v>
      </c>
    </row>
    <row r="209" spans="1:22" x14ac:dyDescent="0.3">
      <c r="A209" s="3" t="s">
        <v>142</v>
      </c>
      <c r="B209" s="3">
        <v>3</v>
      </c>
      <c r="C209" s="4" t="s">
        <v>186</v>
      </c>
      <c r="D209" s="3" t="s">
        <v>264</v>
      </c>
      <c r="E209" s="3" t="s">
        <v>121</v>
      </c>
      <c r="F209" s="4" t="s">
        <v>265</v>
      </c>
      <c r="G209" s="3" t="s">
        <v>16</v>
      </c>
      <c r="H209" s="5">
        <v>776.25450000000001</v>
      </c>
      <c r="I209" s="5">
        <v>2.1560000000000001</v>
      </c>
      <c r="J209" s="5">
        <v>2.1560000000000001</v>
      </c>
      <c r="K209" s="6">
        <v>1</v>
      </c>
      <c r="L209" s="5">
        <v>27.72</v>
      </c>
      <c r="M209" s="19">
        <f>H209*INDEX('Pliegos Tarifarios (Quilicura)'!$B:$B,MATCH($B209,'Pliegos Tarifarios (Quilicura)'!$A:$A,0))</f>
        <v>92248.532270999989</v>
      </c>
      <c r="N209" s="19">
        <f>I209*INDEX('Pliegos Tarifarios (Quilicura)'!$C:$C,MATCH($B209,'Pliegos Tarifarios (Quilicura)'!$A:$A,0))</f>
        <v>7529.331964</v>
      </c>
      <c r="O209" s="19">
        <f>J209*INDEX('Pliegos Tarifarios (Quilicura)'!$D:$D,MATCH($B209,'Pliegos Tarifarios (Quilicura)'!$A:$A,0))</f>
        <v>30599.709140000003</v>
      </c>
      <c r="P209" s="19">
        <f>H209*INDEX('Pliegos Tarifarios (Quilicura)'!$E:$E,MATCH($B209,'Pliegos Tarifarios (Quilicura)'!$A:$A,0))</f>
        <v>10038.523194000001</v>
      </c>
      <c r="Q209" s="19" cm="1">
        <f t="array" ref="Q209">H209*_xlfn.IFS(H209&lt;=350,INDEX('Pliegos Tarifarios (Quilicura)'!$F:$F,MATCH($B209,'Pliegos Tarifarios (Quilicura)'!$A:$A,0)),H209&lt;=500,INDEX('Pliegos Tarifarios (Quilicura)'!$G:$G,MATCH($B209,'Pliegos Tarifarios (Quilicura)'!$A:$A,0)),H209&lt;=1000,INDEX('Pliegos Tarifarios (Quilicura)'!$H:$H,MATCH($B209,'Pliegos Tarifarios (Quilicura)'!$A:$A,0)),H209&lt;=5000,INDEX('Pliegos Tarifarios (Quilicura)'!$I:$I,MATCH($B209,'Pliegos Tarifarios (Quilicura)'!$A:$A,0)),H209&gt;5000,INDEX('Pliegos Tarifarios (Quilicura)'!$J:$J,MATCH($B209,'Pliegos Tarifarios (Quilicura)'!$A:$A,0)))/1.19</f>
        <v>1820.6103441176476</v>
      </c>
      <c r="R209" s="19">
        <f>INDEX('Pliegos Tarifarios (Quilicura)'!$K:$K,MATCH($B209,'Pliegos Tarifarios (Quilicura)'!$A:$A,0))</f>
        <v>716.899</v>
      </c>
      <c r="S209" s="21">
        <f t="shared" si="12"/>
        <v>142953.60591311764</v>
      </c>
      <c r="T209" s="21">
        <f t="shared" si="13"/>
        <v>27161.185123492352</v>
      </c>
      <c r="U209" s="19">
        <v>0</v>
      </c>
      <c r="V209" s="21">
        <f t="shared" si="14"/>
        <v>170114.79103661</v>
      </c>
    </row>
    <row r="210" spans="1:22" x14ac:dyDescent="0.3">
      <c r="A210" s="3" t="s">
        <v>142</v>
      </c>
      <c r="B210" s="3">
        <v>3</v>
      </c>
      <c r="C210" s="4" t="s">
        <v>186</v>
      </c>
      <c r="D210" s="3" t="s">
        <v>266</v>
      </c>
      <c r="E210" s="3" t="s">
        <v>121</v>
      </c>
      <c r="F210" s="4" t="s">
        <v>267</v>
      </c>
      <c r="G210" s="3" t="s">
        <v>16</v>
      </c>
      <c r="H210" s="5">
        <v>319.82650000000001</v>
      </c>
      <c r="I210" s="5">
        <v>0.8528</v>
      </c>
      <c r="J210" s="5">
        <v>0.8528</v>
      </c>
      <c r="K210" s="6">
        <v>1</v>
      </c>
      <c r="L210" s="5">
        <v>11.42</v>
      </c>
      <c r="M210" s="19">
        <f>H210*INDEX('Pliegos Tarifarios (Quilicura)'!$B:$B,MATCH($B210,'Pliegos Tarifarios (Quilicura)'!$A:$A,0))</f>
        <v>38007.541606999999</v>
      </c>
      <c r="N210" s="19">
        <f>I210*INDEX('Pliegos Tarifarios (Quilicura)'!$C:$C,MATCH($B210,'Pliegos Tarifarios (Quilicura)'!$A:$A,0))</f>
        <v>2978.2070031999997</v>
      </c>
      <c r="O210" s="19">
        <f>J210*INDEX('Pliegos Tarifarios (Quilicura)'!$D:$D,MATCH($B210,'Pliegos Tarifarios (Quilicura)'!$A:$A,0))</f>
        <v>12103.632632000001</v>
      </c>
      <c r="P210" s="19">
        <f>H210*INDEX('Pliegos Tarifarios (Quilicura)'!$E:$E,MATCH($B210,'Pliegos Tarifarios (Quilicura)'!$A:$A,0))</f>
        <v>4135.996298</v>
      </c>
      <c r="Q210" s="19" cm="1">
        <f t="array" ref="Q210">H210*_xlfn.IFS(H210&lt;=350,INDEX('Pliegos Tarifarios (Quilicura)'!$F:$F,MATCH($B210,'Pliegos Tarifarios (Quilicura)'!$A:$A,0)),H210&lt;=500,INDEX('Pliegos Tarifarios (Quilicura)'!$G:$G,MATCH($B210,'Pliegos Tarifarios (Quilicura)'!$A:$A,0)),H210&lt;=1000,INDEX('Pliegos Tarifarios (Quilicura)'!$H:$H,MATCH($B210,'Pliegos Tarifarios (Quilicura)'!$A:$A,0)),H210&lt;=5000,INDEX('Pliegos Tarifarios (Quilicura)'!$I:$I,MATCH($B210,'Pliegos Tarifarios (Quilicura)'!$A:$A,0)),H210&gt;5000,INDEX('Pliegos Tarifarios (Quilicura)'!$J:$J,MATCH($B210,'Pliegos Tarifarios (Quilicura)'!$A:$A,0)))/1.19</f>
        <v>210.70922352941179</v>
      </c>
      <c r="R210" s="19">
        <f>INDEX('Pliegos Tarifarios (Quilicura)'!$K:$K,MATCH($B210,'Pliegos Tarifarios (Quilicura)'!$A:$A,0))</f>
        <v>716.899</v>
      </c>
      <c r="S210" s="21">
        <f t="shared" si="12"/>
        <v>58152.985763729404</v>
      </c>
      <c r="T210" s="21">
        <f t="shared" si="13"/>
        <v>11049.067295108587</v>
      </c>
      <c r="U210" s="19">
        <v>0</v>
      </c>
      <c r="V210" s="21">
        <f t="shared" si="14"/>
        <v>69202.053058837992</v>
      </c>
    </row>
    <row r="211" spans="1:22" x14ac:dyDescent="0.3">
      <c r="A211" s="3" t="s">
        <v>142</v>
      </c>
      <c r="B211" s="3">
        <v>3</v>
      </c>
      <c r="C211" s="4" t="s">
        <v>186</v>
      </c>
      <c r="D211" s="3" t="s">
        <v>268</v>
      </c>
      <c r="E211" s="3" t="s">
        <v>121</v>
      </c>
      <c r="F211" s="4" t="s">
        <v>269</v>
      </c>
      <c r="G211" s="3" t="s">
        <v>16</v>
      </c>
      <c r="H211" s="5">
        <v>241.23490000000001</v>
      </c>
      <c r="I211" s="5">
        <v>0.64729999999999999</v>
      </c>
      <c r="J211" s="5">
        <v>0.64019999999999999</v>
      </c>
      <c r="K211" s="6">
        <v>0.98903136103815847</v>
      </c>
      <c r="L211" s="5">
        <v>8.6199999999999992</v>
      </c>
      <c r="M211" s="19">
        <f>H211*INDEX('Pliegos Tarifarios (Quilicura)'!$B:$B,MATCH($B211,'Pliegos Tarifarios (Quilicura)'!$A:$A,0))</f>
        <v>28667.873046199998</v>
      </c>
      <c r="N211" s="19">
        <f>I211*INDEX('Pliegos Tarifarios (Quilicura)'!$C:$C,MATCH($B211,'Pliegos Tarifarios (Quilicura)'!$A:$A,0))</f>
        <v>2260.5457236999996</v>
      </c>
      <c r="O211" s="19">
        <f>J211*INDEX('Pliegos Tarifarios (Quilicura)'!$D:$D,MATCH($B211,'Pliegos Tarifarios (Quilicura)'!$A:$A,0))</f>
        <v>9086.2401630000004</v>
      </c>
      <c r="P211" s="19">
        <f>H211*INDEX('Pliegos Tarifarios (Quilicura)'!$E:$E,MATCH($B211,'Pliegos Tarifarios (Quilicura)'!$A:$A,0))</f>
        <v>3119.6497268000003</v>
      </c>
      <c r="Q211" s="19" cm="1">
        <f t="array" ref="Q211">H211*_xlfn.IFS(H211&lt;=350,INDEX('Pliegos Tarifarios (Quilicura)'!$F:$F,MATCH($B211,'Pliegos Tarifarios (Quilicura)'!$A:$A,0)),H211&lt;=500,INDEX('Pliegos Tarifarios (Quilicura)'!$G:$G,MATCH($B211,'Pliegos Tarifarios (Quilicura)'!$A:$A,0)),H211&lt;=1000,INDEX('Pliegos Tarifarios (Quilicura)'!$H:$H,MATCH($B211,'Pliegos Tarifarios (Quilicura)'!$A:$A,0)),H211&lt;=5000,INDEX('Pliegos Tarifarios (Quilicura)'!$I:$I,MATCH($B211,'Pliegos Tarifarios (Quilicura)'!$A:$A,0)),H211&gt;5000,INDEX('Pliegos Tarifarios (Quilicura)'!$J:$J,MATCH($B211,'Pliegos Tarifarios (Quilicura)'!$A:$A,0)))/1.19</f>
        <v>158.93122823529416</v>
      </c>
      <c r="R211" s="19">
        <f>INDEX('Pliegos Tarifarios (Quilicura)'!$K:$K,MATCH($B211,'Pliegos Tarifarios (Quilicura)'!$A:$A,0))</f>
        <v>716.899</v>
      </c>
      <c r="S211" s="21">
        <f t="shared" si="12"/>
        <v>44010.138887935289</v>
      </c>
      <c r="T211" s="21">
        <f t="shared" si="13"/>
        <v>8361.926388707705</v>
      </c>
      <c r="U211" s="19">
        <v>0</v>
      </c>
      <c r="V211" s="21">
        <f t="shared" si="14"/>
        <v>52372.065276642992</v>
      </c>
    </row>
    <row r="212" spans="1:22" x14ac:dyDescent="0.3">
      <c r="A212" s="3" t="s">
        <v>142</v>
      </c>
      <c r="B212" s="3">
        <v>3</v>
      </c>
      <c r="C212" s="4" t="s">
        <v>186</v>
      </c>
      <c r="D212" s="3" t="s">
        <v>270</v>
      </c>
      <c r="E212" s="3" t="s">
        <v>121</v>
      </c>
      <c r="F212" s="4" t="s">
        <v>271</v>
      </c>
      <c r="G212" s="3" t="s">
        <v>16</v>
      </c>
      <c r="H212" s="5">
        <v>106.0997</v>
      </c>
      <c r="I212" s="5">
        <v>0.28539999999999999</v>
      </c>
      <c r="J212" s="5">
        <v>0.27950000000000003</v>
      </c>
      <c r="K212" s="6">
        <v>0.97932725998598469</v>
      </c>
      <c r="L212" s="5">
        <v>3.79</v>
      </c>
      <c r="M212" s="19">
        <f>H212*INDEX('Pliegos Tarifarios (Quilicura)'!$B:$B,MATCH($B212,'Pliegos Tarifarios (Quilicura)'!$A:$A,0))</f>
        <v>12608.6761486</v>
      </c>
      <c r="N212" s="19">
        <f>I212*INDEX('Pliegos Tarifarios (Quilicura)'!$C:$C,MATCH($B212,'Pliegos Tarifarios (Quilicura)'!$A:$A,0))</f>
        <v>996.69357259999992</v>
      </c>
      <c r="O212" s="19">
        <f>J212*INDEX('Pliegos Tarifarios (Quilicura)'!$D:$D,MATCH($B212,'Pliegos Tarifarios (Quilicura)'!$A:$A,0))</f>
        <v>3966.8917925000005</v>
      </c>
      <c r="P212" s="19">
        <f>H212*INDEX('Pliegos Tarifarios (Quilicura)'!$E:$E,MATCH($B212,'Pliegos Tarifarios (Quilicura)'!$A:$A,0))</f>
        <v>1372.0813204000001</v>
      </c>
      <c r="Q212" s="19" cm="1">
        <f t="array" ref="Q212">H212*_xlfn.IFS(H212&lt;=350,INDEX('Pliegos Tarifarios (Quilicura)'!$F:$F,MATCH($B212,'Pliegos Tarifarios (Quilicura)'!$A:$A,0)),H212&lt;=500,INDEX('Pliegos Tarifarios (Quilicura)'!$G:$G,MATCH($B212,'Pliegos Tarifarios (Quilicura)'!$A:$A,0)),H212&lt;=1000,INDEX('Pliegos Tarifarios (Quilicura)'!$H:$H,MATCH($B212,'Pliegos Tarifarios (Quilicura)'!$A:$A,0)),H212&lt;=5000,INDEX('Pliegos Tarifarios (Quilicura)'!$I:$I,MATCH($B212,'Pliegos Tarifarios (Quilicura)'!$A:$A,0)),H212&gt;5000,INDEX('Pliegos Tarifarios (Quilicura)'!$J:$J,MATCH($B212,'Pliegos Tarifarios (Quilicura)'!$A:$A,0)))/1.19</f>
        <v>69.900978823529414</v>
      </c>
      <c r="R212" s="19">
        <f>INDEX('Pliegos Tarifarios (Quilicura)'!$K:$K,MATCH($B212,'Pliegos Tarifarios (Quilicura)'!$A:$A,0))</f>
        <v>716.899</v>
      </c>
      <c r="S212" s="21">
        <f t="shared" si="12"/>
        <v>19731.142812923532</v>
      </c>
      <c r="T212" s="21">
        <f t="shared" si="13"/>
        <v>3748.9171344554711</v>
      </c>
      <c r="U212" s="19">
        <v>0</v>
      </c>
      <c r="V212" s="21">
        <f t="shared" si="14"/>
        <v>23480.059947379003</v>
      </c>
    </row>
    <row r="213" spans="1:22" x14ac:dyDescent="0.3">
      <c r="A213" s="3" t="s">
        <v>142</v>
      </c>
      <c r="B213" s="3">
        <v>3</v>
      </c>
      <c r="C213" s="4" t="s">
        <v>186</v>
      </c>
      <c r="D213" s="3" t="s">
        <v>272</v>
      </c>
      <c r="E213" s="3" t="s">
        <v>121</v>
      </c>
      <c r="F213" s="4" t="s">
        <v>273</v>
      </c>
      <c r="G213" s="3" t="s">
        <v>16</v>
      </c>
      <c r="H213" s="5">
        <v>1764.4255000000001</v>
      </c>
      <c r="I213" s="5">
        <v>4.8143000000000002</v>
      </c>
      <c r="J213" s="5">
        <v>4.6524000000000001</v>
      </c>
      <c r="K213" s="6">
        <v>0.96637101967056471</v>
      </c>
      <c r="L213" s="5">
        <v>63.02</v>
      </c>
      <c r="M213" s="19">
        <f>H213*INDEX('Pliegos Tarifarios (Quilicura)'!$B:$B,MATCH($B213,'Pliegos Tarifarios (Quilicura)'!$A:$A,0))</f>
        <v>209680.79756899999</v>
      </c>
      <c r="N213" s="19">
        <f>I213*INDEX('Pliegos Tarifarios (Quilicura)'!$C:$C,MATCH($B213,'Pliegos Tarifarios (Quilicura)'!$A:$A,0))</f>
        <v>16812.8306467</v>
      </c>
      <c r="O213" s="19">
        <f>J213*INDEX('Pliegos Tarifarios (Quilicura)'!$D:$D,MATCH($B213,'Pliegos Tarifarios (Quilicura)'!$A:$A,0))</f>
        <v>66030.652505999999</v>
      </c>
      <c r="P213" s="19">
        <f>H213*INDEX('Pliegos Tarifarios (Quilicura)'!$E:$E,MATCH($B213,'Pliegos Tarifarios (Quilicura)'!$A:$A,0))</f>
        <v>22817.550566000002</v>
      </c>
      <c r="Q213" s="19" cm="1">
        <f t="array" ref="Q213">H213*_xlfn.IFS(H213&lt;=350,INDEX('Pliegos Tarifarios (Quilicura)'!$F:$F,MATCH($B213,'Pliegos Tarifarios (Quilicura)'!$A:$A,0)),H213&lt;=500,INDEX('Pliegos Tarifarios (Quilicura)'!$G:$G,MATCH($B213,'Pliegos Tarifarios (Quilicura)'!$A:$A,0)),H213&lt;=1000,INDEX('Pliegos Tarifarios (Quilicura)'!$H:$H,MATCH($B213,'Pliegos Tarifarios (Quilicura)'!$A:$A,0)),H213&lt;=5000,INDEX('Pliegos Tarifarios (Quilicura)'!$I:$I,MATCH($B213,'Pliegos Tarifarios (Quilicura)'!$A:$A,0)),H213&gt;5000,INDEX('Pliegos Tarifarios (Quilicura)'!$J:$J,MATCH($B213,'Pliegos Tarifarios (Quilicura)'!$A:$A,0)))/1.19</f>
        <v>5294.7592105042013</v>
      </c>
      <c r="R213" s="19">
        <f>INDEX('Pliegos Tarifarios (Quilicura)'!$K:$K,MATCH($B213,'Pliegos Tarifarios (Quilicura)'!$A:$A,0))</f>
        <v>716.899</v>
      </c>
      <c r="S213" s="21">
        <f t="shared" si="12"/>
        <v>321353.48949820414</v>
      </c>
      <c r="T213" s="21">
        <f t="shared" si="13"/>
        <v>61057.163004658789</v>
      </c>
      <c r="U213" s="19">
        <v>0</v>
      </c>
      <c r="V213" s="21">
        <f t="shared" si="14"/>
        <v>382410.65250286291</v>
      </c>
    </row>
    <row r="214" spans="1:22" x14ac:dyDescent="0.3">
      <c r="A214" s="7" t="s">
        <v>143</v>
      </c>
      <c r="B214" s="7">
        <v>4</v>
      </c>
      <c r="C214" s="8" t="s">
        <v>186</v>
      </c>
      <c r="D214" s="7" t="s">
        <v>187</v>
      </c>
      <c r="E214" s="7" t="s">
        <v>14</v>
      </c>
      <c r="F214" s="8" t="s">
        <v>15</v>
      </c>
      <c r="G214" s="7" t="s">
        <v>16</v>
      </c>
      <c r="H214" s="9">
        <v>9947.2437000000009</v>
      </c>
      <c r="I214" s="9">
        <v>28.289000000000001</v>
      </c>
      <c r="J214" s="9">
        <v>27.075299999999999</v>
      </c>
      <c r="K214" s="10">
        <v>0.95709639789317391</v>
      </c>
      <c r="L214" s="9">
        <v>320.88</v>
      </c>
      <c r="M214" s="19">
        <f>H214*INDEX('Pliegos Tarifarios (Quilicura)'!$B:$B,MATCH($B214,'Pliegos Tarifarios (Quilicura)'!$A:$A,0))</f>
        <v>1182110.5468206001</v>
      </c>
      <c r="N214" s="19">
        <f>I214*INDEX('Pliegos Tarifarios (Quilicura)'!$C:$C,MATCH($B214,'Pliegos Tarifarios (Quilicura)'!$A:$A,0))</f>
        <v>97027.224673000004</v>
      </c>
      <c r="O214" s="19">
        <f>J214*INDEX('Pliegos Tarifarios (Quilicura)'!$D:$D,MATCH($B214,'Pliegos Tarifarios (Quilicura)'!$A:$A,0))</f>
        <v>382531.21002599999</v>
      </c>
      <c r="P214" s="19">
        <f>H214*INDEX('Pliegos Tarifarios (Quilicura)'!$E:$E,MATCH($B214,'Pliegos Tarifarios (Quilicura)'!$A:$A,0))</f>
        <v>128637.75552840001</v>
      </c>
      <c r="Q214" s="19" cm="1">
        <f t="array" ref="Q214">H214*_xlfn.IFS(H214&lt;=350,INDEX('Pliegos Tarifarios (Quilicura)'!$F:$F,MATCH($B214,'Pliegos Tarifarios (Quilicura)'!$A:$A,0)),H214&lt;=500,INDEX('Pliegos Tarifarios (Quilicura)'!$G:$G,MATCH($B214,'Pliegos Tarifarios (Quilicura)'!$A:$A,0)),H214&lt;=1000,INDEX('Pliegos Tarifarios (Quilicura)'!$H:$H,MATCH($B214,'Pliegos Tarifarios (Quilicura)'!$A:$A,0)),H214&lt;=5000,INDEX('Pliegos Tarifarios (Quilicura)'!$I:$I,MATCH($B214,'Pliegos Tarifarios (Quilicura)'!$A:$A,0)),H214&gt;5000,INDEX('Pliegos Tarifarios (Quilicura)'!$J:$J,MATCH($B214,'Pliegos Tarifarios (Quilicura)'!$A:$A,0)))/1.19</f>
        <v>32642.005586974799</v>
      </c>
      <c r="R214" s="19">
        <f>INDEX('Pliegos Tarifarios (Quilicura)'!$K:$K,MATCH($B214,'Pliegos Tarifarios (Quilicura)'!$A:$A,0))</f>
        <v>719.68899999999996</v>
      </c>
      <c r="S214" s="21">
        <f t="shared" si="12"/>
        <v>1823668.4316349747</v>
      </c>
      <c r="T214" s="21">
        <f t="shared" si="13"/>
        <v>346497.00201064517</v>
      </c>
      <c r="U214" s="19">
        <v>0</v>
      </c>
      <c r="V214" s="21">
        <f t="shared" si="14"/>
        <v>2170165.43364562</v>
      </c>
    </row>
    <row r="215" spans="1:22" x14ac:dyDescent="0.3">
      <c r="A215" s="7" t="s">
        <v>143</v>
      </c>
      <c r="B215" s="7">
        <v>4</v>
      </c>
      <c r="C215" s="8" t="s">
        <v>186</v>
      </c>
      <c r="D215" s="7" t="s">
        <v>188</v>
      </c>
      <c r="E215" s="7" t="s">
        <v>18</v>
      </c>
      <c r="F215" s="8" t="s">
        <v>19</v>
      </c>
      <c r="G215" s="7" t="s">
        <v>16</v>
      </c>
      <c r="H215" s="9">
        <v>4977.1274000000003</v>
      </c>
      <c r="I215" s="9">
        <v>13.969200000000001</v>
      </c>
      <c r="J215" s="9">
        <v>13.6275</v>
      </c>
      <c r="K215" s="10">
        <v>0.97553904303753969</v>
      </c>
      <c r="L215" s="9">
        <v>160.55000000000001</v>
      </c>
      <c r="M215" s="19">
        <f>H215*INDEX('Pliegos Tarifarios (Quilicura)'!$B:$B,MATCH($B215,'Pliegos Tarifarios (Quilicura)'!$A:$A,0))</f>
        <v>591471.86596119998</v>
      </c>
      <c r="N215" s="19">
        <f>I215*INDEX('Pliegos Tarifarios (Quilicura)'!$C:$C,MATCH($B215,'Pliegos Tarifarios (Quilicura)'!$A:$A,0))</f>
        <v>47912.358404400002</v>
      </c>
      <c r="O215" s="19">
        <f>J215*INDEX('Pliegos Tarifarios (Quilicura)'!$D:$D,MATCH($B215,'Pliegos Tarifarios (Quilicura)'!$A:$A,0))</f>
        <v>192535.04355</v>
      </c>
      <c r="P215" s="19">
        <f>H215*INDEX('Pliegos Tarifarios (Quilicura)'!$E:$E,MATCH($B215,'Pliegos Tarifarios (Quilicura)'!$A:$A,0))</f>
        <v>64364.211536800009</v>
      </c>
      <c r="Q215" s="19" cm="1">
        <f t="array" ref="Q215">H215*_xlfn.IFS(H215&lt;=350,INDEX('Pliegos Tarifarios (Quilicura)'!$F:$F,MATCH($B215,'Pliegos Tarifarios (Quilicura)'!$A:$A,0)),H215&lt;=500,INDEX('Pliegos Tarifarios (Quilicura)'!$G:$G,MATCH($B215,'Pliegos Tarifarios (Quilicura)'!$A:$A,0)),H215&lt;=1000,INDEX('Pliegos Tarifarios (Quilicura)'!$H:$H,MATCH($B215,'Pliegos Tarifarios (Quilicura)'!$A:$A,0)),H215&lt;=5000,INDEX('Pliegos Tarifarios (Quilicura)'!$I:$I,MATCH($B215,'Pliegos Tarifarios (Quilicura)'!$A:$A,0)),H215&gt;5000,INDEX('Pliegos Tarifarios (Quilicura)'!$J:$J,MATCH($B215,'Pliegos Tarifarios (Quilicura)'!$A:$A,0)))/1.19</f>
        <v>14935.56466</v>
      </c>
      <c r="R215" s="19">
        <f>INDEX('Pliegos Tarifarios (Quilicura)'!$K:$K,MATCH($B215,'Pliegos Tarifarios (Quilicura)'!$A:$A,0))</f>
        <v>719.68899999999996</v>
      </c>
      <c r="S215" s="21">
        <f t="shared" si="12"/>
        <v>911938.73311240005</v>
      </c>
      <c r="T215" s="21">
        <f t="shared" si="13"/>
        <v>173268.359291356</v>
      </c>
      <c r="U215" s="19">
        <v>0</v>
      </c>
      <c r="V215" s="21">
        <f t="shared" si="14"/>
        <v>1085207.092403756</v>
      </c>
    </row>
    <row r="216" spans="1:22" x14ac:dyDescent="0.3">
      <c r="A216" s="7" t="s">
        <v>143</v>
      </c>
      <c r="B216" s="7">
        <v>4</v>
      </c>
      <c r="C216" s="8" t="s">
        <v>186</v>
      </c>
      <c r="D216" s="7" t="s">
        <v>189</v>
      </c>
      <c r="E216" s="7" t="s">
        <v>18</v>
      </c>
      <c r="F216" s="8" t="s">
        <v>21</v>
      </c>
      <c r="G216" s="7" t="s">
        <v>16</v>
      </c>
      <c r="H216" s="9">
        <v>3989.2530000000002</v>
      </c>
      <c r="I216" s="9">
        <v>11.156000000000001</v>
      </c>
      <c r="J216" s="9">
        <v>11.0501</v>
      </c>
      <c r="K216" s="10">
        <v>0.99050735030476877</v>
      </c>
      <c r="L216" s="9">
        <v>128.69</v>
      </c>
      <c r="M216" s="19">
        <f>H216*INDEX('Pliegos Tarifarios (Quilicura)'!$B:$B,MATCH($B216,'Pliegos Tarifarios (Quilicura)'!$A:$A,0))</f>
        <v>474074.84801399999</v>
      </c>
      <c r="N216" s="19">
        <f>I216*INDEX('Pliegos Tarifarios (Quilicura)'!$C:$C,MATCH($B216,'Pliegos Tarifarios (Quilicura)'!$A:$A,0))</f>
        <v>38263.484691999998</v>
      </c>
      <c r="O216" s="19">
        <f>J216*INDEX('Pliegos Tarifarios (Quilicura)'!$D:$D,MATCH($B216,'Pliegos Tarifarios (Quilicura)'!$A:$A,0))</f>
        <v>156120.45384200002</v>
      </c>
      <c r="P216" s="19">
        <f>H216*INDEX('Pliegos Tarifarios (Quilicura)'!$E:$E,MATCH($B216,'Pliegos Tarifarios (Quilicura)'!$A:$A,0))</f>
        <v>51589.019796</v>
      </c>
      <c r="Q216" s="19" cm="1">
        <f t="array" ref="Q216">H216*_xlfn.IFS(H216&lt;=350,INDEX('Pliegos Tarifarios (Quilicura)'!$F:$F,MATCH($B216,'Pliegos Tarifarios (Quilicura)'!$A:$A,0)),H216&lt;=500,INDEX('Pliegos Tarifarios (Quilicura)'!$G:$G,MATCH($B216,'Pliegos Tarifarios (Quilicura)'!$A:$A,0)),H216&lt;=1000,INDEX('Pliegos Tarifarios (Quilicura)'!$H:$H,MATCH($B216,'Pliegos Tarifarios (Quilicura)'!$A:$A,0)),H216&lt;=5000,INDEX('Pliegos Tarifarios (Quilicura)'!$I:$I,MATCH($B216,'Pliegos Tarifarios (Quilicura)'!$A:$A,0)),H216&gt;5000,INDEX('Pliegos Tarifarios (Quilicura)'!$J:$J,MATCH($B216,'Pliegos Tarifarios (Quilicura)'!$A:$A,0)))/1.19</f>
        <v>11971.111313445379</v>
      </c>
      <c r="R216" s="19">
        <f>INDEX('Pliegos Tarifarios (Quilicura)'!$K:$K,MATCH($B216,'Pliegos Tarifarios (Quilicura)'!$A:$A,0))</f>
        <v>719.68899999999996</v>
      </c>
      <c r="S216" s="21">
        <f t="shared" si="12"/>
        <v>732738.60665744531</v>
      </c>
      <c r="T216" s="21">
        <f t="shared" si="13"/>
        <v>139220.33526491461</v>
      </c>
      <c r="U216" s="19">
        <v>0</v>
      </c>
      <c r="V216" s="21">
        <f t="shared" si="14"/>
        <v>871958.94192235987</v>
      </c>
    </row>
    <row r="217" spans="1:22" x14ac:dyDescent="0.3">
      <c r="A217" s="7" t="s">
        <v>143</v>
      </c>
      <c r="B217" s="7">
        <v>4</v>
      </c>
      <c r="C217" s="8" t="s">
        <v>186</v>
      </c>
      <c r="D217" s="7" t="s">
        <v>190</v>
      </c>
      <c r="E217" s="7" t="s">
        <v>18</v>
      </c>
      <c r="F217" s="8" t="s">
        <v>23</v>
      </c>
      <c r="G217" s="7" t="s">
        <v>16</v>
      </c>
      <c r="H217" s="9">
        <v>3314.8676999999998</v>
      </c>
      <c r="I217" s="9">
        <v>9.2056000000000004</v>
      </c>
      <c r="J217" s="9">
        <v>9.2048000000000005</v>
      </c>
      <c r="K217" s="10">
        <v>0.99991309637611892</v>
      </c>
      <c r="L217" s="9">
        <v>106.93</v>
      </c>
      <c r="M217" s="19">
        <f>H217*INDEX('Pliegos Tarifarios (Quilicura)'!$B:$B,MATCH($B217,'Pliegos Tarifarios (Quilicura)'!$A:$A,0))</f>
        <v>393932.24773259996</v>
      </c>
      <c r="N217" s="19">
        <f>I217*INDEX('Pliegos Tarifarios (Quilicura)'!$C:$C,MATCH($B217,'Pliegos Tarifarios (Quilicura)'!$A:$A,0))</f>
        <v>31573.8915992</v>
      </c>
      <c r="O217" s="19">
        <f>J217*INDEX('Pliegos Tarifarios (Quilicura)'!$D:$D,MATCH($B217,'Pliegos Tarifarios (Quilicura)'!$A:$A,0))</f>
        <v>130049.28041600001</v>
      </c>
      <c r="P217" s="19">
        <f>H217*INDEX('Pliegos Tarifarios (Quilicura)'!$E:$E,MATCH($B217,'Pliegos Tarifarios (Quilicura)'!$A:$A,0))</f>
        <v>42867.869096399998</v>
      </c>
      <c r="Q217" s="19" cm="1">
        <f t="array" ref="Q217">H217*_xlfn.IFS(H217&lt;=350,INDEX('Pliegos Tarifarios (Quilicura)'!$F:$F,MATCH($B217,'Pliegos Tarifarios (Quilicura)'!$A:$A,0)),H217&lt;=500,INDEX('Pliegos Tarifarios (Quilicura)'!$G:$G,MATCH($B217,'Pliegos Tarifarios (Quilicura)'!$A:$A,0)),H217&lt;=1000,INDEX('Pliegos Tarifarios (Quilicura)'!$H:$H,MATCH($B217,'Pliegos Tarifarios (Quilicura)'!$A:$A,0)),H217&lt;=5000,INDEX('Pliegos Tarifarios (Quilicura)'!$I:$I,MATCH($B217,'Pliegos Tarifarios (Quilicura)'!$A:$A,0)),H217&gt;5000,INDEX('Pliegos Tarifarios (Quilicura)'!$J:$J,MATCH($B217,'Pliegos Tarifarios (Quilicura)'!$A:$A,0)))/1.19</f>
        <v>9947.3887031092436</v>
      </c>
      <c r="R217" s="19">
        <f>INDEX('Pliegos Tarifarios (Quilicura)'!$K:$K,MATCH($B217,'Pliegos Tarifarios (Quilicura)'!$A:$A,0))</f>
        <v>719.68899999999996</v>
      </c>
      <c r="S217" s="21">
        <f t="shared" si="12"/>
        <v>609090.36654730921</v>
      </c>
      <c r="T217" s="21">
        <f t="shared" si="13"/>
        <v>115727.16964398875</v>
      </c>
      <c r="U217" s="19">
        <v>0</v>
      </c>
      <c r="V217" s="21">
        <f t="shared" si="14"/>
        <v>724817.53619129793</v>
      </c>
    </row>
    <row r="218" spans="1:22" x14ac:dyDescent="0.3">
      <c r="A218" s="7" t="s">
        <v>143</v>
      </c>
      <c r="B218" s="7">
        <v>4</v>
      </c>
      <c r="C218" s="8" t="s">
        <v>186</v>
      </c>
      <c r="D218" s="7" t="s">
        <v>191</v>
      </c>
      <c r="E218" s="7" t="s">
        <v>18</v>
      </c>
      <c r="F218" s="8" t="s">
        <v>25</v>
      </c>
      <c r="G218" s="7" t="s">
        <v>16</v>
      </c>
      <c r="H218" s="9">
        <v>3591.0956999999999</v>
      </c>
      <c r="I218" s="9">
        <v>10.041399999999999</v>
      </c>
      <c r="J218" s="9">
        <v>10.019</v>
      </c>
      <c r="K218" s="10">
        <v>0.99776923536558659</v>
      </c>
      <c r="L218" s="9">
        <v>115.84</v>
      </c>
      <c r="M218" s="19">
        <f>H218*INDEX('Pliegos Tarifarios (Quilicura)'!$B:$B,MATCH($B218,'Pliegos Tarifarios (Quilicura)'!$A:$A,0))</f>
        <v>426758.63079659996</v>
      </c>
      <c r="N218" s="19">
        <f>I218*INDEX('Pliegos Tarifarios (Quilicura)'!$C:$C,MATCH($B218,'Pliegos Tarifarios (Quilicura)'!$A:$A,0))</f>
        <v>34440.566079799995</v>
      </c>
      <c r="O218" s="19">
        <f>J218*INDEX('Pliegos Tarifarios (Quilicura)'!$D:$D,MATCH($B218,'Pliegos Tarifarios (Quilicura)'!$A:$A,0))</f>
        <v>141552.63998000001</v>
      </c>
      <c r="P218" s="19">
        <f>H218*INDEX('Pliegos Tarifarios (Quilicura)'!$E:$E,MATCH($B218,'Pliegos Tarifarios (Quilicura)'!$A:$A,0))</f>
        <v>46440.049592399999</v>
      </c>
      <c r="Q218" s="19" cm="1">
        <f t="array" ref="Q218">H218*_xlfn.IFS(H218&lt;=350,INDEX('Pliegos Tarifarios (Quilicura)'!$F:$F,MATCH($B218,'Pliegos Tarifarios (Quilicura)'!$A:$A,0)),H218&lt;=500,INDEX('Pliegos Tarifarios (Quilicura)'!$G:$G,MATCH($B218,'Pliegos Tarifarios (Quilicura)'!$A:$A,0)),H218&lt;=1000,INDEX('Pliegos Tarifarios (Quilicura)'!$H:$H,MATCH($B218,'Pliegos Tarifarios (Quilicura)'!$A:$A,0)),H218&lt;=5000,INDEX('Pliegos Tarifarios (Quilicura)'!$I:$I,MATCH($B218,'Pliegos Tarifarios (Quilicura)'!$A:$A,0)),H218&gt;5000,INDEX('Pliegos Tarifarios (Quilicura)'!$J:$J,MATCH($B218,'Pliegos Tarifarios (Quilicura)'!$A:$A,0)))/1.19</f>
        <v>10776.304827478991</v>
      </c>
      <c r="R218" s="19">
        <f>INDEX('Pliegos Tarifarios (Quilicura)'!$K:$K,MATCH($B218,'Pliegos Tarifarios (Quilicura)'!$A:$A,0))</f>
        <v>719.68899999999996</v>
      </c>
      <c r="S218" s="21">
        <f t="shared" si="12"/>
        <v>660687.88027627894</v>
      </c>
      <c r="T218" s="21">
        <f t="shared" si="13"/>
        <v>125530.697252493</v>
      </c>
      <c r="U218" s="19">
        <v>0</v>
      </c>
      <c r="V218" s="21">
        <f t="shared" si="14"/>
        <v>786218.57752877194</v>
      </c>
    </row>
    <row r="219" spans="1:22" x14ac:dyDescent="0.3">
      <c r="A219" s="7" t="s">
        <v>143</v>
      </c>
      <c r="B219" s="7">
        <v>4</v>
      </c>
      <c r="C219" s="8" t="s">
        <v>186</v>
      </c>
      <c r="D219" s="7" t="s">
        <v>192</v>
      </c>
      <c r="E219" s="7" t="s">
        <v>18</v>
      </c>
      <c r="F219" s="8" t="s">
        <v>27</v>
      </c>
      <c r="G219" s="7" t="s">
        <v>16</v>
      </c>
      <c r="H219" s="9">
        <v>2394.3458999999998</v>
      </c>
      <c r="I219" s="9">
        <v>6.9108999999999998</v>
      </c>
      <c r="J219" s="9">
        <v>6.9108999999999998</v>
      </c>
      <c r="K219" s="10">
        <v>1</v>
      </c>
      <c r="L219" s="9">
        <v>77.239999999999995</v>
      </c>
      <c r="M219" s="19">
        <f>H219*INDEX('Pliegos Tarifarios (Quilicura)'!$B:$B,MATCH($B219,'Pliegos Tarifarios (Quilicura)'!$A:$A,0))</f>
        <v>284539.27806419996</v>
      </c>
      <c r="N219" s="19">
        <f>I219*INDEX('Pliegos Tarifarios (Quilicura)'!$C:$C,MATCH($B219,'Pliegos Tarifarios (Quilicura)'!$A:$A,0))</f>
        <v>23703.3987413</v>
      </c>
      <c r="O219" s="19">
        <f>J219*INDEX('Pliegos Tarifarios (Quilicura)'!$D:$D,MATCH($B219,'Pliegos Tarifarios (Quilicura)'!$A:$A,0))</f>
        <v>97640.097777999996</v>
      </c>
      <c r="P219" s="19">
        <f>H219*INDEX('Pliegos Tarifarios (Quilicura)'!$E:$E,MATCH($B219,'Pliegos Tarifarios (Quilicura)'!$A:$A,0))</f>
        <v>30963.681178799998</v>
      </c>
      <c r="Q219" s="19" cm="1">
        <f t="array" ref="Q219">H219*_xlfn.IFS(H219&lt;=350,INDEX('Pliegos Tarifarios (Quilicura)'!$F:$F,MATCH($B219,'Pliegos Tarifarios (Quilicura)'!$A:$A,0)),H219&lt;=500,INDEX('Pliegos Tarifarios (Quilicura)'!$G:$G,MATCH($B219,'Pliegos Tarifarios (Quilicura)'!$A:$A,0)),H219&lt;=1000,INDEX('Pliegos Tarifarios (Quilicura)'!$H:$H,MATCH($B219,'Pliegos Tarifarios (Quilicura)'!$A:$A,0)),H219&lt;=5000,INDEX('Pliegos Tarifarios (Quilicura)'!$I:$I,MATCH($B219,'Pliegos Tarifarios (Quilicura)'!$A:$A,0)),H219&gt;5000,INDEX('Pliegos Tarifarios (Quilicura)'!$J:$J,MATCH($B219,'Pliegos Tarifarios (Quilicura)'!$A:$A,0)))/1.19</f>
        <v>7185.0497553781497</v>
      </c>
      <c r="R219" s="19">
        <f>INDEX('Pliegos Tarifarios (Quilicura)'!$K:$K,MATCH($B219,'Pliegos Tarifarios (Quilicura)'!$A:$A,0))</f>
        <v>719.68899999999996</v>
      </c>
      <c r="S219" s="21">
        <f t="shared" si="12"/>
        <v>444751.19451767812</v>
      </c>
      <c r="T219" s="21">
        <f t="shared" si="13"/>
        <v>84502.72695835885</v>
      </c>
      <c r="U219" s="19">
        <v>0</v>
      </c>
      <c r="V219" s="21">
        <f t="shared" si="14"/>
        <v>529253.92147603701</v>
      </c>
    </row>
    <row r="220" spans="1:22" x14ac:dyDescent="0.3">
      <c r="A220" s="7" t="s">
        <v>143</v>
      </c>
      <c r="B220" s="7">
        <v>4</v>
      </c>
      <c r="C220" s="8" t="s">
        <v>186</v>
      </c>
      <c r="D220" s="7" t="s">
        <v>193</v>
      </c>
      <c r="E220" s="7" t="s">
        <v>18</v>
      </c>
      <c r="F220" s="8" t="s">
        <v>29</v>
      </c>
      <c r="G220" s="7" t="s">
        <v>30</v>
      </c>
      <c r="H220" s="9">
        <v>799.31100000000004</v>
      </c>
      <c r="I220" s="9">
        <v>2.2667000000000002</v>
      </c>
      <c r="J220" s="9">
        <v>2.2667000000000002</v>
      </c>
      <c r="K220" s="10">
        <v>1</v>
      </c>
      <c r="L220" s="9">
        <v>25.78</v>
      </c>
      <c r="M220" s="19">
        <f>H220*INDEX('Pliegos Tarifarios (Quilicura)'!$B:$B,MATCH($B220,'Pliegos Tarifarios (Quilicura)'!$A:$A,0))</f>
        <v>94988.520617999995</v>
      </c>
      <c r="N220" s="19">
        <f>I220*INDEX('Pliegos Tarifarios (Quilicura)'!$C:$C,MATCH($B220,'Pliegos Tarifarios (Quilicura)'!$A:$A,0))</f>
        <v>7774.4568619000001</v>
      </c>
      <c r="O220" s="19">
        <f>J220*INDEX('Pliegos Tarifarios (Quilicura)'!$D:$D,MATCH($B220,'Pliegos Tarifarios (Quilicura)'!$A:$A,0))</f>
        <v>32024.889614000003</v>
      </c>
      <c r="P220" s="19">
        <f>H220*INDEX('Pliegos Tarifarios (Quilicura)'!$E:$E,MATCH($B220,'Pliegos Tarifarios (Quilicura)'!$A:$A,0))</f>
        <v>10336.689852000001</v>
      </c>
      <c r="Q220" s="19" cm="1">
        <f t="array" ref="Q220">H220*_xlfn.IFS(H220&lt;=350,INDEX('Pliegos Tarifarios (Quilicura)'!$F:$F,MATCH($B220,'Pliegos Tarifarios (Quilicura)'!$A:$A,0)),H220&lt;=500,INDEX('Pliegos Tarifarios (Quilicura)'!$G:$G,MATCH($B220,'Pliegos Tarifarios (Quilicura)'!$A:$A,0)),H220&lt;=1000,INDEX('Pliegos Tarifarios (Quilicura)'!$H:$H,MATCH($B220,'Pliegos Tarifarios (Quilicura)'!$A:$A,0)),H220&lt;=5000,INDEX('Pliegos Tarifarios (Quilicura)'!$I:$I,MATCH($B220,'Pliegos Tarifarios (Quilicura)'!$A:$A,0)),H220&gt;5000,INDEX('Pliegos Tarifarios (Quilicura)'!$J:$J,MATCH($B220,'Pliegos Tarifarios (Quilicura)'!$A:$A,0)))/1.19</f>
        <v>1874.6865554621852</v>
      </c>
      <c r="R220" s="19">
        <f>INDEX('Pliegos Tarifarios (Quilicura)'!$K:$K,MATCH($B220,'Pliegos Tarifarios (Quilicura)'!$A:$A,0))</f>
        <v>719.68899999999996</v>
      </c>
      <c r="S220" s="21">
        <f t="shared" si="12"/>
        <v>147718.93250136223</v>
      </c>
      <c r="T220" s="21">
        <f t="shared" si="13"/>
        <v>28066.597175258823</v>
      </c>
      <c r="U220" s="19">
        <v>0</v>
      </c>
      <c r="V220" s="21">
        <f t="shared" si="14"/>
        <v>175785.52967662105</v>
      </c>
    </row>
    <row r="221" spans="1:22" x14ac:dyDescent="0.3">
      <c r="A221" s="7" t="s">
        <v>143</v>
      </c>
      <c r="B221" s="7">
        <v>4</v>
      </c>
      <c r="C221" s="8" t="s">
        <v>186</v>
      </c>
      <c r="D221" s="7" t="s">
        <v>194</v>
      </c>
      <c r="E221" s="7" t="s">
        <v>18</v>
      </c>
      <c r="F221" s="8" t="s">
        <v>32</v>
      </c>
      <c r="G221" s="7" t="s">
        <v>16</v>
      </c>
      <c r="H221" s="9">
        <v>2391.1754999999998</v>
      </c>
      <c r="I221" s="9">
        <v>6.6999000000000004</v>
      </c>
      <c r="J221" s="9">
        <v>6.5147000000000004</v>
      </c>
      <c r="K221" s="10">
        <v>0.97235779638502062</v>
      </c>
      <c r="L221" s="9">
        <v>77.13</v>
      </c>
      <c r="M221" s="19">
        <f>H221*INDEX('Pliegos Tarifarios (Quilicura)'!$B:$B,MATCH($B221,'Pliegos Tarifarios (Quilicura)'!$A:$A,0))</f>
        <v>284162.51406899997</v>
      </c>
      <c r="N221" s="19">
        <f>I221*INDEX('Pliegos Tarifarios (Quilicura)'!$C:$C,MATCH($B221,'Pliegos Tarifarios (Quilicura)'!$A:$A,0))</f>
        <v>22979.698914300003</v>
      </c>
      <c r="O221" s="19">
        <f>J221*INDEX('Pliegos Tarifarios (Quilicura)'!$D:$D,MATCH($B221,'Pliegos Tarifarios (Quilicura)'!$A:$A,0))</f>
        <v>92042.417774000001</v>
      </c>
      <c r="P221" s="19">
        <f>H221*INDEX('Pliegos Tarifarios (Quilicura)'!$E:$E,MATCH($B221,'Pliegos Tarifarios (Quilicura)'!$A:$A,0))</f>
        <v>30922.681565999999</v>
      </c>
      <c r="Q221" s="19" cm="1">
        <f t="array" ref="Q221">H221*_xlfn.IFS(H221&lt;=350,INDEX('Pliegos Tarifarios (Quilicura)'!$F:$F,MATCH($B221,'Pliegos Tarifarios (Quilicura)'!$A:$A,0)),H221&lt;=500,INDEX('Pliegos Tarifarios (Quilicura)'!$G:$G,MATCH($B221,'Pliegos Tarifarios (Quilicura)'!$A:$A,0)),H221&lt;=1000,INDEX('Pliegos Tarifarios (Quilicura)'!$H:$H,MATCH($B221,'Pliegos Tarifarios (Quilicura)'!$A:$A,0)),H221&lt;=5000,INDEX('Pliegos Tarifarios (Quilicura)'!$I:$I,MATCH($B221,'Pliegos Tarifarios (Quilicura)'!$A:$A,0)),H221&gt;5000,INDEX('Pliegos Tarifarios (Quilicura)'!$J:$J,MATCH($B221,'Pliegos Tarifarios (Quilicura)'!$A:$A,0)))/1.19</f>
        <v>7175.5358911764706</v>
      </c>
      <c r="R221" s="19">
        <f>INDEX('Pliegos Tarifarios (Quilicura)'!$K:$K,MATCH($B221,'Pliegos Tarifarios (Quilicura)'!$A:$A,0))</f>
        <v>719.68899999999996</v>
      </c>
      <c r="S221" s="21">
        <f t="shared" si="12"/>
        <v>438002.53721447644</v>
      </c>
      <c r="T221" s="21">
        <f t="shared" si="13"/>
        <v>83220.482070750528</v>
      </c>
      <c r="U221" s="19">
        <v>0</v>
      </c>
      <c r="V221" s="21">
        <f t="shared" si="14"/>
        <v>521223.01928522694</v>
      </c>
    </row>
    <row r="222" spans="1:22" x14ac:dyDescent="0.3">
      <c r="A222" s="7" t="s">
        <v>143</v>
      </c>
      <c r="B222" s="7">
        <v>4</v>
      </c>
      <c r="C222" s="8" t="s">
        <v>186</v>
      </c>
      <c r="D222" s="7" t="s">
        <v>195</v>
      </c>
      <c r="E222" s="7" t="s">
        <v>34</v>
      </c>
      <c r="F222" s="8" t="s">
        <v>35</v>
      </c>
      <c r="G222" s="7" t="s">
        <v>30</v>
      </c>
      <c r="H222" s="9">
        <v>997.84820000000002</v>
      </c>
      <c r="I222" s="9">
        <v>2.7627000000000002</v>
      </c>
      <c r="J222" s="9">
        <v>2.7126000000000001</v>
      </c>
      <c r="K222" s="10">
        <v>0.98186556629384292</v>
      </c>
      <c r="L222" s="9">
        <v>32.19</v>
      </c>
      <c r="M222" s="19">
        <f>H222*INDEX('Pliegos Tarifarios (Quilicura)'!$B:$B,MATCH($B222,'Pliegos Tarifarios (Quilicura)'!$A:$A,0))</f>
        <v>118582.2843916</v>
      </c>
      <c r="N222" s="19">
        <f>I222*INDEX('Pliegos Tarifarios (Quilicura)'!$C:$C,MATCH($B222,'Pliegos Tarifarios (Quilicura)'!$A:$A,0))</f>
        <v>9475.6659338999998</v>
      </c>
      <c r="O222" s="19">
        <f>J222*INDEX('Pliegos Tarifarios (Quilicura)'!$D:$D,MATCH($B222,'Pliegos Tarifarios (Quilicura)'!$A:$A,0))</f>
        <v>38324.752092000002</v>
      </c>
      <c r="P222" s="19">
        <f>H222*INDEX('Pliegos Tarifarios (Quilicura)'!$E:$E,MATCH($B222,'Pliegos Tarifarios (Quilicura)'!$A:$A,0))</f>
        <v>12904.172922400001</v>
      </c>
      <c r="Q222" s="19" cm="1">
        <f t="array" ref="Q222">H222*_xlfn.IFS(H222&lt;=350,INDEX('Pliegos Tarifarios (Quilicura)'!$F:$F,MATCH($B222,'Pliegos Tarifarios (Quilicura)'!$A:$A,0)),H222&lt;=500,INDEX('Pliegos Tarifarios (Quilicura)'!$G:$G,MATCH($B222,'Pliegos Tarifarios (Quilicura)'!$A:$A,0)),H222&lt;=1000,INDEX('Pliegos Tarifarios (Quilicura)'!$H:$H,MATCH($B222,'Pliegos Tarifarios (Quilicura)'!$A:$A,0)),H222&lt;=5000,INDEX('Pliegos Tarifarios (Quilicura)'!$I:$I,MATCH($B222,'Pliegos Tarifarios (Quilicura)'!$A:$A,0)),H222&gt;5000,INDEX('Pliegos Tarifarios (Quilicura)'!$J:$J,MATCH($B222,'Pliegos Tarifarios (Quilicura)'!$A:$A,0)))/1.19</f>
        <v>2340.3313665546225</v>
      </c>
      <c r="R222" s="19">
        <f>INDEX('Pliegos Tarifarios (Quilicura)'!$K:$K,MATCH($B222,'Pliegos Tarifarios (Quilicura)'!$A:$A,0))</f>
        <v>719.68899999999996</v>
      </c>
      <c r="S222" s="21">
        <f t="shared" si="12"/>
        <v>182346.89570645464</v>
      </c>
      <c r="T222" s="21">
        <f t="shared" si="13"/>
        <v>34645.910184226384</v>
      </c>
      <c r="U222" s="19">
        <v>0</v>
      </c>
      <c r="V222" s="21">
        <f t="shared" si="14"/>
        <v>216992.80589068102</v>
      </c>
    </row>
    <row r="223" spans="1:22" x14ac:dyDescent="0.3">
      <c r="A223" s="7" t="s">
        <v>143</v>
      </c>
      <c r="B223" s="7">
        <v>4</v>
      </c>
      <c r="C223" s="8" t="s">
        <v>186</v>
      </c>
      <c r="D223" s="7" t="s">
        <v>196</v>
      </c>
      <c r="E223" s="7" t="s">
        <v>34</v>
      </c>
      <c r="F223" s="8" t="s">
        <v>37</v>
      </c>
      <c r="G223" s="7" t="s">
        <v>30</v>
      </c>
      <c r="H223" s="9">
        <v>799.10239999999999</v>
      </c>
      <c r="I223" s="9">
        <v>2.2654999999999998</v>
      </c>
      <c r="J223" s="9">
        <v>2.2397</v>
      </c>
      <c r="K223" s="10">
        <v>0.98861178547781958</v>
      </c>
      <c r="L223" s="9">
        <v>25.78</v>
      </c>
      <c r="M223" s="19">
        <f>H223*INDEX('Pliegos Tarifarios (Quilicura)'!$B:$B,MATCH($B223,'Pliegos Tarifarios (Quilicura)'!$A:$A,0))</f>
        <v>94963.731011199998</v>
      </c>
      <c r="N223" s="19">
        <f>I223*INDEX('Pliegos Tarifarios (Quilicura)'!$C:$C,MATCH($B223,'Pliegos Tarifarios (Quilicura)'!$A:$A,0))</f>
        <v>7770.341033499999</v>
      </c>
      <c r="O223" s="19">
        <f>J223*INDEX('Pliegos Tarifarios (Quilicura)'!$D:$D,MATCH($B223,'Pliegos Tarifarios (Quilicura)'!$A:$A,0))</f>
        <v>31643.422274</v>
      </c>
      <c r="P223" s="19">
        <f>H223*INDEX('Pliegos Tarifarios (Quilicura)'!$E:$E,MATCH($B223,'Pliegos Tarifarios (Quilicura)'!$A:$A,0))</f>
        <v>10333.992236800001</v>
      </c>
      <c r="Q223" s="19" cm="1">
        <f t="array" ref="Q223">H223*_xlfn.IFS(H223&lt;=350,INDEX('Pliegos Tarifarios (Quilicura)'!$F:$F,MATCH($B223,'Pliegos Tarifarios (Quilicura)'!$A:$A,0)),H223&lt;=500,INDEX('Pliegos Tarifarios (Quilicura)'!$G:$G,MATCH($B223,'Pliegos Tarifarios (Quilicura)'!$A:$A,0)),H223&lt;=1000,INDEX('Pliegos Tarifarios (Quilicura)'!$H:$H,MATCH($B223,'Pliegos Tarifarios (Quilicura)'!$A:$A,0)),H223&lt;=5000,INDEX('Pliegos Tarifarios (Quilicura)'!$I:$I,MATCH($B223,'Pliegos Tarifarios (Quilicura)'!$A:$A,0)),H223&gt;5000,INDEX('Pliegos Tarifarios (Quilicura)'!$J:$J,MATCH($B223,'Pliegos Tarifarios (Quilicura)'!$A:$A,0)))/1.19</f>
        <v>1874.1973095798321</v>
      </c>
      <c r="R223" s="19">
        <f>INDEX('Pliegos Tarifarios (Quilicura)'!$K:$K,MATCH($B223,'Pliegos Tarifarios (Quilicura)'!$A:$A,0))</f>
        <v>719.68899999999996</v>
      </c>
      <c r="S223" s="21">
        <f t="shared" si="12"/>
        <v>147305.37286507984</v>
      </c>
      <c r="T223" s="21">
        <f t="shared" si="13"/>
        <v>27988.020844365172</v>
      </c>
      <c r="U223" s="19">
        <v>0</v>
      </c>
      <c r="V223" s="21">
        <f t="shared" si="14"/>
        <v>175293.39370944502</v>
      </c>
    </row>
    <row r="224" spans="1:22" x14ac:dyDescent="0.3">
      <c r="A224" s="7" t="s">
        <v>143</v>
      </c>
      <c r="B224" s="7">
        <v>4</v>
      </c>
      <c r="C224" s="8" t="s">
        <v>186</v>
      </c>
      <c r="D224" s="7" t="s">
        <v>197</v>
      </c>
      <c r="E224" s="7" t="s">
        <v>34</v>
      </c>
      <c r="F224" s="8" t="s">
        <v>39</v>
      </c>
      <c r="G224" s="7" t="s">
        <v>30</v>
      </c>
      <c r="H224" s="9">
        <v>798.15250000000003</v>
      </c>
      <c r="I224" s="9">
        <v>2.2841</v>
      </c>
      <c r="J224" s="9">
        <v>2.2033</v>
      </c>
      <c r="K224" s="10">
        <v>0.96462501641784515</v>
      </c>
      <c r="L224" s="9">
        <v>25.75</v>
      </c>
      <c r="M224" s="19">
        <f>H224*INDEX('Pliegos Tarifarios (Quilicura)'!$B:$B,MATCH($B224,'Pliegos Tarifarios (Quilicura)'!$A:$A,0))</f>
        <v>94850.846795000005</v>
      </c>
      <c r="N224" s="19">
        <f>I224*INDEX('Pliegos Tarifarios (Quilicura)'!$C:$C,MATCH($B224,'Pliegos Tarifarios (Quilicura)'!$A:$A,0))</f>
        <v>7834.1363737000001</v>
      </c>
      <c r="O224" s="19">
        <f>J224*INDEX('Pliegos Tarifarios (Quilicura)'!$D:$D,MATCH($B224,'Pliegos Tarifarios (Quilicura)'!$A:$A,0))</f>
        <v>31129.147786000001</v>
      </c>
      <c r="P224" s="19">
        <f>H224*INDEX('Pliegos Tarifarios (Quilicura)'!$E:$E,MATCH($B224,'Pliegos Tarifarios (Quilicura)'!$A:$A,0))</f>
        <v>10321.708130000001</v>
      </c>
      <c r="Q224" s="19" cm="1">
        <f t="array" ref="Q224">H224*_xlfn.IFS(H224&lt;=350,INDEX('Pliegos Tarifarios (Quilicura)'!$F:$F,MATCH($B224,'Pliegos Tarifarios (Quilicura)'!$A:$A,0)),H224&lt;=500,INDEX('Pliegos Tarifarios (Quilicura)'!$G:$G,MATCH($B224,'Pliegos Tarifarios (Quilicura)'!$A:$A,0)),H224&lt;=1000,INDEX('Pliegos Tarifarios (Quilicura)'!$H:$H,MATCH($B224,'Pliegos Tarifarios (Quilicura)'!$A:$A,0)),H224&lt;=5000,INDEX('Pliegos Tarifarios (Quilicura)'!$I:$I,MATCH($B224,'Pliegos Tarifarios (Quilicura)'!$A:$A,0)),H224&gt;5000,INDEX('Pliegos Tarifarios (Quilicura)'!$J:$J,MATCH($B224,'Pliegos Tarifarios (Quilicura)'!$A:$A,0)))/1.19</f>
        <v>1871.9694348739501</v>
      </c>
      <c r="R224" s="19">
        <f>INDEX('Pliegos Tarifarios (Quilicura)'!$K:$K,MATCH($B224,'Pliegos Tarifarios (Quilicura)'!$A:$A,0))</f>
        <v>719.68899999999996</v>
      </c>
      <c r="S224" s="21">
        <f t="shared" si="12"/>
        <v>146727.49751957398</v>
      </c>
      <c r="T224" s="21">
        <f t="shared" si="13"/>
        <v>27878.224528719056</v>
      </c>
      <c r="U224" s="19">
        <v>0</v>
      </c>
      <c r="V224" s="21">
        <f t="shared" si="14"/>
        <v>174605.72204829304</v>
      </c>
    </row>
    <row r="225" spans="1:22" x14ac:dyDescent="0.3">
      <c r="A225" s="7" t="s">
        <v>143</v>
      </c>
      <c r="B225" s="7">
        <v>4</v>
      </c>
      <c r="C225" s="8" t="s">
        <v>186</v>
      </c>
      <c r="D225" s="7" t="s">
        <v>198</v>
      </c>
      <c r="E225" s="7" t="s">
        <v>34</v>
      </c>
      <c r="F225" s="8" t="s">
        <v>41</v>
      </c>
      <c r="G225" s="7" t="s">
        <v>30</v>
      </c>
      <c r="H225" s="9">
        <v>597.74829999999997</v>
      </c>
      <c r="I225" s="9">
        <v>1.6618999999999999</v>
      </c>
      <c r="J225" s="9">
        <v>1.6618999999999999</v>
      </c>
      <c r="K225" s="10">
        <v>1</v>
      </c>
      <c r="L225" s="9">
        <v>19.28</v>
      </c>
      <c r="M225" s="19">
        <f>H225*INDEX('Pliegos Tarifarios (Quilicura)'!$B:$B,MATCH($B225,'Pliegos Tarifarios (Quilicura)'!$A:$A,0))</f>
        <v>71035.212475399996</v>
      </c>
      <c r="N225" s="19">
        <f>I225*INDEX('Pliegos Tarifarios (Quilicura)'!$C:$C,MATCH($B225,'Pliegos Tarifarios (Quilicura)'!$A:$A,0))</f>
        <v>5700.0793482999998</v>
      </c>
      <c r="O225" s="19">
        <f>J225*INDEX('Pliegos Tarifarios (Quilicura)'!$D:$D,MATCH($B225,'Pliegos Tarifarios (Quilicura)'!$A:$A,0))</f>
        <v>23480.021197999999</v>
      </c>
      <c r="P225" s="19">
        <f>H225*INDEX('Pliegos Tarifarios (Quilicura)'!$E:$E,MATCH($B225,'Pliegos Tarifarios (Quilicura)'!$A:$A,0))</f>
        <v>7730.0810155999998</v>
      </c>
      <c r="Q225" s="19" cm="1">
        <f t="array" ref="Q225">H225*_xlfn.IFS(H225&lt;=350,INDEX('Pliegos Tarifarios (Quilicura)'!$F:$F,MATCH($B225,'Pliegos Tarifarios (Quilicura)'!$A:$A,0)),H225&lt;=500,INDEX('Pliegos Tarifarios (Quilicura)'!$G:$G,MATCH($B225,'Pliegos Tarifarios (Quilicura)'!$A:$A,0)),H225&lt;=1000,INDEX('Pliegos Tarifarios (Quilicura)'!$H:$H,MATCH($B225,'Pliegos Tarifarios (Quilicura)'!$A:$A,0)),H225&lt;=5000,INDEX('Pliegos Tarifarios (Quilicura)'!$I:$I,MATCH($B225,'Pliegos Tarifarios (Quilicura)'!$A:$A,0)),H225&gt;5000,INDEX('Pliegos Tarifarios (Quilicura)'!$J:$J,MATCH($B225,'Pliegos Tarifarios (Quilicura)'!$A:$A,0)))/1.19</f>
        <v>1401.9458027731093</v>
      </c>
      <c r="R225" s="19">
        <f>INDEX('Pliegos Tarifarios (Quilicura)'!$K:$K,MATCH($B225,'Pliegos Tarifarios (Quilicura)'!$A:$A,0))</f>
        <v>719.68899999999996</v>
      </c>
      <c r="S225" s="21">
        <f t="shared" si="12"/>
        <v>110067.02884007311</v>
      </c>
      <c r="T225" s="21">
        <f t="shared" si="13"/>
        <v>20912.73547961389</v>
      </c>
      <c r="U225" s="19">
        <v>0</v>
      </c>
      <c r="V225" s="21">
        <f t="shared" si="14"/>
        <v>130979.764319687</v>
      </c>
    </row>
    <row r="226" spans="1:22" x14ac:dyDescent="0.3">
      <c r="A226" s="7" t="s">
        <v>143</v>
      </c>
      <c r="B226" s="7">
        <v>4</v>
      </c>
      <c r="C226" s="8" t="s">
        <v>186</v>
      </c>
      <c r="D226" s="7" t="s">
        <v>199</v>
      </c>
      <c r="E226" s="7" t="s">
        <v>34</v>
      </c>
      <c r="F226" s="8" t="s">
        <v>43</v>
      </c>
      <c r="G226" s="7" t="s">
        <v>30</v>
      </c>
      <c r="H226" s="9">
        <v>597.45129999999995</v>
      </c>
      <c r="I226" s="9">
        <v>1.7416</v>
      </c>
      <c r="J226" s="9">
        <v>1.7416</v>
      </c>
      <c r="K226" s="10">
        <v>1</v>
      </c>
      <c r="L226" s="9">
        <v>19.27</v>
      </c>
      <c r="M226" s="19">
        <f>H226*INDEX('Pliegos Tarifarios (Quilicura)'!$B:$B,MATCH($B226,'Pliegos Tarifarios (Quilicura)'!$A:$A,0))</f>
        <v>70999.917589399993</v>
      </c>
      <c r="N226" s="19">
        <f>I226*INDEX('Pliegos Tarifarios (Quilicura)'!$C:$C,MATCH($B226,'Pliegos Tarifarios (Quilicura)'!$A:$A,0))</f>
        <v>5973.4389511999998</v>
      </c>
      <c r="O226" s="19">
        <f>J226*INDEX('Pliegos Tarifarios (Quilicura)'!$D:$D,MATCH($B226,'Pliegos Tarifarios (Quilicura)'!$A:$A,0))</f>
        <v>24606.056272000002</v>
      </c>
      <c r="P226" s="19">
        <f>H226*INDEX('Pliegos Tarifarios (Quilicura)'!$E:$E,MATCH($B226,'Pliegos Tarifarios (Quilicura)'!$A:$A,0))</f>
        <v>7726.2402115999994</v>
      </c>
      <c r="Q226" s="19" cm="1">
        <f t="array" ref="Q226">H226*_xlfn.IFS(H226&lt;=350,INDEX('Pliegos Tarifarios (Quilicura)'!$F:$F,MATCH($B226,'Pliegos Tarifarios (Quilicura)'!$A:$A,0)),H226&lt;=500,INDEX('Pliegos Tarifarios (Quilicura)'!$G:$G,MATCH($B226,'Pliegos Tarifarios (Quilicura)'!$A:$A,0)),H226&lt;=1000,INDEX('Pliegos Tarifarios (Quilicura)'!$H:$H,MATCH($B226,'Pliegos Tarifarios (Quilicura)'!$A:$A,0)),H226&lt;=5000,INDEX('Pliegos Tarifarios (Quilicura)'!$I:$I,MATCH($B226,'Pliegos Tarifarios (Quilicura)'!$A:$A,0)),H226&gt;5000,INDEX('Pliegos Tarifarios (Quilicura)'!$J:$J,MATCH($B226,'Pliegos Tarifarios (Quilicura)'!$A:$A,0)))/1.19</f>
        <v>1401.249225462185</v>
      </c>
      <c r="R226" s="19">
        <f>INDEX('Pliegos Tarifarios (Quilicura)'!$K:$K,MATCH($B226,'Pliegos Tarifarios (Quilicura)'!$A:$A,0))</f>
        <v>719.68899999999996</v>
      </c>
      <c r="S226" s="21">
        <f t="shared" si="12"/>
        <v>111426.59124966219</v>
      </c>
      <c r="T226" s="21">
        <f t="shared" si="13"/>
        <v>21171.052337435816</v>
      </c>
      <c r="U226" s="19">
        <v>0</v>
      </c>
      <c r="V226" s="21">
        <f t="shared" si="14"/>
        <v>132597.64358709799</v>
      </c>
    </row>
    <row r="227" spans="1:22" x14ac:dyDescent="0.3">
      <c r="A227" s="7" t="s">
        <v>143</v>
      </c>
      <c r="B227" s="7">
        <v>4</v>
      </c>
      <c r="C227" s="8" t="s">
        <v>186</v>
      </c>
      <c r="D227" s="7" t="s">
        <v>200</v>
      </c>
      <c r="E227" s="7" t="s">
        <v>34</v>
      </c>
      <c r="F227" s="8" t="s">
        <v>45</v>
      </c>
      <c r="G227" s="7" t="s">
        <v>30</v>
      </c>
      <c r="H227" s="9">
        <v>597.43799999999999</v>
      </c>
      <c r="I227" s="9">
        <v>1.7224999999999999</v>
      </c>
      <c r="J227" s="9">
        <v>1.6829000000000001</v>
      </c>
      <c r="K227" s="10">
        <v>0.97701015965166915</v>
      </c>
      <c r="L227" s="9">
        <v>19.27</v>
      </c>
      <c r="M227" s="19">
        <f>H227*INDEX('Pliegos Tarifarios (Quilicura)'!$B:$B,MATCH($B227,'Pliegos Tarifarios (Quilicura)'!$A:$A,0))</f>
        <v>70998.337044</v>
      </c>
      <c r="N227" s="19">
        <f>I227*INDEX('Pliegos Tarifarios (Quilicura)'!$C:$C,MATCH($B227,'Pliegos Tarifarios (Quilicura)'!$A:$A,0))</f>
        <v>5907.9286824999999</v>
      </c>
      <c r="O227" s="19">
        <f>J227*INDEX('Pliegos Tarifarios (Quilicura)'!$D:$D,MATCH($B227,'Pliegos Tarifarios (Quilicura)'!$A:$A,0))</f>
        <v>23776.718018</v>
      </c>
      <c r="P227" s="19">
        <f>H227*INDEX('Pliegos Tarifarios (Quilicura)'!$E:$E,MATCH($B227,'Pliegos Tarifarios (Quilicura)'!$A:$A,0))</f>
        <v>7726.0682159999997</v>
      </c>
      <c r="Q227" s="19" cm="1">
        <f t="array" ref="Q227">H227*_xlfn.IFS(H227&lt;=350,INDEX('Pliegos Tarifarios (Quilicura)'!$F:$F,MATCH($B227,'Pliegos Tarifarios (Quilicura)'!$A:$A,0)),H227&lt;=500,INDEX('Pliegos Tarifarios (Quilicura)'!$G:$G,MATCH($B227,'Pliegos Tarifarios (Quilicura)'!$A:$A,0)),H227&lt;=1000,INDEX('Pliegos Tarifarios (Quilicura)'!$H:$H,MATCH($B227,'Pliegos Tarifarios (Quilicura)'!$A:$A,0)),H227&lt;=5000,INDEX('Pliegos Tarifarios (Quilicura)'!$I:$I,MATCH($B227,'Pliegos Tarifarios (Quilicura)'!$A:$A,0)),H227&gt;5000,INDEX('Pliegos Tarifarios (Quilicura)'!$J:$J,MATCH($B227,'Pliegos Tarifarios (Quilicura)'!$A:$A,0)))/1.19</f>
        <v>1401.2180319327733</v>
      </c>
      <c r="R227" s="19">
        <f>INDEX('Pliegos Tarifarios (Quilicura)'!$K:$K,MATCH($B227,'Pliegos Tarifarios (Quilicura)'!$A:$A,0))</f>
        <v>719.68899999999996</v>
      </c>
      <c r="S227" s="21">
        <f t="shared" si="12"/>
        <v>110529.95899243277</v>
      </c>
      <c r="T227" s="21">
        <f t="shared" si="13"/>
        <v>21000.692208562228</v>
      </c>
      <c r="U227" s="19">
        <v>0</v>
      </c>
      <c r="V227" s="21">
        <f t="shared" si="14"/>
        <v>131530.65120099499</v>
      </c>
    </row>
    <row r="228" spans="1:22" x14ac:dyDescent="0.3">
      <c r="A228" s="7" t="s">
        <v>143</v>
      </c>
      <c r="B228" s="7">
        <v>4</v>
      </c>
      <c r="C228" s="8" t="s">
        <v>186</v>
      </c>
      <c r="D228" s="7" t="s">
        <v>201</v>
      </c>
      <c r="E228" s="7" t="s">
        <v>47</v>
      </c>
      <c r="F228" s="8" t="s">
        <v>48</v>
      </c>
      <c r="G228" s="7" t="s">
        <v>30</v>
      </c>
      <c r="H228" s="9">
        <v>597.35829999999999</v>
      </c>
      <c r="I228" s="9">
        <v>1.6747000000000001</v>
      </c>
      <c r="J228" s="9">
        <v>1.6556999999999999</v>
      </c>
      <c r="K228" s="10">
        <v>0.98865468442109028</v>
      </c>
      <c r="L228" s="9">
        <v>19.27</v>
      </c>
      <c r="M228" s="19">
        <f>H228*INDEX('Pliegos Tarifarios (Quilicura)'!$B:$B,MATCH($B228,'Pliegos Tarifarios (Quilicura)'!$A:$A,0))</f>
        <v>70988.86565539999</v>
      </c>
      <c r="N228" s="19">
        <f>I228*INDEX('Pliegos Tarifarios (Quilicura)'!$C:$C,MATCH($B228,'Pliegos Tarifarios (Quilicura)'!$A:$A,0))</f>
        <v>5743.9815179000007</v>
      </c>
      <c r="O228" s="19">
        <f>J228*INDEX('Pliegos Tarifarios (Quilicura)'!$D:$D,MATCH($B228,'Pliegos Tarifarios (Quilicura)'!$A:$A,0))</f>
        <v>23392.424994000001</v>
      </c>
      <c r="P228" s="19">
        <f>H228*INDEX('Pliegos Tarifarios (Quilicura)'!$E:$E,MATCH($B228,'Pliegos Tarifarios (Quilicura)'!$A:$A,0))</f>
        <v>7725.0375356000004</v>
      </c>
      <c r="Q228" s="19" cm="1">
        <f t="array" ref="Q228">H228*_xlfn.IFS(H228&lt;=350,INDEX('Pliegos Tarifarios (Quilicura)'!$F:$F,MATCH($B228,'Pliegos Tarifarios (Quilicura)'!$A:$A,0)),H228&lt;=500,INDEX('Pliegos Tarifarios (Quilicura)'!$G:$G,MATCH($B228,'Pliegos Tarifarios (Quilicura)'!$A:$A,0)),H228&lt;=1000,INDEX('Pliegos Tarifarios (Quilicura)'!$H:$H,MATCH($B228,'Pliegos Tarifarios (Quilicura)'!$A:$A,0)),H228&lt;=5000,INDEX('Pliegos Tarifarios (Quilicura)'!$I:$I,MATCH($B228,'Pliegos Tarifarios (Quilicura)'!$A:$A,0)),H228&gt;5000,INDEX('Pliegos Tarifarios (Quilicura)'!$J:$J,MATCH($B228,'Pliegos Tarifarios (Quilicura)'!$A:$A,0)))/1.19</f>
        <v>1401.0311052941179</v>
      </c>
      <c r="R228" s="19">
        <f>INDEX('Pliegos Tarifarios (Quilicura)'!$K:$K,MATCH($B228,'Pliegos Tarifarios (Quilicura)'!$A:$A,0))</f>
        <v>719.68899999999996</v>
      </c>
      <c r="S228" s="21">
        <f t="shared" si="12"/>
        <v>109971.0298081941</v>
      </c>
      <c r="T228" s="21">
        <f t="shared" si="13"/>
        <v>20894.495663556878</v>
      </c>
      <c r="U228" s="19">
        <v>0</v>
      </c>
      <c r="V228" s="21">
        <f t="shared" si="14"/>
        <v>130865.52547175098</v>
      </c>
    </row>
    <row r="229" spans="1:22" x14ac:dyDescent="0.3">
      <c r="A229" s="7" t="s">
        <v>143</v>
      </c>
      <c r="B229" s="7">
        <v>4</v>
      </c>
      <c r="C229" s="8" t="s">
        <v>186</v>
      </c>
      <c r="D229" s="7" t="s">
        <v>202</v>
      </c>
      <c r="E229" s="7" t="s">
        <v>47</v>
      </c>
      <c r="F229" s="8" t="s">
        <v>50</v>
      </c>
      <c r="G229" s="7" t="s">
        <v>30</v>
      </c>
      <c r="H229" s="9">
        <v>597.45140000000004</v>
      </c>
      <c r="I229" s="9">
        <v>1.6950000000000001</v>
      </c>
      <c r="J229" s="9">
        <v>1.6950000000000001</v>
      </c>
      <c r="K229" s="10">
        <v>1</v>
      </c>
      <c r="L229" s="9">
        <v>19.27</v>
      </c>
      <c r="M229" s="19">
        <f>H229*INDEX('Pliegos Tarifarios (Quilicura)'!$B:$B,MATCH($B229,'Pliegos Tarifarios (Quilicura)'!$A:$A,0))</f>
        <v>70999.929473199998</v>
      </c>
      <c r="N229" s="19">
        <f>I229*INDEX('Pliegos Tarifarios (Quilicura)'!$C:$C,MATCH($B229,'Pliegos Tarifarios (Quilicura)'!$A:$A,0))</f>
        <v>5813.6076149999999</v>
      </c>
      <c r="O229" s="19">
        <f>J229*INDEX('Pliegos Tarifarios (Quilicura)'!$D:$D,MATCH($B229,'Pliegos Tarifarios (Quilicura)'!$A:$A,0))</f>
        <v>23947.671900000001</v>
      </c>
      <c r="P229" s="19">
        <f>H229*INDEX('Pliegos Tarifarios (Quilicura)'!$E:$E,MATCH($B229,'Pliegos Tarifarios (Quilicura)'!$A:$A,0))</f>
        <v>7726.2415048000003</v>
      </c>
      <c r="Q229" s="19" cm="1">
        <f t="array" ref="Q229">H229*_xlfn.IFS(H229&lt;=350,INDEX('Pliegos Tarifarios (Quilicura)'!$F:$F,MATCH($B229,'Pliegos Tarifarios (Quilicura)'!$A:$A,0)),H229&lt;=500,INDEX('Pliegos Tarifarios (Quilicura)'!$G:$G,MATCH($B229,'Pliegos Tarifarios (Quilicura)'!$A:$A,0)),H229&lt;=1000,INDEX('Pliegos Tarifarios (Quilicura)'!$H:$H,MATCH($B229,'Pliegos Tarifarios (Quilicura)'!$A:$A,0)),H229&lt;=5000,INDEX('Pliegos Tarifarios (Quilicura)'!$I:$I,MATCH($B229,'Pliegos Tarifarios (Quilicura)'!$A:$A,0)),H229&gt;5000,INDEX('Pliegos Tarifarios (Quilicura)'!$J:$J,MATCH($B229,'Pliegos Tarifarios (Quilicura)'!$A:$A,0)))/1.19</f>
        <v>1401.2494600000005</v>
      </c>
      <c r="R229" s="19">
        <f>INDEX('Pliegos Tarifarios (Quilicura)'!$K:$K,MATCH($B229,'Pliegos Tarifarios (Quilicura)'!$A:$A,0))</f>
        <v>719.68899999999996</v>
      </c>
      <c r="S229" s="21">
        <f t="shared" si="12"/>
        <v>110608.388953</v>
      </c>
      <c r="T229" s="21">
        <f t="shared" si="13"/>
        <v>21015.593901070002</v>
      </c>
      <c r="U229" s="19">
        <v>0</v>
      </c>
      <c r="V229" s="21">
        <f t="shared" si="14"/>
        <v>131623.98285407</v>
      </c>
    </row>
    <row r="230" spans="1:22" x14ac:dyDescent="0.3">
      <c r="A230" s="7" t="s">
        <v>143</v>
      </c>
      <c r="B230" s="7">
        <v>4</v>
      </c>
      <c r="C230" s="8" t="s">
        <v>186</v>
      </c>
      <c r="D230" s="7" t="s">
        <v>203</v>
      </c>
      <c r="E230" s="7" t="s">
        <v>52</v>
      </c>
      <c r="F230" s="8" t="s">
        <v>53</v>
      </c>
      <c r="G230" s="7" t="s">
        <v>30</v>
      </c>
      <c r="H230" s="9">
        <v>597.85339999999997</v>
      </c>
      <c r="I230" s="9">
        <v>1.6778</v>
      </c>
      <c r="J230" s="9">
        <v>1.6778</v>
      </c>
      <c r="K230" s="10">
        <v>1</v>
      </c>
      <c r="L230" s="9">
        <v>19.29</v>
      </c>
      <c r="M230" s="19">
        <f>H230*INDEX('Pliegos Tarifarios (Quilicura)'!$B:$B,MATCH($B230,'Pliegos Tarifarios (Quilicura)'!$A:$A,0))</f>
        <v>71047.702349199986</v>
      </c>
      <c r="N230" s="19">
        <f>I230*INDEX('Pliegos Tarifarios (Quilicura)'!$C:$C,MATCH($B230,'Pliegos Tarifarios (Quilicura)'!$A:$A,0))</f>
        <v>5754.6140746000001</v>
      </c>
      <c r="O230" s="19">
        <f>J230*INDEX('Pliegos Tarifarios (Quilicura)'!$D:$D,MATCH($B230,'Pliegos Tarifarios (Quilicura)'!$A:$A,0))</f>
        <v>23704.663076000001</v>
      </c>
      <c r="P230" s="19">
        <f>H230*INDEX('Pliegos Tarifarios (Quilicura)'!$E:$E,MATCH($B230,'Pliegos Tarifarios (Quilicura)'!$A:$A,0))</f>
        <v>7731.4401687999998</v>
      </c>
      <c r="Q230" s="19" cm="1">
        <f t="array" ref="Q230">H230*_xlfn.IFS(H230&lt;=350,INDEX('Pliegos Tarifarios (Quilicura)'!$F:$F,MATCH($B230,'Pliegos Tarifarios (Quilicura)'!$A:$A,0)),H230&lt;=500,INDEX('Pliegos Tarifarios (Quilicura)'!$G:$G,MATCH($B230,'Pliegos Tarifarios (Quilicura)'!$A:$A,0)),H230&lt;=1000,INDEX('Pliegos Tarifarios (Quilicura)'!$H:$H,MATCH($B230,'Pliegos Tarifarios (Quilicura)'!$A:$A,0)),H230&lt;=5000,INDEX('Pliegos Tarifarios (Quilicura)'!$I:$I,MATCH($B230,'Pliegos Tarifarios (Quilicura)'!$A:$A,0)),H230&gt;5000,INDEX('Pliegos Tarifarios (Quilicura)'!$J:$J,MATCH($B230,'Pliegos Tarifarios (Quilicura)'!$A:$A,0)))/1.19</f>
        <v>1402.1923020168069</v>
      </c>
      <c r="R230" s="19">
        <f>INDEX('Pliegos Tarifarios (Quilicura)'!$K:$K,MATCH($B230,'Pliegos Tarifarios (Quilicura)'!$A:$A,0))</f>
        <v>719.68899999999996</v>
      </c>
      <c r="S230" s="21">
        <f t="shared" si="12"/>
        <v>110360.30097061679</v>
      </c>
      <c r="T230" s="21">
        <f t="shared" si="13"/>
        <v>20968.457184417191</v>
      </c>
      <c r="U230" s="19">
        <v>0</v>
      </c>
      <c r="V230" s="21">
        <f t="shared" si="14"/>
        <v>131328.75815503398</v>
      </c>
    </row>
    <row r="231" spans="1:22" x14ac:dyDescent="0.3">
      <c r="A231" s="7" t="s">
        <v>143</v>
      </c>
      <c r="B231" s="7">
        <v>4</v>
      </c>
      <c r="C231" s="8" t="s">
        <v>186</v>
      </c>
      <c r="D231" s="7" t="s">
        <v>204</v>
      </c>
      <c r="E231" s="7" t="s">
        <v>55</v>
      </c>
      <c r="F231" s="8" t="s">
        <v>56</v>
      </c>
      <c r="G231" s="7" t="s">
        <v>30</v>
      </c>
      <c r="H231" s="9">
        <v>398.90019999999998</v>
      </c>
      <c r="I231" s="9">
        <v>1.1215999999999999</v>
      </c>
      <c r="J231" s="9">
        <v>1.1215999999999999</v>
      </c>
      <c r="K231" s="10">
        <v>1</v>
      </c>
      <c r="L231" s="9">
        <v>12.87</v>
      </c>
      <c r="M231" s="19">
        <f>H231*INDEX('Pliegos Tarifarios (Quilicura)'!$B:$B,MATCH($B231,'Pliegos Tarifarios (Quilicura)'!$A:$A,0))</f>
        <v>47404.501967599994</v>
      </c>
      <c r="N231" s="19">
        <f>I231*INDEX('Pliegos Tarifarios (Quilicura)'!$C:$C,MATCH($B231,'Pliegos Tarifarios (Quilicura)'!$A:$A,0))</f>
        <v>3846.9276111999998</v>
      </c>
      <c r="O231" s="19">
        <f>J231*INDEX('Pliegos Tarifarios (Quilicura)'!$D:$D,MATCH($B231,'Pliegos Tarifarios (Quilicura)'!$A:$A,0))</f>
        <v>15846.435871999998</v>
      </c>
      <c r="P231" s="19">
        <f>H231*INDEX('Pliegos Tarifarios (Quilicura)'!$E:$E,MATCH($B231,'Pliegos Tarifarios (Quilicura)'!$A:$A,0))</f>
        <v>5158.5773864000003</v>
      </c>
      <c r="Q231" s="19" cm="1">
        <f t="array" ref="Q231">H231*_xlfn.IFS(H231&lt;=350,INDEX('Pliegos Tarifarios (Quilicura)'!$F:$F,MATCH($B231,'Pliegos Tarifarios (Quilicura)'!$A:$A,0)),H231&lt;=500,INDEX('Pliegos Tarifarios (Quilicura)'!$G:$G,MATCH($B231,'Pliegos Tarifarios (Quilicura)'!$A:$A,0)),H231&lt;=1000,INDEX('Pliegos Tarifarios (Quilicura)'!$H:$H,MATCH($B231,'Pliegos Tarifarios (Quilicura)'!$A:$A,0)),H231&lt;=5000,INDEX('Pliegos Tarifarios (Quilicura)'!$I:$I,MATCH($B231,'Pliegos Tarifarios (Quilicura)'!$A:$A,0)),H231&gt;5000,INDEX('Pliegos Tarifarios (Quilicura)'!$J:$J,MATCH($B231,'Pliegos Tarifarios (Quilicura)'!$A:$A,0)))/1.19</f>
        <v>561.81238252100843</v>
      </c>
      <c r="R231" s="19">
        <f>INDEX('Pliegos Tarifarios (Quilicura)'!$K:$K,MATCH($B231,'Pliegos Tarifarios (Quilicura)'!$A:$A,0))</f>
        <v>719.68899999999996</v>
      </c>
      <c r="S231" s="21">
        <f t="shared" si="12"/>
        <v>73537.944219720986</v>
      </c>
      <c r="T231" s="21">
        <f t="shared" si="13"/>
        <v>13972.209401746988</v>
      </c>
      <c r="U231" s="19">
        <v>0</v>
      </c>
      <c r="V231" s="21">
        <f t="shared" si="14"/>
        <v>87510.15362146798</v>
      </c>
    </row>
    <row r="232" spans="1:22" x14ac:dyDescent="0.3">
      <c r="A232" s="7" t="s">
        <v>143</v>
      </c>
      <c r="B232" s="7">
        <v>4</v>
      </c>
      <c r="C232" s="8" t="s">
        <v>186</v>
      </c>
      <c r="D232" s="7" t="s">
        <v>205</v>
      </c>
      <c r="E232" s="7" t="s">
        <v>58</v>
      </c>
      <c r="F232" s="8" t="s">
        <v>59</v>
      </c>
      <c r="G232" s="7" t="s">
        <v>30</v>
      </c>
      <c r="H232" s="9">
        <v>398.51240000000001</v>
      </c>
      <c r="I232" s="9">
        <v>1.1323000000000001</v>
      </c>
      <c r="J232" s="9">
        <v>1.1054999999999999</v>
      </c>
      <c r="K232" s="10">
        <v>0.97633136094674544</v>
      </c>
      <c r="L232" s="9">
        <v>12.86</v>
      </c>
      <c r="M232" s="19">
        <f>H232*INDEX('Pliegos Tarifarios (Quilicura)'!$B:$B,MATCH($B232,'Pliegos Tarifarios (Quilicura)'!$A:$A,0))</f>
        <v>47358.416591200003</v>
      </c>
      <c r="N232" s="19">
        <f>I232*INDEX('Pliegos Tarifarios (Quilicura)'!$C:$C,MATCH($B232,'Pliegos Tarifarios (Quilicura)'!$A:$A,0))</f>
        <v>3883.6270811000004</v>
      </c>
      <c r="O232" s="19">
        <f>J232*INDEX('Pliegos Tarifarios (Quilicura)'!$D:$D,MATCH($B232,'Pliegos Tarifarios (Quilicura)'!$A:$A,0))</f>
        <v>15618.968309999998</v>
      </c>
      <c r="P232" s="19">
        <f>H232*INDEX('Pliegos Tarifarios (Quilicura)'!$E:$E,MATCH($B232,'Pliegos Tarifarios (Quilicura)'!$A:$A,0))</f>
        <v>5153.5623568000001</v>
      </c>
      <c r="Q232" s="19" cm="1">
        <f t="array" ref="Q232">H232*_xlfn.IFS(H232&lt;=350,INDEX('Pliegos Tarifarios (Quilicura)'!$F:$F,MATCH($B232,'Pliegos Tarifarios (Quilicura)'!$A:$A,0)),H232&lt;=500,INDEX('Pliegos Tarifarios (Quilicura)'!$G:$G,MATCH($B232,'Pliegos Tarifarios (Quilicura)'!$A:$A,0)),H232&lt;=1000,INDEX('Pliegos Tarifarios (Quilicura)'!$H:$H,MATCH($B232,'Pliegos Tarifarios (Quilicura)'!$A:$A,0)),H232&lt;=5000,INDEX('Pliegos Tarifarios (Quilicura)'!$I:$I,MATCH($B232,'Pliegos Tarifarios (Quilicura)'!$A:$A,0)),H232&gt;5000,INDEX('Pliegos Tarifarios (Quilicura)'!$J:$J,MATCH($B232,'Pliegos Tarifarios (Quilicura)'!$A:$A,0)))/1.19</f>
        <v>561.26620369747911</v>
      </c>
      <c r="R232" s="19">
        <f>INDEX('Pliegos Tarifarios (Quilicura)'!$K:$K,MATCH($B232,'Pliegos Tarifarios (Quilicura)'!$A:$A,0))</f>
        <v>719.68899999999996</v>
      </c>
      <c r="S232" s="21">
        <f t="shared" si="12"/>
        <v>73295.529542797478</v>
      </c>
      <c r="T232" s="21">
        <f t="shared" si="13"/>
        <v>13926.150613131522</v>
      </c>
      <c r="U232" s="19">
        <v>0</v>
      </c>
      <c r="V232" s="21">
        <f t="shared" si="14"/>
        <v>87221.680155929003</v>
      </c>
    </row>
    <row r="233" spans="1:22" x14ac:dyDescent="0.3">
      <c r="A233" s="7" t="s">
        <v>143</v>
      </c>
      <c r="B233" s="7">
        <v>4</v>
      </c>
      <c r="C233" s="8" t="s">
        <v>186</v>
      </c>
      <c r="D233" s="7" t="s">
        <v>206</v>
      </c>
      <c r="E233" s="7" t="s">
        <v>61</v>
      </c>
      <c r="F233" s="8" t="s">
        <v>62</v>
      </c>
      <c r="G233" s="7" t="s">
        <v>30</v>
      </c>
      <c r="H233" s="9">
        <v>398.28469999999999</v>
      </c>
      <c r="I233" s="9">
        <v>1.1476999999999999</v>
      </c>
      <c r="J233" s="9">
        <v>1.1029</v>
      </c>
      <c r="K233" s="10">
        <v>0.96096540907902761</v>
      </c>
      <c r="L233" s="9">
        <v>12.85</v>
      </c>
      <c r="M233" s="19">
        <f>H233*INDEX('Pliegos Tarifarios (Quilicura)'!$B:$B,MATCH($B233,'Pliegos Tarifarios (Quilicura)'!$A:$A,0))</f>
        <v>47331.357178599996</v>
      </c>
      <c r="N233" s="19">
        <f>I233*INDEX('Pliegos Tarifarios (Quilicura)'!$C:$C,MATCH($B233,'Pliegos Tarifarios (Quilicura)'!$A:$A,0))</f>
        <v>3936.4468788999998</v>
      </c>
      <c r="O233" s="19">
        <f>J233*INDEX('Pliegos Tarifarios (Quilicura)'!$D:$D,MATCH($B233,'Pliegos Tarifarios (Quilicura)'!$A:$A,0))</f>
        <v>15582.234418</v>
      </c>
      <c r="P233" s="19">
        <f>H233*INDEX('Pliegos Tarifarios (Quilicura)'!$E:$E,MATCH($B233,'Pliegos Tarifarios (Quilicura)'!$A:$A,0))</f>
        <v>5150.6177404</v>
      </c>
      <c r="Q233" s="19" cm="1">
        <f t="array" ref="Q233">H233*_xlfn.IFS(H233&lt;=350,INDEX('Pliegos Tarifarios (Quilicura)'!$F:$F,MATCH($B233,'Pliegos Tarifarios (Quilicura)'!$A:$A,0)),H233&lt;=500,INDEX('Pliegos Tarifarios (Quilicura)'!$G:$G,MATCH($B233,'Pliegos Tarifarios (Quilicura)'!$A:$A,0)),H233&lt;=1000,INDEX('Pliegos Tarifarios (Quilicura)'!$H:$H,MATCH($B233,'Pliegos Tarifarios (Quilicura)'!$A:$A,0)),H233&lt;=5000,INDEX('Pliegos Tarifarios (Quilicura)'!$I:$I,MATCH($B233,'Pliegos Tarifarios (Quilicura)'!$A:$A,0)),H233&gt;5000,INDEX('Pliegos Tarifarios (Quilicura)'!$J:$J,MATCH($B233,'Pliegos Tarifarios (Quilicura)'!$A:$A,0)))/1.19</f>
        <v>560.94551025210092</v>
      </c>
      <c r="R233" s="19">
        <f>INDEX('Pliegos Tarifarios (Quilicura)'!$K:$K,MATCH($B233,'Pliegos Tarifarios (Quilicura)'!$A:$A,0))</f>
        <v>719.68899999999996</v>
      </c>
      <c r="S233" s="21">
        <f t="shared" si="12"/>
        <v>73281.290726152103</v>
      </c>
      <c r="T233" s="21">
        <f t="shared" si="13"/>
        <v>13923.445237968899</v>
      </c>
      <c r="U233" s="19">
        <v>0</v>
      </c>
      <c r="V233" s="21">
        <f t="shared" si="14"/>
        <v>87204.735964121006</v>
      </c>
    </row>
    <row r="234" spans="1:22" x14ac:dyDescent="0.3">
      <c r="A234" s="7" t="s">
        <v>143</v>
      </c>
      <c r="B234" s="7">
        <v>4</v>
      </c>
      <c r="C234" s="8" t="s">
        <v>186</v>
      </c>
      <c r="D234" s="7" t="s">
        <v>207</v>
      </c>
      <c r="E234" s="7" t="s">
        <v>34</v>
      </c>
      <c r="F234" s="8" t="s">
        <v>64</v>
      </c>
      <c r="G234" s="7" t="s">
        <v>30</v>
      </c>
      <c r="H234" s="9">
        <v>794.82960000000003</v>
      </c>
      <c r="I234" s="9">
        <v>2.3022</v>
      </c>
      <c r="J234" s="9">
        <v>2.3022</v>
      </c>
      <c r="K234" s="10">
        <v>1</v>
      </c>
      <c r="L234" s="9">
        <v>25.64</v>
      </c>
      <c r="M234" s="19">
        <f>H234*INDEX('Pliegos Tarifarios (Quilicura)'!$B:$B,MATCH($B234,'Pliegos Tarifarios (Quilicura)'!$A:$A,0))</f>
        <v>94455.960004799999</v>
      </c>
      <c r="N234" s="19">
        <f>I234*INDEX('Pliegos Tarifarios (Quilicura)'!$C:$C,MATCH($B234,'Pliegos Tarifarios (Quilicura)'!$A:$A,0))</f>
        <v>7896.2167853999999</v>
      </c>
      <c r="O234" s="19">
        <f>J234*INDEX('Pliegos Tarifarios (Quilicura)'!$D:$D,MATCH($B234,'Pliegos Tarifarios (Quilicura)'!$A:$A,0))</f>
        <v>32526.448523999999</v>
      </c>
      <c r="P234" s="19">
        <f>H234*INDEX('Pliegos Tarifarios (Quilicura)'!$E:$E,MATCH($B234,'Pliegos Tarifarios (Quilicura)'!$A:$A,0))</f>
        <v>10278.736387200001</v>
      </c>
      <c r="Q234" s="19" cm="1">
        <f t="array" ref="Q234">H234*_xlfn.IFS(H234&lt;=350,INDEX('Pliegos Tarifarios (Quilicura)'!$F:$F,MATCH($B234,'Pliegos Tarifarios (Quilicura)'!$A:$A,0)),H234&lt;=500,INDEX('Pliegos Tarifarios (Quilicura)'!$G:$G,MATCH($B234,'Pliegos Tarifarios (Quilicura)'!$A:$A,0)),H234&lt;=1000,INDEX('Pliegos Tarifarios (Quilicura)'!$H:$H,MATCH($B234,'Pliegos Tarifarios (Quilicura)'!$A:$A,0)),H234&lt;=5000,INDEX('Pliegos Tarifarios (Quilicura)'!$I:$I,MATCH($B234,'Pliegos Tarifarios (Quilicura)'!$A:$A,0)),H234&gt;5000,INDEX('Pliegos Tarifarios (Quilicura)'!$J:$J,MATCH($B234,'Pliegos Tarifarios (Quilicura)'!$A:$A,0)))/1.19</f>
        <v>1864.1759778151265</v>
      </c>
      <c r="R234" s="19">
        <f>INDEX('Pliegos Tarifarios (Quilicura)'!$K:$K,MATCH($B234,'Pliegos Tarifarios (Quilicura)'!$A:$A,0))</f>
        <v>719.68899999999996</v>
      </c>
      <c r="S234" s="21">
        <f t="shared" si="12"/>
        <v>147741.22667921515</v>
      </c>
      <c r="T234" s="21">
        <f t="shared" si="13"/>
        <v>28070.833069050877</v>
      </c>
      <c r="U234" s="19">
        <v>0</v>
      </c>
      <c r="V234" s="21">
        <f t="shared" si="14"/>
        <v>175812.05974826604</v>
      </c>
    </row>
    <row r="235" spans="1:22" x14ac:dyDescent="0.3">
      <c r="A235" s="7" t="s">
        <v>143</v>
      </c>
      <c r="B235" s="7">
        <v>4</v>
      </c>
      <c r="C235" s="8" t="s">
        <v>186</v>
      </c>
      <c r="D235" s="7" t="s">
        <v>208</v>
      </c>
      <c r="E235" s="7" t="s">
        <v>34</v>
      </c>
      <c r="F235" s="8" t="s">
        <v>66</v>
      </c>
      <c r="G235" s="7" t="s">
        <v>30</v>
      </c>
      <c r="H235" s="9">
        <v>798.5453</v>
      </c>
      <c r="I235" s="9">
        <v>2.2772999999999999</v>
      </c>
      <c r="J235" s="9">
        <v>2.2772999999999999</v>
      </c>
      <c r="K235" s="10">
        <v>1</v>
      </c>
      <c r="L235" s="9">
        <v>25.76</v>
      </c>
      <c r="M235" s="19">
        <f>H235*INDEX('Pliegos Tarifarios (Quilicura)'!$B:$B,MATCH($B235,'Pliegos Tarifarios (Quilicura)'!$A:$A,0))</f>
        <v>94897.5263614</v>
      </c>
      <c r="N235" s="19">
        <f>I235*INDEX('Pliegos Tarifarios (Quilicura)'!$C:$C,MATCH($B235,'Pliegos Tarifarios (Quilicura)'!$A:$A,0))</f>
        <v>7810.8133460999998</v>
      </c>
      <c r="O235" s="19">
        <f>J235*INDEX('Pliegos Tarifarios (Quilicura)'!$D:$D,MATCH($B235,'Pliegos Tarifarios (Quilicura)'!$A:$A,0))</f>
        <v>32174.650866</v>
      </c>
      <c r="P235" s="19">
        <f>H235*INDEX('Pliegos Tarifarios (Quilicura)'!$E:$E,MATCH($B235,'Pliegos Tarifarios (Quilicura)'!$A:$A,0))</f>
        <v>10326.7878196</v>
      </c>
      <c r="Q235" s="19" cm="1">
        <f t="array" ref="Q235">H235*_xlfn.IFS(H235&lt;=350,INDEX('Pliegos Tarifarios (Quilicura)'!$F:$F,MATCH($B235,'Pliegos Tarifarios (Quilicura)'!$A:$A,0)),H235&lt;=500,INDEX('Pliegos Tarifarios (Quilicura)'!$G:$G,MATCH($B235,'Pliegos Tarifarios (Quilicura)'!$A:$A,0)),H235&lt;=1000,INDEX('Pliegos Tarifarios (Quilicura)'!$H:$H,MATCH($B235,'Pliegos Tarifarios (Quilicura)'!$A:$A,0)),H235&lt;=5000,INDEX('Pliegos Tarifarios (Quilicura)'!$I:$I,MATCH($B235,'Pliegos Tarifarios (Quilicura)'!$A:$A,0)),H235&gt;5000,INDEX('Pliegos Tarifarios (Quilicura)'!$J:$J,MATCH($B235,'Pliegos Tarifarios (Quilicura)'!$A:$A,0)))/1.19</f>
        <v>1872.8906994117651</v>
      </c>
      <c r="R235" s="19">
        <f>INDEX('Pliegos Tarifarios (Quilicura)'!$K:$K,MATCH($B235,'Pliegos Tarifarios (Quilicura)'!$A:$A,0))</f>
        <v>719.68899999999996</v>
      </c>
      <c r="S235" s="21">
        <f t="shared" si="12"/>
        <v>147802.35809251177</v>
      </c>
      <c r="T235" s="21">
        <f t="shared" si="13"/>
        <v>28082.448037577236</v>
      </c>
      <c r="U235" s="19">
        <v>0</v>
      </c>
      <c r="V235" s="21">
        <f t="shared" si="14"/>
        <v>175884.80613008901</v>
      </c>
    </row>
    <row r="236" spans="1:22" x14ac:dyDescent="0.3">
      <c r="A236" s="7" t="s">
        <v>143</v>
      </c>
      <c r="B236" s="7">
        <v>4</v>
      </c>
      <c r="C236" s="8" t="s">
        <v>186</v>
      </c>
      <c r="D236" s="7" t="s">
        <v>209</v>
      </c>
      <c r="E236" s="7" t="s">
        <v>34</v>
      </c>
      <c r="F236" s="8" t="s">
        <v>68</v>
      </c>
      <c r="G236" s="7" t="s">
        <v>30</v>
      </c>
      <c r="H236" s="9">
        <v>796.73699999999997</v>
      </c>
      <c r="I236" s="9">
        <v>2.2383999999999999</v>
      </c>
      <c r="J236" s="9">
        <v>2.1867999999999999</v>
      </c>
      <c r="K236" s="10">
        <v>0.97694781987133661</v>
      </c>
      <c r="L236" s="9">
        <v>25.7</v>
      </c>
      <c r="M236" s="19">
        <f>H236*INDEX('Pliegos Tarifarios (Quilicura)'!$B:$B,MATCH($B236,'Pliegos Tarifarios (Quilicura)'!$A:$A,0))</f>
        <v>94682.631605999995</v>
      </c>
      <c r="N236" s="19">
        <f>I236*INDEX('Pliegos Tarifarios (Quilicura)'!$C:$C,MATCH($B236,'Pliegos Tarifarios (Quilicura)'!$A:$A,0))</f>
        <v>7677.3919087999993</v>
      </c>
      <c r="O236" s="19">
        <f>J236*INDEX('Pliegos Tarifarios (Quilicura)'!$D:$D,MATCH($B236,'Pliegos Tarifarios (Quilicura)'!$A:$A,0))</f>
        <v>30896.028855999997</v>
      </c>
      <c r="P236" s="19">
        <f>H236*INDEX('Pliegos Tarifarios (Quilicura)'!$E:$E,MATCH($B236,'Pliegos Tarifarios (Quilicura)'!$A:$A,0))</f>
        <v>10303.402883999999</v>
      </c>
      <c r="Q236" s="19" cm="1">
        <f t="array" ref="Q236">H236*_xlfn.IFS(H236&lt;=350,INDEX('Pliegos Tarifarios (Quilicura)'!$F:$F,MATCH($B236,'Pliegos Tarifarios (Quilicura)'!$A:$A,0)),H236&lt;=500,INDEX('Pliegos Tarifarios (Quilicura)'!$G:$G,MATCH($B236,'Pliegos Tarifarios (Quilicura)'!$A:$A,0)),H236&lt;=1000,INDEX('Pliegos Tarifarios (Quilicura)'!$H:$H,MATCH($B236,'Pliegos Tarifarios (Quilicura)'!$A:$A,0)),H236&lt;=5000,INDEX('Pliegos Tarifarios (Quilicura)'!$I:$I,MATCH($B236,'Pliegos Tarifarios (Quilicura)'!$A:$A,0)),H236&gt;5000,INDEX('Pliegos Tarifarios (Quilicura)'!$J:$J,MATCH($B236,'Pliegos Tarifarios (Quilicura)'!$A:$A,0)))/1.19</f>
        <v>1868.6495521008408</v>
      </c>
      <c r="R236" s="19">
        <f>INDEX('Pliegos Tarifarios (Quilicura)'!$K:$K,MATCH($B236,'Pliegos Tarifarios (Quilicura)'!$A:$A,0))</f>
        <v>719.68899999999996</v>
      </c>
      <c r="S236" s="21">
        <f t="shared" si="12"/>
        <v>146147.79380690085</v>
      </c>
      <c r="T236" s="21">
        <f t="shared" si="13"/>
        <v>27768.080823311164</v>
      </c>
      <c r="U236" s="19">
        <v>0</v>
      </c>
      <c r="V236" s="21">
        <f t="shared" si="14"/>
        <v>173915.87463021203</v>
      </c>
    </row>
    <row r="237" spans="1:22" x14ac:dyDescent="0.3">
      <c r="A237" s="7" t="s">
        <v>143</v>
      </c>
      <c r="B237" s="7">
        <v>4</v>
      </c>
      <c r="C237" s="8" t="s">
        <v>186</v>
      </c>
      <c r="D237" s="7" t="s">
        <v>210</v>
      </c>
      <c r="E237" s="7" t="s">
        <v>70</v>
      </c>
      <c r="F237" s="8" t="s">
        <v>71</v>
      </c>
      <c r="G237" s="7" t="s">
        <v>30</v>
      </c>
      <c r="H237" s="9">
        <v>995.08860000000004</v>
      </c>
      <c r="I237" s="9">
        <v>2.7997000000000001</v>
      </c>
      <c r="J237" s="9">
        <v>2.7997000000000001</v>
      </c>
      <c r="K237" s="10">
        <v>1</v>
      </c>
      <c r="L237" s="9">
        <v>32.1</v>
      </c>
      <c r="M237" s="19">
        <f>H237*INDEX('Pliegos Tarifarios (Quilicura)'!$B:$B,MATCH($B237,'Pliegos Tarifarios (Quilicura)'!$A:$A,0))</f>
        <v>118254.3390468</v>
      </c>
      <c r="N237" s="19">
        <f>I237*INDEX('Pliegos Tarifarios (Quilicura)'!$C:$C,MATCH($B237,'Pliegos Tarifarios (Quilicura)'!$A:$A,0))</f>
        <v>9602.5706429000002</v>
      </c>
      <c r="O237" s="19">
        <f>J237*INDEX('Pliegos Tarifarios (Quilicura)'!$D:$D,MATCH($B237,'Pliegos Tarifarios (Quilicura)'!$A:$A,0))</f>
        <v>39555.337474</v>
      </c>
      <c r="P237" s="19">
        <f>H237*INDEX('Pliegos Tarifarios (Quilicura)'!$E:$E,MATCH($B237,'Pliegos Tarifarios (Quilicura)'!$A:$A,0))</f>
        <v>12868.485775200001</v>
      </c>
      <c r="Q237" s="19" cm="1">
        <f t="array" ref="Q237">H237*_xlfn.IFS(H237&lt;=350,INDEX('Pliegos Tarifarios (Quilicura)'!$F:$F,MATCH($B237,'Pliegos Tarifarios (Quilicura)'!$A:$A,0)),H237&lt;=500,INDEX('Pliegos Tarifarios (Quilicura)'!$G:$G,MATCH($B237,'Pliegos Tarifarios (Quilicura)'!$A:$A,0)),H237&lt;=1000,INDEX('Pliegos Tarifarios (Quilicura)'!$H:$H,MATCH($B237,'Pliegos Tarifarios (Quilicura)'!$A:$A,0)),H237&lt;=5000,INDEX('Pliegos Tarifarios (Quilicura)'!$I:$I,MATCH($B237,'Pliegos Tarifarios (Quilicura)'!$A:$A,0)),H237&gt;5000,INDEX('Pliegos Tarifarios (Quilicura)'!$J:$J,MATCH($B237,'Pliegos Tarifarios (Quilicura)'!$A:$A,0)))/1.19</f>
        <v>2333.8590610084038</v>
      </c>
      <c r="R237" s="19">
        <f>INDEX('Pliegos Tarifarios (Quilicura)'!$K:$K,MATCH($B237,'Pliegos Tarifarios (Quilicura)'!$A:$A,0))</f>
        <v>719.68899999999996</v>
      </c>
      <c r="S237" s="21">
        <f t="shared" si="12"/>
        <v>183334.28099990843</v>
      </c>
      <c r="T237" s="21">
        <f t="shared" si="13"/>
        <v>34833.513389982603</v>
      </c>
      <c r="U237" s="19">
        <v>0</v>
      </c>
      <c r="V237" s="21">
        <f t="shared" si="14"/>
        <v>218167.79438989103</v>
      </c>
    </row>
    <row r="238" spans="1:22" x14ac:dyDescent="0.3">
      <c r="A238" s="7" t="s">
        <v>143</v>
      </c>
      <c r="B238" s="7">
        <v>4</v>
      </c>
      <c r="C238" s="8" t="s">
        <v>186</v>
      </c>
      <c r="D238" s="7" t="s">
        <v>211</v>
      </c>
      <c r="E238" s="7" t="s">
        <v>73</v>
      </c>
      <c r="F238" s="8" t="s">
        <v>74</v>
      </c>
      <c r="G238" s="7" t="s">
        <v>16</v>
      </c>
      <c r="H238" s="9">
        <v>1592.2058999999999</v>
      </c>
      <c r="I238" s="9">
        <v>4.6155999999999997</v>
      </c>
      <c r="J238" s="9">
        <v>4.2892999999999999</v>
      </c>
      <c r="K238" s="10">
        <v>0.92930496576826416</v>
      </c>
      <c r="L238" s="9">
        <v>51.36</v>
      </c>
      <c r="M238" s="19">
        <f>H238*INDEX('Pliegos Tarifarios (Quilicura)'!$B:$B,MATCH($B238,'Pliegos Tarifarios (Quilicura)'!$A:$A,0))</f>
        <v>189214.56474419998</v>
      </c>
      <c r="N238" s="19">
        <f>I238*INDEX('Pliegos Tarifarios (Quilicura)'!$C:$C,MATCH($B238,'Pliegos Tarifarios (Quilicura)'!$A:$A,0))</f>
        <v>15830.847969199998</v>
      </c>
      <c r="O238" s="19">
        <f>J238*INDEX('Pliegos Tarifarios (Quilicura)'!$D:$D,MATCH($B238,'Pliegos Tarifarios (Quilicura)'!$A:$A,0))</f>
        <v>60601.031905999997</v>
      </c>
      <c r="P238" s="19">
        <f>H238*INDEX('Pliegos Tarifarios (Quilicura)'!$E:$E,MATCH($B238,'Pliegos Tarifarios (Quilicura)'!$A:$A,0))</f>
        <v>20590.406698800001</v>
      </c>
      <c r="Q238" s="19" cm="1">
        <f t="array" ref="Q238">H238*_xlfn.IFS(H238&lt;=350,INDEX('Pliegos Tarifarios (Quilicura)'!$F:$F,MATCH($B238,'Pliegos Tarifarios (Quilicura)'!$A:$A,0)),H238&lt;=500,INDEX('Pliegos Tarifarios (Quilicura)'!$G:$G,MATCH($B238,'Pliegos Tarifarios (Quilicura)'!$A:$A,0)),H238&lt;=1000,INDEX('Pliegos Tarifarios (Quilicura)'!$H:$H,MATCH($B238,'Pliegos Tarifarios (Quilicura)'!$A:$A,0)),H238&lt;=5000,INDEX('Pliegos Tarifarios (Quilicura)'!$I:$I,MATCH($B238,'Pliegos Tarifarios (Quilicura)'!$A:$A,0)),H238&gt;5000,INDEX('Pliegos Tarifarios (Quilicura)'!$J:$J,MATCH($B238,'Pliegos Tarifarios (Quilicura)'!$A:$A,0)))/1.19</f>
        <v>4777.9556881512599</v>
      </c>
      <c r="R238" s="19">
        <f>INDEX('Pliegos Tarifarios (Quilicura)'!$K:$K,MATCH($B238,'Pliegos Tarifarios (Quilicura)'!$A:$A,0))</f>
        <v>719.68899999999996</v>
      </c>
      <c r="S238" s="21">
        <f t="shared" si="12"/>
        <v>291734.4960063512</v>
      </c>
      <c r="T238" s="21">
        <f t="shared" si="13"/>
        <v>55429.55424120673</v>
      </c>
      <c r="U238" s="19">
        <v>0</v>
      </c>
      <c r="V238" s="21">
        <f t="shared" si="14"/>
        <v>347164.05024755793</v>
      </c>
    </row>
    <row r="239" spans="1:22" x14ac:dyDescent="0.3">
      <c r="A239" s="7" t="s">
        <v>143</v>
      </c>
      <c r="B239" s="7">
        <v>4</v>
      </c>
      <c r="C239" s="8" t="s">
        <v>186</v>
      </c>
      <c r="D239" s="7" t="s">
        <v>212</v>
      </c>
      <c r="E239" s="7" t="s">
        <v>73</v>
      </c>
      <c r="F239" s="8" t="s">
        <v>76</v>
      </c>
      <c r="G239" s="7" t="s">
        <v>16</v>
      </c>
      <c r="H239" s="9">
        <v>1193.7746999999999</v>
      </c>
      <c r="I239" s="9">
        <v>3.4582000000000002</v>
      </c>
      <c r="J239" s="9">
        <v>3.3107000000000002</v>
      </c>
      <c r="K239" s="10">
        <v>0.95734775316638721</v>
      </c>
      <c r="L239" s="9">
        <v>38.51</v>
      </c>
      <c r="M239" s="19">
        <f>H239*INDEX('Pliegos Tarifarios (Quilicura)'!$B:$B,MATCH($B239,'Pliegos Tarifarios (Quilicura)'!$A:$A,0))</f>
        <v>141865.79779859999</v>
      </c>
      <c r="N239" s="19">
        <f>I239*INDEX('Pliegos Tarifarios (Quilicura)'!$C:$C,MATCH($B239,'Pliegos Tarifarios (Quilicura)'!$A:$A,0))</f>
        <v>11861.1314774</v>
      </c>
      <c r="O239" s="19">
        <f>J239*INDEX('Pliegos Tarifarios (Quilicura)'!$D:$D,MATCH($B239,'Pliegos Tarifarios (Quilicura)'!$A:$A,0))</f>
        <v>46774.960094000002</v>
      </c>
      <c r="P239" s="19">
        <f>H239*INDEX('Pliegos Tarifarios (Quilicura)'!$E:$E,MATCH($B239,'Pliegos Tarifarios (Quilicura)'!$A:$A,0))</f>
        <v>15437.8944204</v>
      </c>
      <c r="Q239" s="19" cm="1">
        <f t="array" ref="Q239">H239*_xlfn.IFS(H239&lt;=350,INDEX('Pliegos Tarifarios (Quilicura)'!$F:$F,MATCH($B239,'Pliegos Tarifarios (Quilicura)'!$A:$A,0)),H239&lt;=500,INDEX('Pliegos Tarifarios (Quilicura)'!$G:$G,MATCH($B239,'Pliegos Tarifarios (Quilicura)'!$A:$A,0)),H239&lt;=1000,INDEX('Pliegos Tarifarios (Quilicura)'!$H:$H,MATCH($B239,'Pliegos Tarifarios (Quilicura)'!$A:$A,0)),H239&lt;=5000,INDEX('Pliegos Tarifarios (Quilicura)'!$I:$I,MATCH($B239,'Pliegos Tarifarios (Quilicura)'!$A:$A,0)),H239&gt;5000,INDEX('Pliegos Tarifarios (Quilicura)'!$J:$J,MATCH($B239,'Pliegos Tarifarios (Quilicura)'!$A:$A,0)))/1.19</f>
        <v>3582.3272720168065</v>
      </c>
      <c r="R239" s="19">
        <f>INDEX('Pliegos Tarifarios (Quilicura)'!$K:$K,MATCH($B239,'Pliegos Tarifarios (Quilicura)'!$A:$A,0))</f>
        <v>719.68899999999996</v>
      </c>
      <c r="S239" s="21">
        <f t="shared" si="12"/>
        <v>220241.80006241682</v>
      </c>
      <c r="T239" s="21">
        <f t="shared" si="13"/>
        <v>41845.942011859195</v>
      </c>
      <c r="U239" s="19">
        <v>0</v>
      </c>
      <c r="V239" s="21">
        <f t="shared" si="14"/>
        <v>262087.74207427603</v>
      </c>
    </row>
    <row r="240" spans="1:22" x14ac:dyDescent="0.3">
      <c r="A240" s="7" t="s">
        <v>143</v>
      </c>
      <c r="B240" s="7">
        <v>4</v>
      </c>
      <c r="C240" s="8" t="s">
        <v>186</v>
      </c>
      <c r="D240" s="7" t="s">
        <v>213</v>
      </c>
      <c r="E240" s="7" t="s">
        <v>78</v>
      </c>
      <c r="F240" s="8" t="s">
        <v>79</v>
      </c>
      <c r="G240" s="7" t="s">
        <v>16</v>
      </c>
      <c r="H240" s="9">
        <v>997.69280000000003</v>
      </c>
      <c r="I240" s="9">
        <v>2.8384</v>
      </c>
      <c r="J240" s="9">
        <v>2.7879</v>
      </c>
      <c r="K240" s="10">
        <v>0.98220828635851187</v>
      </c>
      <c r="L240" s="9">
        <v>32.18</v>
      </c>
      <c r="M240" s="19">
        <f>H240*INDEX('Pliegos Tarifarios (Quilicura)'!$B:$B,MATCH($B240,'Pliegos Tarifarios (Quilicura)'!$A:$A,0))</f>
        <v>118563.8169664</v>
      </c>
      <c r="N240" s="19">
        <f>I240*INDEX('Pliegos Tarifarios (Quilicura)'!$C:$C,MATCH($B240,'Pliegos Tarifarios (Quilicura)'!$A:$A,0))</f>
        <v>9735.3061087999995</v>
      </c>
      <c r="O240" s="19">
        <f>J240*INDEX('Pliegos Tarifarios (Quilicura)'!$D:$D,MATCH($B240,'Pliegos Tarifarios (Quilicura)'!$A:$A,0))</f>
        <v>39388.622117999999</v>
      </c>
      <c r="P240" s="19">
        <f>H240*INDEX('Pliegos Tarifarios (Quilicura)'!$E:$E,MATCH($B240,'Pliegos Tarifarios (Quilicura)'!$A:$A,0))</f>
        <v>12902.163289600001</v>
      </c>
      <c r="Q240" s="19" cm="1">
        <f t="array" ref="Q240">H240*_xlfn.IFS(H240&lt;=350,INDEX('Pliegos Tarifarios (Quilicura)'!$F:$F,MATCH($B240,'Pliegos Tarifarios (Quilicura)'!$A:$A,0)),H240&lt;=500,INDEX('Pliegos Tarifarios (Quilicura)'!$G:$G,MATCH($B240,'Pliegos Tarifarios (Quilicura)'!$A:$A,0)),H240&lt;=1000,INDEX('Pliegos Tarifarios (Quilicura)'!$H:$H,MATCH($B240,'Pliegos Tarifarios (Quilicura)'!$A:$A,0)),H240&lt;=5000,INDEX('Pliegos Tarifarios (Quilicura)'!$I:$I,MATCH($B240,'Pliegos Tarifarios (Quilicura)'!$A:$A,0)),H240&gt;5000,INDEX('Pliegos Tarifarios (Quilicura)'!$J:$J,MATCH($B240,'Pliegos Tarifarios (Quilicura)'!$A:$A,0)))/1.19</f>
        <v>2339.9668947899163</v>
      </c>
      <c r="R240" s="19">
        <f>INDEX('Pliegos Tarifarios (Quilicura)'!$K:$K,MATCH($B240,'Pliegos Tarifarios (Quilicura)'!$A:$A,0))</f>
        <v>719.68899999999996</v>
      </c>
      <c r="S240" s="21">
        <f t="shared" si="12"/>
        <v>183649.56437758994</v>
      </c>
      <c r="T240" s="21">
        <f t="shared" si="13"/>
        <v>34893.417231742089</v>
      </c>
      <c r="U240" s="19">
        <v>0</v>
      </c>
      <c r="V240" s="21">
        <f t="shared" si="14"/>
        <v>218542.98160933203</v>
      </c>
    </row>
    <row r="241" spans="1:22" x14ac:dyDescent="0.3">
      <c r="A241" s="7" t="s">
        <v>143</v>
      </c>
      <c r="B241" s="7">
        <v>4</v>
      </c>
      <c r="C241" s="8" t="s">
        <v>186</v>
      </c>
      <c r="D241" s="7" t="s">
        <v>214</v>
      </c>
      <c r="E241" s="7" t="s">
        <v>78</v>
      </c>
      <c r="F241" s="8" t="s">
        <v>81</v>
      </c>
      <c r="G241" s="7" t="s">
        <v>16</v>
      </c>
      <c r="H241" s="9">
        <v>664.71939999999995</v>
      </c>
      <c r="I241" s="9">
        <v>1.8772</v>
      </c>
      <c r="J241" s="9">
        <v>1.8702000000000001</v>
      </c>
      <c r="K241" s="10">
        <v>0.99627104197741323</v>
      </c>
      <c r="L241" s="9">
        <v>21.44</v>
      </c>
      <c r="M241" s="19">
        <f>H241*INDEX('Pliegos Tarifarios (Quilicura)'!$B:$B,MATCH($B241,'Pliegos Tarifarios (Quilicura)'!$A:$A,0))</f>
        <v>78993.924057199984</v>
      </c>
      <c r="N241" s="19">
        <f>I241*INDEX('Pliegos Tarifarios (Quilicura)'!$C:$C,MATCH($B241,'Pliegos Tarifarios (Quilicura)'!$A:$A,0))</f>
        <v>6438.5275603999999</v>
      </c>
      <c r="O241" s="19">
        <f>J241*INDEX('Pliegos Tarifarios (Quilicura)'!$D:$D,MATCH($B241,'Pliegos Tarifarios (Quilicura)'!$A:$A,0))</f>
        <v>26422.971084000001</v>
      </c>
      <c r="P241" s="19">
        <f>H241*INDEX('Pliegos Tarifarios (Quilicura)'!$E:$E,MATCH($B241,'Pliegos Tarifarios (Quilicura)'!$A:$A,0))</f>
        <v>8596.1512807999989</v>
      </c>
      <c r="Q241" s="19" cm="1">
        <f t="array" ref="Q241">H241*_xlfn.IFS(H241&lt;=350,INDEX('Pliegos Tarifarios (Quilicura)'!$F:$F,MATCH($B241,'Pliegos Tarifarios (Quilicura)'!$A:$A,0)),H241&lt;=500,INDEX('Pliegos Tarifarios (Quilicura)'!$G:$G,MATCH($B241,'Pliegos Tarifarios (Quilicura)'!$A:$A,0)),H241&lt;=1000,INDEX('Pliegos Tarifarios (Quilicura)'!$H:$H,MATCH($B241,'Pliegos Tarifarios (Quilicura)'!$A:$A,0)),H241&lt;=5000,INDEX('Pliegos Tarifarios (Quilicura)'!$I:$I,MATCH($B241,'Pliegos Tarifarios (Quilicura)'!$A:$A,0)),H241&gt;5000,INDEX('Pliegos Tarifarios (Quilicura)'!$J:$J,MATCH($B241,'Pliegos Tarifarios (Quilicura)'!$A:$A,0)))/1.19</f>
        <v>1559.0183574789917</v>
      </c>
      <c r="R241" s="19">
        <f>INDEX('Pliegos Tarifarios (Quilicura)'!$K:$K,MATCH($B241,'Pliegos Tarifarios (Quilicura)'!$A:$A,0))</f>
        <v>719.68899999999996</v>
      </c>
      <c r="S241" s="21">
        <f t="shared" si="12"/>
        <v>122730.28133987899</v>
      </c>
      <c r="T241" s="21">
        <f t="shared" si="13"/>
        <v>23318.753454577007</v>
      </c>
      <c r="U241" s="19">
        <v>0</v>
      </c>
      <c r="V241" s="21">
        <f t="shared" si="14"/>
        <v>146049.03479445601</v>
      </c>
    </row>
    <row r="242" spans="1:22" x14ac:dyDescent="0.3">
      <c r="A242" s="7" t="s">
        <v>143</v>
      </c>
      <c r="B242" s="7">
        <v>4</v>
      </c>
      <c r="C242" s="8" t="s">
        <v>186</v>
      </c>
      <c r="D242" s="7" t="s">
        <v>215</v>
      </c>
      <c r="E242" s="7" t="s">
        <v>78</v>
      </c>
      <c r="F242" s="8" t="s">
        <v>83</v>
      </c>
      <c r="G242" s="7" t="s">
        <v>16</v>
      </c>
      <c r="H242" s="9">
        <v>664.31560000000002</v>
      </c>
      <c r="I242" s="9">
        <v>1.9709000000000001</v>
      </c>
      <c r="J242" s="9">
        <v>1.8334999999999999</v>
      </c>
      <c r="K242" s="10">
        <v>0.93028565629915261</v>
      </c>
      <c r="L242" s="9">
        <v>21.43</v>
      </c>
      <c r="M242" s="19">
        <f>H242*INDEX('Pliegos Tarifarios (Quilicura)'!$B:$B,MATCH($B242,'Pliegos Tarifarios (Quilicura)'!$A:$A,0))</f>
        <v>78945.937272800002</v>
      </c>
      <c r="N242" s="19">
        <f>I242*INDEX('Pliegos Tarifarios (Quilicura)'!$C:$C,MATCH($B242,'Pliegos Tarifarios (Quilicura)'!$A:$A,0))</f>
        <v>6759.9051613000001</v>
      </c>
      <c r="O242" s="19">
        <f>J242*INDEX('Pliegos Tarifarios (Quilicura)'!$D:$D,MATCH($B242,'Pliegos Tarifarios (Quilicura)'!$A:$A,0))</f>
        <v>25904.458070000001</v>
      </c>
      <c r="P242" s="19">
        <f>H242*INDEX('Pliegos Tarifarios (Quilicura)'!$E:$E,MATCH($B242,'Pliegos Tarifarios (Quilicura)'!$A:$A,0))</f>
        <v>8590.9293392</v>
      </c>
      <c r="Q242" s="19" cm="1">
        <f t="array" ref="Q242">H242*_xlfn.IFS(H242&lt;=350,INDEX('Pliegos Tarifarios (Quilicura)'!$F:$F,MATCH($B242,'Pliegos Tarifarios (Quilicura)'!$A:$A,0)),H242&lt;=500,INDEX('Pliegos Tarifarios (Quilicura)'!$G:$G,MATCH($B242,'Pliegos Tarifarios (Quilicura)'!$A:$A,0)),H242&lt;=1000,INDEX('Pliegos Tarifarios (Quilicura)'!$H:$H,MATCH($B242,'Pliegos Tarifarios (Quilicura)'!$A:$A,0)),H242&lt;=5000,INDEX('Pliegos Tarifarios (Quilicura)'!$I:$I,MATCH($B242,'Pliegos Tarifarios (Quilicura)'!$A:$A,0)),H242&gt;5000,INDEX('Pliegos Tarifarios (Quilicura)'!$J:$J,MATCH($B242,'Pliegos Tarifarios (Quilicura)'!$A:$A,0)))/1.19</f>
        <v>1558.0712937815128</v>
      </c>
      <c r="R242" s="19">
        <f>INDEX('Pliegos Tarifarios (Quilicura)'!$K:$K,MATCH($B242,'Pliegos Tarifarios (Quilicura)'!$A:$A,0))</f>
        <v>719.68899999999996</v>
      </c>
      <c r="S242" s="21">
        <f t="shared" si="12"/>
        <v>122478.99013708152</v>
      </c>
      <c r="T242" s="21">
        <f t="shared" si="13"/>
        <v>23271.00812604549</v>
      </c>
      <c r="U242" s="19">
        <v>0</v>
      </c>
      <c r="V242" s="21">
        <f t="shared" si="14"/>
        <v>145749.998263127</v>
      </c>
    </row>
    <row r="243" spans="1:22" x14ac:dyDescent="0.3">
      <c r="A243" s="7" t="s">
        <v>143</v>
      </c>
      <c r="B243" s="7">
        <v>4</v>
      </c>
      <c r="C243" s="8" t="s">
        <v>186</v>
      </c>
      <c r="D243" s="7" t="s">
        <v>216</v>
      </c>
      <c r="E243" s="7" t="s">
        <v>78</v>
      </c>
      <c r="F243" s="8" t="s">
        <v>85</v>
      </c>
      <c r="G243" s="7" t="s">
        <v>16</v>
      </c>
      <c r="H243" s="9">
        <v>795.27250000000004</v>
      </c>
      <c r="I243" s="9">
        <v>2.2161</v>
      </c>
      <c r="J243" s="9">
        <v>2.1894</v>
      </c>
      <c r="K243" s="10">
        <v>0.98795180722891573</v>
      </c>
      <c r="L243" s="9">
        <v>25.65</v>
      </c>
      <c r="M243" s="19">
        <f>H243*INDEX('Pliegos Tarifarios (Quilicura)'!$B:$B,MATCH($B243,'Pliegos Tarifarios (Quilicura)'!$A:$A,0))</f>
        <v>94508.593355000005</v>
      </c>
      <c r="N243" s="19">
        <f>I243*INDEX('Pliegos Tarifarios (Quilicura)'!$C:$C,MATCH($B243,'Pliegos Tarifarios (Quilicura)'!$A:$A,0))</f>
        <v>7600.9060976999999</v>
      </c>
      <c r="O243" s="19">
        <f>J243*INDEX('Pliegos Tarifarios (Quilicura)'!$D:$D,MATCH($B243,'Pliegos Tarifarios (Quilicura)'!$A:$A,0))</f>
        <v>30932.762748000001</v>
      </c>
      <c r="P243" s="19">
        <f>H243*INDEX('Pliegos Tarifarios (Quilicura)'!$E:$E,MATCH($B243,'Pliegos Tarifarios (Quilicura)'!$A:$A,0))</f>
        <v>10284.463970000001</v>
      </c>
      <c r="Q243" s="19" cm="1">
        <f t="array" ref="Q243">H243*_xlfn.IFS(H243&lt;=350,INDEX('Pliegos Tarifarios (Quilicura)'!$F:$F,MATCH($B243,'Pliegos Tarifarios (Quilicura)'!$A:$A,0)),H243&lt;=500,INDEX('Pliegos Tarifarios (Quilicura)'!$G:$G,MATCH($B243,'Pliegos Tarifarios (Quilicura)'!$A:$A,0)),H243&lt;=1000,INDEX('Pliegos Tarifarios (Quilicura)'!$H:$H,MATCH($B243,'Pliegos Tarifarios (Quilicura)'!$A:$A,0)),H243&lt;=5000,INDEX('Pliegos Tarifarios (Quilicura)'!$I:$I,MATCH($B243,'Pliegos Tarifarios (Quilicura)'!$A:$A,0)),H243&gt;5000,INDEX('Pliegos Tarifarios (Quilicura)'!$J:$J,MATCH($B243,'Pliegos Tarifarios (Quilicura)'!$A:$A,0)))/1.19</f>
        <v>1865.2147457983197</v>
      </c>
      <c r="R243" s="19">
        <f>INDEX('Pliegos Tarifarios (Quilicura)'!$K:$K,MATCH($B243,'Pliegos Tarifarios (Quilicura)'!$A:$A,0))</f>
        <v>719.68899999999996</v>
      </c>
      <c r="S243" s="21">
        <f t="shared" si="12"/>
        <v>145911.62991649835</v>
      </c>
      <c r="T243" s="21">
        <f t="shared" si="13"/>
        <v>27723.209684134687</v>
      </c>
      <c r="U243" s="19">
        <v>0</v>
      </c>
      <c r="V243" s="21">
        <f t="shared" si="14"/>
        <v>173634.83960063304</v>
      </c>
    </row>
    <row r="244" spans="1:22" x14ac:dyDescent="0.3">
      <c r="A244" s="7" t="s">
        <v>143</v>
      </c>
      <c r="B244" s="7">
        <v>4</v>
      </c>
      <c r="C244" s="8" t="s">
        <v>186</v>
      </c>
      <c r="D244" s="7" t="s">
        <v>217</v>
      </c>
      <c r="E244" s="7" t="s">
        <v>78</v>
      </c>
      <c r="F244" s="8" t="s">
        <v>87</v>
      </c>
      <c r="G244" s="7" t="s">
        <v>16</v>
      </c>
      <c r="H244" s="9">
        <v>798.06659999999999</v>
      </c>
      <c r="I244" s="9">
        <v>2.2418</v>
      </c>
      <c r="J244" s="9">
        <v>2.1797</v>
      </c>
      <c r="K244" s="10">
        <v>0.97229904540993839</v>
      </c>
      <c r="L244" s="9">
        <v>25.74</v>
      </c>
      <c r="M244" s="19">
        <f>H244*INDEX('Pliegos Tarifarios (Quilicura)'!$B:$B,MATCH($B244,'Pliegos Tarifarios (Quilicura)'!$A:$A,0))</f>
        <v>94840.638610800001</v>
      </c>
      <c r="N244" s="19">
        <f>I244*INDEX('Pliegos Tarifarios (Quilicura)'!$C:$C,MATCH($B244,'Pliegos Tarifarios (Quilicura)'!$A:$A,0))</f>
        <v>7689.0534226</v>
      </c>
      <c r="O244" s="19">
        <f>J244*INDEX('Pliegos Tarifarios (Quilicura)'!$D:$D,MATCH($B244,'Pliegos Tarifarios (Quilicura)'!$A:$A,0))</f>
        <v>30795.717074</v>
      </c>
      <c r="P244" s="19">
        <f>H244*INDEX('Pliegos Tarifarios (Quilicura)'!$E:$E,MATCH($B244,'Pliegos Tarifarios (Quilicura)'!$A:$A,0))</f>
        <v>10320.5972712</v>
      </c>
      <c r="Q244" s="19" cm="1">
        <f t="array" ref="Q244">H244*_xlfn.IFS(H244&lt;=350,INDEX('Pliegos Tarifarios (Quilicura)'!$F:$F,MATCH($B244,'Pliegos Tarifarios (Quilicura)'!$A:$A,0)),H244&lt;=500,INDEX('Pliegos Tarifarios (Quilicura)'!$G:$G,MATCH($B244,'Pliegos Tarifarios (Quilicura)'!$A:$A,0)),H244&lt;=1000,INDEX('Pliegos Tarifarios (Quilicura)'!$H:$H,MATCH($B244,'Pliegos Tarifarios (Quilicura)'!$A:$A,0)),H244&lt;=5000,INDEX('Pliegos Tarifarios (Quilicura)'!$I:$I,MATCH($B244,'Pliegos Tarifarios (Quilicura)'!$A:$A,0)),H244&gt;5000,INDEX('Pliegos Tarifarios (Quilicura)'!$J:$J,MATCH($B244,'Pliegos Tarifarios (Quilicura)'!$A:$A,0)))/1.19</f>
        <v>1871.7679668907567</v>
      </c>
      <c r="R244" s="19">
        <f>INDEX('Pliegos Tarifarios (Quilicura)'!$K:$K,MATCH($B244,'Pliegos Tarifarios (Quilicura)'!$A:$A,0))</f>
        <v>719.68899999999996</v>
      </c>
      <c r="S244" s="21">
        <f t="shared" si="12"/>
        <v>146237.46334549077</v>
      </c>
      <c r="T244" s="21">
        <f t="shared" si="13"/>
        <v>27785.118035643249</v>
      </c>
      <c r="U244" s="19">
        <v>0</v>
      </c>
      <c r="V244" s="21">
        <f t="shared" si="14"/>
        <v>174022.58138113402</v>
      </c>
    </row>
    <row r="245" spans="1:22" x14ac:dyDescent="0.3">
      <c r="A245" s="7" t="s">
        <v>143</v>
      </c>
      <c r="B245" s="7">
        <v>4</v>
      </c>
      <c r="C245" s="8" t="s">
        <v>186</v>
      </c>
      <c r="D245" s="7" t="s">
        <v>218</v>
      </c>
      <c r="E245" s="7" t="s">
        <v>78</v>
      </c>
      <c r="F245" s="8" t="s">
        <v>89</v>
      </c>
      <c r="G245" s="7" t="s">
        <v>16</v>
      </c>
      <c r="H245" s="9">
        <v>997.86519999999996</v>
      </c>
      <c r="I245" s="9">
        <v>2.8433999999999999</v>
      </c>
      <c r="J245" s="9">
        <v>2.7524999999999999</v>
      </c>
      <c r="K245" s="10">
        <v>0.96803123021734538</v>
      </c>
      <c r="L245" s="9">
        <v>32.19</v>
      </c>
      <c r="M245" s="19">
        <f>H245*INDEX('Pliegos Tarifarios (Quilicura)'!$B:$B,MATCH($B245,'Pliegos Tarifarios (Quilicura)'!$A:$A,0))</f>
        <v>118584.30463759998</v>
      </c>
      <c r="N245" s="19">
        <f>I245*INDEX('Pliegos Tarifarios (Quilicura)'!$C:$C,MATCH($B245,'Pliegos Tarifarios (Quilicura)'!$A:$A,0))</f>
        <v>9752.455393799999</v>
      </c>
      <c r="O245" s="19">
        <f>J245*INDEX('Pliegos Tarifarios (Quilicura)'!$D:$D,MATCH($B245,'Pliegos Tarifarios (Quilicura)'!$A:$A,0))</f>
        <v>38888.476049999997</v>
      </c>
      <c r="P245" s="19">
        <f>H245*INDEX('Pliegos Tarifarios (Quilicura)'!$E:$E,MATCH($B245,'Pliegos Tarifarios (Quilicura)'!$A:$A,0))</f>
        <v>12904.3927664</v>
      </c>
      <c r="Q245" s="19" cm="1">
        <f t="array" ref="Q245">H245*_xlfn.IFS(H245&lt;=350,INDEX('Pliegos Tarifarios (Quilicura)'!$F:$F,MATCH($B245,'Pliegos Tarifarios (Quilicura)'!$A:$A,0)),H245&lt;=500,INDEX('Pliegos Tarifarios (Quilicura)'!$G:$G,MATCH($B245,'Pliegos Tarifarios (Quilicura)'!$A:$A,0)),H245&lt;=1000,INDEX('Pliegos Tarifarios (Quilicura)'!$H:$H,MATCH($B245,'Pliegos Tarifarios (Quilicura)'!$A:$A,0)),H245&lt;=5000,INDEX('Pliegos Tarifarios (Quilicura)'!$I:$I,MATCH($B245,'Pliegos Tarifarios (Quilicura)'!$A:$A,0)),H245&gt;5000,INDEX('Pliegos Tarifarios (Quilicura)'!$J:$J,MATCH($B245,'Pliegos Tarifarios (Quilicura)'!$A:$A,0)))/1.19</f>
        <v>2340.3712379831936</v>
      </c>
      <c r="R245" s="19">
        <f>INDEX('Pliegos Tarifarios (Quilicura)'!$K:$K,MATCH($B245,'Pliegos Tarifarios (Quilicura)'!$A:$A,0))</f>
        <v>719.68899999999996</v>
      </c>
      <c r="S245" s="21">
        <f t="shared" si="12"/>
        <v>183189.6890857832</v>
      </c>
      <c r="T245" s="21">
        <f t="shared" si="13"/>
        <v>34806.040926298811</v>
      </c>
      <c r="U245" s="19">
        <v>0</v>
      </c>
      <c r="V245" s="21">
        <f t="shared" si="14"/>
        <v>217995.73001208203</v>
      </c>
    </row>
    <row r="246" spans="1:22" x14ac:dyDescent="0.3">
      <c r="A246" s="7" t="s">
        <v>143</v>
      </c>
      <c r="B246" s="7">
        <v>4</v>
      </c>
      <c r="C246" s="8" t="s">
        <v>186</v>
      </c>
      <c r="D246" s="7" t="s">
        <v>219</v>
      </c>
      <c r="E246" s="7" t="s">
        <v>91</v>
      </c>
      <c r="F246" s="8" t="s">
        <v>92</v>
      </c>
      <c r="G246" s="7" t="s">
        <v>16</v>
      </c>
      <c r="H246" s="9">
        <v>796.93230000000005</v>
      </c>
      <c r="I246" s="9">
        <v>2.3096999999999999</v>
      </c>
      <c r="J246" s="9">
        <v>2.3096999999999999</v>
      </c>
      <c r="K246" s="10">
        <v>1</v>
      </c>
      <c r="L246" s="9">
        <v>25.71</v>
      </c>
      <c r="M246" s="19">
        <f>H246*INDEX('Pliegos Tarifarios (Quilicura)'!$B:$B,MATCH($B246,'Pliegos Tarifarios (Quilicura)'!$A:$A,0))</f>
        <v>94705.8406674</v>
      </c>
      <c r="N246" s="19">
        <f>I246*INDEX('Pliegos Tarifarios (Quilicura)'!$C:$C,MATCH($B246,'Pliegos Tarifarios (Quilicura)'!$A:$A,0))</f>
        <v>7921.9407128999992</v>
      </c>
      <c r="O246" s="19">
        <f>J246*INDEX('Pliegos Tarifarios (Quilicura)'!$D:$D,MATCH($B246,'Pliegos Tarifarios (Quilicura)'!$A:$A,0))</f>
        <v>32632.411673999999</v>
      </c>
      <c r="P246" s="19">
        <f>H246*INDEX('Pliegos Tarifarios (Quilicura)'!$E:$E,MATCH($B246,'Pliegos Tarifarios (Quilicura)'!$A:$A,0))</f>
        <v>10305.9285036</v>
      </c>
      <c r="Q246" s="19" cm="1">
        <f t="array" ref="Q246">H246*_xlfn.IFS(H246&lt;=350,INDEX('Pliegos Tarifarios (Quilicura)'!$F:$F,MATCH($B246,'Pliegos Tarifarios (Quilicura)'!$A:$A,0)),H246&lt;=500,INDEX('Pliegos Tarifarios (Quilicura)'!$G:$G,MATCH($B246,'Pliegos Tarifarios (Quilicura)'!$A:$A,0)),H246&lt;=1000,INDEX('Pliegos Tarifarios (Quilicura)'!$H:$H,MATCH($B246,'Pliegos Tarifarios (Quilicura)'!$A:$A,0)),H246&lt;=5000,INDEX('Pliegos Tarifarios (Quilicura)'!$I:$I,MATCH($B246,'Pliegos Tarifarios (Quilicura)'!$A:$A,0)),H246&gt;5000,INDEX('Pliegos Tarifarios (Quilicura)'!$J:$J,MATCH($B246,'Pliegos Tarifarios (Quilicura)'!$A:$A,0)))/1.19</f>
        <v>1869.107604453782</v>
      </c>
      <c r="R246" s="19">
        <f>INDEX('Pliegos Tarifarios (Quilicura)'!$K:$K,MATCH($B246,'Pliegos Tarifarios (Quilicura)'!$A:$A,0))</f>
        <v>719.68899999999996</v>
      </c>
      <c r="S246" s="21">
        <f t="shared" si="12"/>
        <v>148154.9181623538</v>
      </c>
      <c r="T246" s="21">
        <f t="shared" si="13"/>
        <v>28149.434450847224</v>
      </c>
      <c r="U246" s="19">
        <v>0</v>
      </c>
      <c r="V246" s="21">
        <f t="shared" si="14"/>
        <v>176304.35261320102</v>
      </c>
    </row>
    <row r="247" spans="1:22" x14ac:dyDescent="0.3">
      <c r="A247" s="7" t="s">
        <v>143</v>
      </c>
      <c r="B247" s="7">
        <v>4</v>
      </c>
      <c r="C247" s="8" t="s">
        <v>186</v>
      </c>
      <c r="D247" s="7" t="s">
        <v>220</v>
      </c>
      <c r="E247" s="7" t="s">
        <v>94</v>
      </c>
      <c r="F247" s="8" t="s">
        <v>95</v>
      </c>
      <c r="G247" s="7" t="s">
        <v>16</v>
      </c>
      <c r="H247" s="9">
        <v>598.42579999999998</v>
      </c>
      <c r="I247" s="9">
        <v>1.6950000000000001</v>
      </c>
      <c r="J247" s="9">
        <v>1.6620999999999999</v>
      </c>
      <c r="K247" s="10">
        <v>0.98058997050147478</v>
      </c>
      <c r="L247" s="9">
        <v>19.3</v>
      </c>
      <c r="M247" s="19">
        <f>H247*INDEX('Pliegos Tarifarios (Quilicura)'!$B:$B,MATCH($B247,'Pliegos Tarifarios (Quilicura)'!$A:$A,0))</f>
        <v>71115.725220399996</v>
      </c>
      <c r="N247" s="19">
        <f>I247*INDEX('Pliegos Tarifarios (Quilicura)'!$C:$C,MATCH($B247,'Pliegos Tarifarios (Quilicura)'!$A:$A,0))</f>
        <v>5813.6076149999999</v>
      </c>
      <c r="O247" s="19">
        <f>J247*INDEX('Pliegos Tarifarios (Quilicura)'!$D:$D,MATCH($B247,'Pliegos Tarifarios (Quilicura)'!$A:$A,0))</f>
        <v>23482.846881999998</v>
      </c>
      <c r="P247" s="19">
        <f>H247*INDEX('Pliegos Tarifarios (Quilicura)'!$E:$E,MATCH($B247,'Pliegos Tarifarios (Quilicura)'!$A:$A,0))</f>
        <v>7738.8424456000002</v>
      </c>
      <c r="Q247" s="19" cm="1">
        <f t="array" ref="Q247">H247*_xlfn.IFS(H247&lt;=350,INDEX('Pliegos Tarifarios (Quilicura)'!$F:$F,MATCH($B247,'Pliegos Tarifarios (Quilicura)'!$A:$A,0)),H247&lt;=500,INDEX('Pliegos Tarifarios (Quilicura)'!$G:$G,MATCH($B247,'Pliegos Tarifarios (Quilicura)'!$A:$A,0)),H247&lt;=1000,INDEX('Pliegos Tarifarios (Quilicura)'!$H:$H,MATCH($B247,'Pliegos Tarifarios (Quilicura)'!$A:$A,0)),H247&lt;=5000,INDEX('Pliegos Tarifarios (Quilicura)'!$I:$I,MATCH($B247,'Pliegos Tarifarios (Quilicura)'!$A:$A,0)),H247&gt;5000,INDEX('Pliegos Tarifarios (Quilicura)'!$J:$J,MATCH($B247,'Pliegos Tarifarios (Quilicura)'!$A:$A,0)))/1.19</f>
        <v>1403.5347964705884</v>
      </c>
      <c r="R247" s="19">
        <f>INDEX('Pliegos Tarifarios (Quilicura)'!$K:$K,MATCH($B247,'Pliegos Tarifarios (Quilicura)'!$A:$A,0))</f>
        <v>719.68899999999996</v>
      </c>
      <c r="S247" s="21">
        <f t="shared" si="12"/>
        <v>110274.24595947059</v>
      </c>
      <c r="T247" s="21">
        <f t="shared" si="13"/>
        <v>20952.106732299413</v>
      </c>
      <c r="U247" s="19">
        <v>0</v>
      </c>
      <c r="V247" s="21">
        <f t="shared" si="14"/>
        <v>131226.35269177001</v>
      </c>
    </row>
    <row r="248" spans="1:22" x14ac:dyDescent="0.3">
      <c r="A248" s="7" t="s">
        <v>143</v>
      </c>
      <c r="B248" s="7">
        <v>4</v>
      </c>
      <c r="C248" s="8" t="s">
        <v>186</v>
      </c>
      <c r="D248" s="7" t="s">
        <v>221</v>
      </c>
      <c r="E248" s="7" t="s">
        <v>91</v>
      </c>
      <c r="F248" s="8" t="s">
        <v>97</v>
      </c>
      <c r="G248" s="7" t="s">
        <v>16</v>
      </c>
      <c r="H248" s="9">
        <v>599.81579999999997</v>
      </c>
      <c r="I248" s="9">
        <v>1.6395999999999999</v>
      </c>
      <c r="J248" s="9">
        <v>1.6395999999999999</v>
      </c>
      <c r="K248" s="10">
        <v>1</v>
      </c>
      <c r="L248" s="9">
        <v>19.350000000000001</v>
      </c>
      <c r="M248" s="19">
        <f>H248*INDEX('Pliegos Tarifarios (Quilicura)'!$B:$B,MATCH($B248,'Pliegos Tarifarios (Quilicura)'!$A:$A,0))</f>
        <v>71280.910040399991</v>
      </c>
      <c r="N248" s="19">
        <f>I248*INDEX('Pliegos Tarifarios (Quilicura)'!$C:$C,MATCH($B248,'Pliegos Tarifarios (Quilicura)'!$A:$A,0))</f>
        <v>5623.5935371999994</v>
      </c>
      <c r="O248" s="19">
        <f>J248*INDEX('Pliegos Tarifarios (Quilicura)'!$D:$D,MATCH($B248,'Pliegos Tarifarios (Quilicura)'!$A:$A,0))</f>
        <v>23164.957431999999</v>
      </c>
      <c r="P248" s="19">
        <f>H248*INDEX('Pliegos Tarifarios (Quilicura)'!$E:$E,MATCH($B248,'Pliegos Tarifarios (Quilicura)'!$A:$A,0))</f>
        <v>7756.8179255999994</v>
      </c>
      <c r="Q248" s="19" cm="1">
        <f t="array" ref="Q248">H248*_xlfn.IFS(H248&lt;=350,INDEX('Pliegos Tarifarios (Quilicura)'!$F:$F,MATCH($B248,'Pliegos Tarifarios (Quilicura)'!$A:$A,0)),H248&lt;=500,INDEX('Pliegos Tarifarios (Quilicura)'!$G:$G,MATCH($B248,'Pliegos Tarifarios (Quilicura)'!$A:$A,0)),H248&lt;=1000,INDEX('Pliegos Tarifarios (Quilicura)'!$H:$H,MATCH($B248,'Pliegos Tarifarios (Quilicura)'!$A:$A,0)),H248&lt;=5000,INDEX('Pliegos Tarifarios (Quilicura)'!$I:$I,MATCH($B248,'Pliegos Tarifarios (Quilicura)'!$A:$A,0)),H248&gt;5000,INDEX('Pliegos Tarifarios (Quilicura)'!$J:$J,MATCH($B248,'Pliegos Tarifarios (Quilicura)'!$A:$A,0)))/1.19</f>
        <v>1406.7948721008404</v>
      </c>
      <c r="R248" s="19">
        <f>INDEX('Pliegos Tarifarios (Quilicura)'!$K:$K,MATCH($B248,'Pliegos Tarifarios (Quilicura)'!$A:$A,0))</f>
        <v>719.68899999999996</v>
      </c>
      <c r="S248" s="21">
        <f t="shared" si="12"/>
        <v>109952.76280730082</v>
      </c>
      <c r="T248" s="21">
        <f t="shared" si="13"/>
        <v>20891.024933387158</v>
      </c>
      <c r="U248" s="19">
        <v>0</v>
      </c>
      <c r="V248" s="21">
        <f t="shared" si="14"/>
        <v>130843.78774068799</v>
      </c>
    </row>
    <row r="249" spans="1:22" x14ac:dyDescent="0.3">
      <c r="A249" s="7" t="s">
        <v>143</v>
      </c>
      <c r="B249" s="7">
        <v>4</v>
      </c>
      <c r="C249" s="8" t="s">
        <v>186</v>
      </c>
      <c r="D249" s="7" t="s">
        <v>222</v>
      </c>
      <c r="E249" s="7" t="s">
        <v>99</v>
      </c>
      <c r="F249" s="8" t="s">
        <v>100</v>
      </c>
      <c r="G249" s="7" t="s">
        <v>16</v>
      </c>
      <c r="H249" s="9">
        <v>2983.8373999999999</v>
      </c>
      <c r="I249" s="9">
        <v>8.9977999999999998</v>
      </c>
      <c r="J249" s="9">
        <v>8.9977999999999998</v>
      </c>
      <c r="K249" s="10">
        <v>1</v>
      </c>
      <c r="L249" s="9">
        <v>96.25</v>
      </c>
      <c r="M249" s="19">
        <f>H249*INDEX('Pliegos Tarifarios (Quilicura)'!$B:$B,MATCH($B249,'Pliegos Tarifarios (Quilicura)'!$A:$A,0))</f>
        <v>354593.26894119999</v>
      </c>
      <c r="N249" s="19">
        <f>I249*INDEX('Pliegos Tarifarios (Quilicura)'!$C:$C,MATCH($B249,'Pliegos Tarifarios (Quilicura)'!$A:$A,0))</f>
        <v>30861.167314599999</v>
      </c>
      <c r="O249" s="19">
        <f>J249*INDEX('Pliegos Tarifarios (Quilicura)'!$D:$D,MATCH($B249,'Pliegos Tarifarios (Quilicura)'!$A:$A,0))</f>
        <v>127124.697476</v>
      </c>
      <c r="P249" s="19">
        <f>H249*INDEX('Pliegos Tarifarios (Quilicura)'!$E:$E,MATCH($B249,'Pliegos Tarifarios (Quilicura)'!$A:$A,0))</f>
        <v>38586.985256799999</v>
      </c>
      <c r="Q249" s="19" cm="1">
        <f t="array" ref="Q249">H249*_xlfn.IFS(H249&lt;=350,INDEX('Pliegos Tarifarios (Quilicura)'!$F:$F,MATCH($B249,'Pliegos Tarifarios (Quilicura)'!$A:$A,0)),H249&lt;=500,INDEX('Pliegos Tarifarios (Quilicura)'!$G:$G,MATCH($B249,'Pliegos Tarifarios (Quilicura)'!$A:$A,0)),H249&lt;=1000,INDEX('Pliegos Tarifarios (Quilicura)'!$H:$H,MATCH($B249,'Pliegos Tarifarios (Quilicura)'!$A:$A,0)),H249&lt;=5000,INDEX('Pliegos Tarifarios (Quilicura)'!$I:$I,MATCH($B249,'Pliegos Tarifarios (Quilicura)'!$A:$A,0)),H249&gt;5000,INDEX('Pliegos Tarifarios (Quilicura)'!$J:$J,MATCH($B249,'Pliegos Tarifarios (Quilicura)'!$A:$A,0)))/1.19</f>
        <v>8954.0196263865546</v>
      </c>
      <c r="R249" s="19">
        <f>INDEX('Pliegos Tarifarios (Quilicura)'!$K:$K,MATCH($B249,'Pliegos Tarifarios (Quilicura)'!$A:$A,0))</f>
        <v>719.68899999999996</v>
      </c>
      <c r="S249" s="21">
        <f t="shared" si="12"/>
        <v>560839.82761498657</v>
      </c>
      <c r="T249" s="21">
        <f t="shared" si="13"/>
        <v>106559.56724684745</v>
      </c>
      <c r="U249" s="19">
        <v>0</v>
      </c>
      <c r="V249" s="21">
        <f t="shared" si="14"/>
        <v>667399.39486183401</v>
      </c>
    </row>
    <row r="250" spans="1:22" x14ac:dyDescent="0.3">
      <c r="A250" s="7" t="s">
        <v>143</v>
      </c>
      <c r="B250" s="7">
        <v>4</v>
      </c>
      <c r="C250" s="8" t="s">
        <v>186</v>
      </c>
      <c r="D250" s="7" t="s">
        <v>223</v>
      </c>
      <c r="E250" s="7" t="s">
        <v>102</v>
      </c>
      <c r="F250" s="8" t="s">
        <v>103</v>
      </c>
      <c r="G250" s="7" t="s">
        <v>16</v>
      </c>
      <c r="H250" s="9">
        <v>2389.2370999999998</v>
      </c>
      <c r="I250" s="9">
        <v>6.6447000000000003</v>
      </c>
      <c r="J250" s="9">
        <v>6.5994999999999999</v>
      </c>
      <c r="K250" s="10">
        <v>0.9931975860460216</v>
      </c>
      <c r="L250" s="9">
        <v>77.069999999999993</v>
      </c>
      <c r="M250" s="19">
        <f>H250*INDEX('Pliegos Tarifarios (Quilicura)'!$B:$B,MATCH($B250,'Pliegos Tarifarios (Quilicura)'!$A:$A,0))</f>
        <v>283932.15848979994</v>
      </c>
      <c r="N250" s="19">
        <f>I250*INDEX('Pliegos Tarifarios (Quilicura)'!$C:$C,MATCH($B250,'Pliegos Tarifarios (Quilicura)'!$A:$A,0))</f>
        <v>22790.370807900003</v>
      </c>
      <c r="O250" s="19">
        <f>J250*INDEX('Pliegos Tarifarios (Quilicura)'!$D:$D,MATCH($B250,'Pliegos Tarifarios (Quilicura)'!$A:$A,0))</f>
        <v>93240.507790000003</v>
      </c>
      <c r="P250" s="19">
        <f>H250*INDEX('Pliegos Tarifarios (Quilicura)'!$E:$E,MATCH($B250,'Pliegos Tarifarios (Quilicura)'!$A:$A,0))</f>
        <v>30897.614177199997</v>
      </c>
      <c r="Q250" s="19" cm="1">
        <f t="array" ref="Q250">H250*_xlfn.IFS(H250&lt;=350,INDEX('Pliegos Tarifarios (Quilicura)'!$F:$F,MATCH($B250,'Pliegos Tarifarios (Quilicura)'!$A:$A,0)),H250&lt;=500,INDEX('Pliegos Tarifarios (Quilicura)'!$G:$G,MATCH($B250,'Pliegos Tarifarios (Quilicura)'!$A:$A,0)),H250&lt;=1000,INDEX('Pliegos Tarifarios (Quilicura)'!$H:$H,MATCH($B250,'Pliegos Tarifarios (Quilicura)'!$A:$A,0)),H250&lt;=5000,INDEX('Pliegos Tarifarios (Quilicura)'!$I:$I,MATCH($B250,'Pliegos Tarifarios (Quilicura)'!$A:$A,0)),H250&gt;5000,INDEX('Pliegos Tarifarios (Quilicura)'!$J:$J,MATCH($B250,'Pliegos Tarifarios (Quilicura)'!$A:$A,0)))/1.19</f>
        <v>7169.7190622689077</v>
      </c>
      <c r="R250" s="19">
        <f>INDEX('Pliegos Tarifarios (Quilicura)'!$K:$K,MATCH($B250,'Pliegos Tarifarios (Quilicura)'!$A:$A,0))</f>
        <v>719.68899999999996</v>
      </c>
      <c r="S250" s="21">
        <f t="shared" si="12"/>
        <v>438750.05932716886</v>
      </c>
      <c r="T250" s="21">
        <f t="shared" si="13"/>
        <v>83362.511272162083</v>
      </c>
      <c r="U250" s="19">
        <v>0</v>
      </c>
      <c r="V250" s="21">
        <f t="shared" si="14"/>
        <v>522112.57059933094</v>
      </c>
    </row>
    <row r="251" spans="1:22" x14ac:dyDescent="0.3">
      <c r="A251" s="7" t="s">
        <v>143</v>
      </c>
      <c r="B251" s="7">
        <v>4</v>
      </c>
      <c r="C251" s="8" t="s">
        <v>186</v>
      </c>
      <c r="D251" s="7" t="s">
        <v>224</v>
      </c>
      <c r="E251" s="7" t="s">
        <v>105</v>
      </c>
      <c r="F251" s="8" t="s">
        <v>106</v>
      </c>
      <c r="G251" s="7" t="s">
        <v>30</v>
      </c>
      <c r="H251" s="9">
        <v>797.33609999999999</v>
      </c>
      <c r="I251" s="9">
        <v>2.2576999999999998</v>
      </c>
      <c r="J251" s="9">
        <v>2.2576999999999998</v>
      </c>
      <c r="K251" s="10">
        <v>1</v>
      </c>
      <c r="L251" s="9">
        <v>25.72</v>
      </c>
      <c r="M251" s="19">
        <f>H251*INDEX('Pliegos Tarifarios (Quilicura)'!$B:$B,MATCH($B251,'Pliegos Tarifarios (Quilicura)'!$A:$A,0))</f>
        <v>94753.827451799996</v>
      </c>
      <c r="N251" s="19">
        <f>I251*INDEX('Pliegos Tarifarios (Quilicura)'!$C:$C,MATCH($B251,'Pliegos Tarifarios (Quilicura)'!$A:$A,0))</f>
        <v>7743.5881488999994</v>
      </c>
      <c r="O251" s="19">
        <f>J251*INDEX('Pliegos Tarifarios (Quilicura)'!$D:$D,MATCH($B251,'Pliegos Tarifarios (Quilicura)'!$A:$A,0))</f>
        <v>31897.733833999999</v>
      </c>
      <c r="P251" s="19">
        <f>H251*INDEX('Pliegos Tarifarios (Quilicura)'!$E:$E,MATCH($B251,'Pliegos Tarifarios (Quilicura)'!$A:$A,0))</f>
        <v>10311.150445200001</v>
      </c>
      <c r="Q251" s="19" cm="1">
        <f t="array" ref="Q251">H251*_xlfn.IFS(H251&lt;=350,INDEX('Pliegos Tarifarios (Quilicura)'!$F:$F,MATCH($B251,'Pliegos Tarifarios (Quilicura)'!$A:$A,0)),H251&lt;=500,INDEX('Pliegos Tarifarios (Quilicura)'!$G:$G,MATCH($B251,'Pliegos Tarifarios (Quilicura)'!$A:$A,0)),H251&lt;=1000,INDEX('Pliegos Tarifarios (Quilicura)'!$H:$H,MATCH($B251,'Pliegos Tarifarios (Quilicura)'!$A:$A,0)),H251&lt;=5000,INDEX('Pliegos Tarifarios (Quilicura)'!$I:$I,MATCH($B251,'Pliegos Tarifarios (Quilicura)'!$A:$A,0)),H251&gt;5000,INDEX('Pliegos Tarifarios (Quilicura)'!$J:$J,MATCH($B251,'Pliegos Tarifarios (Quilicura)'!$A:$A,0)))/1.19</f>
        <v>1870.0546681512606</v>
      </c>
      <c r="R251" s="19">
        <f>INDEX('Pliegos Tarifarios (Quilicura)'!$K:$K,MATCH($B251,'Pliegos Tarifarios (Quilicura)'!$A:$A,0))</f>
        <v>719.68899999999996</v>
      </c>
      <c r="S251" s="21">
        <f t="shared" si="12"/>
        <v>147296.04354805127</v>
      </c>
      <c r="T251" s="21">
        <f t="shared" si="13"/>
        <v>27986.248274129743</v>
      </c>
      <c r="U251" s="19">
        <v>0</v>
      </c>
      <c r="V251" s="21">
        <f t="shared" si="14"/>
        <v>175282.29182218103</v>
      </c>
    </row>
    <row r="252" spans="1:22" x14ac:dyDescent="0.3">
      <c r="A252" s="7" t="s">
        <v>143</v>
      </c>
      <c r="B252" s="7">
        <v>4</v>
      </c>
      <c r="C252" s="8" t="s">
        <v>186</v>
      </c>
      <c r="D252" s="7" t="s">
        <v>225</v>
      </c>
      <c r="E252" s="7" t="s">
        <v>105</v>
      </c>
      <c r="F252" s="8" t="s">
        <v>108</v>
      </c>
      <c r="G252" s="7" t="s">
        <v>30</v>
      </c>
      <c r="H252" s="9">
        <v>798.60670000000005</v>
      </c>
      <c r="I252" s="9">
        <v>2.2311000000000001</v>
      </c>
      <c r="J252" s="9">
        <v>2.1793</v>
      </c>
      <c r="K252" s="10">
        <v>0.97678275290215588</v>
      </c>
      <c r="L252" s="9">
        <v>25.76</v>
      </c>
      <c r="M252" s="19">
        <f>H252*INDEX('Pliegos Tarifarios (Quilicura)'!$B:$B,MATCH($B252,'Pliegos Tarifarios (Quilicura)'!$A:$A,0))</f>
        <v>94904.823014599999</v>
      </c>
      <c r="N252" s="19">
        <f>I252*INDEX('Pliegos Tarifarios (Quilicura)'!$C:$C,MATCH($B252,'Pliegos Tarifarios (Quilicura)'!$A:$A,0))</f>
        <v>7652.3539527000003</v>
      </c>
      <c r="O252" s="19">
        <f>J252*INDEX('Pliegos Tarifarios (Quilicura)'!$D:$D,MATCH($B252,'Pliegos Tarifarios (Quilicura)'!$A:$A,0))</f>
        <v>30790.065706000001</v>
      </c>
      <c r="P252" s="19">
        <f>H252*INDEX('Pliegos Tarifarios (Quilicura)'!$E:$E,MATCH($B252,'Pliegos Tarifarios (Quilicura)'!$A:$A,0))</f>
        <v>10327.581844400002</v>
      </c>
      <c r="Q252" s="19" cm="1">
        <f t="array" ref="Q252">H252*_xlfn.IFS(H252&lt;=350,INDEX('Pliegos Tarifarios (Quilicura)'!$F:$F,MATCH($B252,'Pliegos Tarifarios (Quilicura)'!$A:$A,0)),H252&lt;=500,INDEX('Pliegos Tarifarios (Quilicura)'!$G:$G,MATCH($B252,'Pliegos Tarifarios (Quilicura)'!$A:$A,0)),H252&lt;=1000,INDEX('Pliegos Tarifarios (Quilicura)'!$H:$H,MATCH($B252,'Pliegos Tarifarios (Quilicura)'!$A:$A,0)),H252&lt;=5000,INDEX('Pliegos Tarifarios (Quilicura)'!$I:$I,MATCH($B252,'Pliegos Tarifarios (Quilicura)'!$A:$A,0)),H252&gt;5000,INDEX('Pliegos Tarifarios (Quilicura)'!$J:$J,MATCH($B252,'Pliegos Tarifarios (Quilicura)'!$A:$A,0)))/1.19</f>
        <v>1873.0347056302523</v>
      </c>
      <c r="R252" s="19">
        <f>INDEX('Pliegos Tarifarios (Quilicura)'!$K:$K,MATCH($B252,'Pliegos Tarifarios (Quilicura)'!$A:$A,0))</f>
        <v>719.68899999999996</v>
      </c>
      <c r="S252" s="21">
        <f t="shared" si="12"/>
        <v>146267.54822333026</v>
      </c>
      <c r="T252" s="21">
        <f t="shared" si="13"/>
        <v>27790.834162432751</v>
      </c>
      <c r="U252" s="19">
        <v>0</v>
      </c>
      <c r="V252" s="21">
        <f t="shared" si="14"/>
        <v>174058.38238576302</v>
      </c>
    </row>
    <row r="253" spans="1:22" x14ac:dyDescent="0.3">
      <c r="A253" s="7" t="s">
        <v>143</v>
      </c>
      <c r="B253" s="7">
        <v>4</v>
      </c>
      <c r="C253" s="8" t="s">
        <v>186</v>
      </c>
      <c r="D253" s="7" t="s">
        <v>226</v>
      </c>
      <c r="E253" s="7" t="s">
        <v>110</v>
      </c>
      <c r="F253" s="8" t="s">
        <v>111</v>
      </c>
      <c r="G253" s="7" t="s">
        <v>30</v>
      </c>
      <c r="H253" s="9">
        <v>398.55369999999999</v>
      </c>
      <c r="I253" s="9">
        <v>1.1580999999999999</v>
      </c>
      <c r="J253" s="9">
        <v>1.0892999999999999</v>
      </c>
      <c r="K253" s="10">
        <v>0.9405923495380365</v>
      </c>
      <c r="L253" s="9">
        <v>12.86</v>
      </c>
      <c r="M253" s="19">
        <f>H253*INDEX('Pliegos Tarifarios (Quilicura)'!$B:$B,MATCH($B253,'Pliegos Tarifarios (Quilicura)'!$A:$A,0))</f>
        <v>47363.324600599997</v>
      </c>
      <c r="N253" s="19">
        <f>I253*INDEX('Pliegos Tarifarios (Quilicura)'!$C:$C,MATCH($B253,'Pliegos Tarifarios (Quilicura)'!$A:$A,0))</f>
        <v>3972.1173916999996</v>
      </c>
      <c r="O253" s="19">
        <f>J253*INDEX('Pliegos Tarifarios (Quilicura)'!$D:$D,MATCH($B253,'Pliegos Tarifarios (Quilicura)'!$A:$A,0))</f>
        <v>15390.087905999999</v>
      </c>
      <c r="P253" s="19">
        <f>H253*INDEX('Pliegos Tarifarios (Quilicura)'!$E:$E,MATCH($B253,'Pliegos Tarifarios (Quilicura)'!$A:$A,0))</f>
        <v>5154.0964483999996</v>
      </c>
      <c r="Q253" s="19" cm="1">
        <f t="array" ref="Q253">H253*_xlfn.IFS(H253&lt;=350,INDEX('Pliegos Tarifarios (Quilicura)'!$F:$F,MATCH($B253,'Pliegos Tarifarios (Quilicura)'!$A:$A,0)),H253&lt;=500,INDEX('Pliegos Tarifarios (Quilicura)'!$G:$G,MATCH($B253,'Pliegos Tarifarios (Quilicura)'!$A:$A,0)),H253&lt;=1000,INDEX('Pliegos Tarifarios (Quilicura)'!$H:$H,MATCH($B253,'Pliegos Tarifarios (Quilicura)'!$A:$A,0)),H253&lt;=5000,INDEX('Pliegos Tarifarios (Quilicura)'!$I:$I,MATCH($B253,'Pliegos Tarifarios (Quilicura)'!$A:$A,0)),H253&gt;5000,INDEX('Pliegos Tarifarios (Quilicura)'!$J:$J,MATCH($B253,'Pliegos Tarifarios (Quilicura)'!$A:$A,0)))/1.19</f>
        <v>561.32437075630253</v>
      </c>
      <c r="R253" s="19">
        <f>INDEX('Pliegos Tarifarios (Quilicura)'!$K:$K,MATCH($B253,'Pliegos Tarifarios (Quilicura)'!$A:$A,0))</f>
        <v>719.68899999999996</v>
      </c>
      <c r="S253" s="21">
        <f t="shared" si="12"/>
        <v>73160.639717456303</v>
      </c>
      <c r="T253" s="21">
        <f t="shared" si="13"/>
        <v>13900.521546316697</v>
      </c>
      <c r="U253" s="19">
        <v>0</v>
      </c>
      <c r="V253" s="21">
        <f t="shared" si="14"/>
        <v>87061.161263773</v>
      </c>
    </row>
    <row r="254" spans="1:22" x14ac:dyDescent="0.3">
      <c r="A254" s="7" t="s">
        <v>143</v>
      </c>
      <c r="B254" s="7">
        <v>4</v>
      </c>
      <c r="C254" s="8" t="s">
        <v>186</v>
      </c>
      <c r="D254" s="7" t="s">
        <v>227</v>
      </c>
      <c r="E254" s="7" t="s">
        <v>113</v>
      </c>
      <c r="F254" s="8" t="s">
        <v>114</v>
      </c>
      <c r="G254" s="7" t="s">
        <v>30</v>
      </c>
      <c r="H254" s="9">
        <v>597.96079999999995</v>
      </c>
      <c r="I254" s="9">
        <v>1.6956</v>
      </c>
      <c r="J254" s="9">
        <v>1.6956</v>
      </c>
      <c r="K254" s="10">
        <v>1</v>
      </c>
      <c r="L254" s="9">
        <v>19.29</v>
      </c>
      <c r="M254" s="19">
        <f>H254*INDEX('Pliegos Tarifarios (Quilicura)'!$B:$B,MATCH($B254,'Pliegos Tarifarios (Quilicura)'!$A:$A,0))</f>
        <v>71060.465550399997</v>
      </c>
      <c r="N254" s="19">
        <f>I254*INDEX('Pliegos Tarifarios (Quilicura)'!$C:$C,MATCH($B254,'Pliegos Tarifarios (Quilicura)'!$A:$A,0))</f>
        <v>5815.6655291999996</v>
      </c>
      <c r="O254" s="19">
        <f>J254*INDEX('Pliegos Tarifarios (Quilicura)'!$D:$D,MATCH($B254,'Pliegos Tarifarios (Quilicura)'!$A:$A,0))</f>
        <v>23956.148952</v>
      </c>
      <c r="P254" s="19">
        <f>H254*INDEX('Pliegos Tarifarios (Quilicura)'!$E:$E,MATCH($B254,'Pliegos Tarifarios (Quilicura)'!$A:$A,0))</f>
        <v>7732.8290655999999</v>
      </c>
      <c r="Q254" s="19" cm="1">
        <f t="array" ref="Q254">H254*_xlfn.IFS(H254&lt;=350,INDEX('Pliegos Tarifarios (Quilicura)'!$F:$F,MATCH($B254,'Pliegos Tarifarios (Quilicura)'!$A:$A,0)),H254&lt;=500,INDEX('Pliegos Tarifarios (Quilicura)'!$G:$G,MATCH($B254,'Pliegos Tarifarios (Quilicura)'!$A:$A,0)),H254&lt;=1000,INDEX('Pliegos Tarifarios (Quilicura)'!$H:$H,MATCH($B254,'Pliegos Tarifarios (Quilicura)'!$A:$A,0)),H254&lt;=5000,INDEX('Pliegos Tarifarios (Quilicura)'!$I:$I,MATCH($B254,'Pliegos Tarifarios (Quilicura)'!$A:$A,0)),H254&gt;5000,INDEX('Pliegos Tarifarios (Quilicura)'!$J:$J,MATCH($B254,'Pliegos Tarifarios (Quilicura)'!$A:$A,0)))/1.19</f>
        <v>1402.4441956302524</v>
      </c>
      <c r="R254" s="19">
        <f>INDEX('Pliegos Tarifarios (Quilicura)'!$K:$K,MATCH($B254,'Pliegos Tarifarios (Quilicura)'!$A:$A,0))</f>
        <v>719.68899999999996</v>
      </c>
      <c r="S254" s="21">
        <f t="shared" si="12"/>
        <v>110687.24229283024</v>
      </c>
      <c r="T254" s="21">
        <f t="shared" si="13"/>
        <v>21030.576035637747</v>
      </c>
      <c r="U254" s="19">
        <v>0</v>
      </c>
      <c r="V254" s="21">
        <f t="shared" si="14"/>
        <v>131717.81832846798</v>
      </c>
    </row>
    <row r="255" spans="1:22" x14ac:dyDescent="0.3">
      <c r="A255" s="7" t="s">
        <v>143</v>
      </c>
      <c r="B255" s="7">
        <v>4</v>
      </c>
      <c r="C255" s="8" t="s">
        <v>186</v>
      </c>
      <c r="D255" s="7" t="s">
        <v>228</v>
      </c>
      <c r="E255" s="7" t="s">
        <v>116</v>
      </c>
      <c r="F255" s="8" t="s">
        <v>117</v>
      </c>
      <c r="G255" s="7" t="s">
        <v>30</v>
      </c>
      <c r="H255" s="9">
        <v>99.544799999999995</v>
      </c>
      <c r="I255" s="9">
        <v>0.28299999999999997</v>
      </c>
      <c r="J255" s="9">
        <v>0.27629999999999999</v>
      </c>
      <c r="K255" s="10">
        <v>0.97632508833922271</v>
      </c>
      <c r="L255" s="9">
        <v>3.21</v>
      </c>
      <c r="M255" s="19">
        <f>H255*INDEX('Pliegos Tarifarios (Quilicura)'!$B:$B,MATCH($B255,'Pliegos Tarifarios (Quilicura)'!$A:$A,0))</f>
        <v>11829.7049424</v>
      </c>
      <c r="N255" s="19">
        <f>I255*INDEX('Pliegos Tarifarios (Quilicura)'!$C:$C,MATCH($B255,'Pliegos Tarifarios (Quilicura)'!$A:$A,0))</f>
        <v>970.64953099999991</v>
      </c>
      <c r="O255" s="19">
        <f>J255*INDEX('Pliegos Tarifarios (Quilicura)'!$D:$D,MATCH($B255,'Pliegos Tarifarios (Quilicura)'!$A:$A,0))</f>
        <v>3903.6824459999998</v>
      </c>
      <c r="P255" s="19">
        <f>H255*INDEX('Pliegos Tarifarios (Quilicura)'!$E:$E,MATCH($B255,'Pliegos Tarifarios (Quilicura)'!$A:$A,0))</f>
        <v>1287.3133536</v>
      </c>
      <c r="Q255" s="19" cm="1">
        <f t="array" ref="Q255">H255*_xlfn.IFS(H255&lt;=350,INDEX('Pliegos Tarifarios (Quilicura)'!$F:$F,MATCH($B255,'Pliegos Tarifarios (Quilicura)'!$A:$A,0)),H255&lt;=500,INDEX('Pliegos Tarifarios (Quilicura)'!$G:$G,MATCH($B255,'Pliegos Tarifarios (Quilicura)'!$A:$A,0)),H255&lt;=1000,INDEX('Pliegos Tarifarios (Quilicura)'!$H:$H,MATCH($B255,'Pliegos Tarifarios (Quilicura)'!$A:$A,0)),H255&lt;=5000,INDEX('Pliegos Tarifarios (Quilicura)'!$I:$I,MATCH($B255,'Pliegos Tarifarios (Quilicura)'!$A:$A,0)),H255&gt;5000,INDEX('Pliegos Tarifarios (Quilicura)'!$J:$J,MATCH($B255,'Pliegos Tarifarios (Quilicura)'!$A:$A,0)))/1.19</f>
        <v>65.582456470588241</v>
      </c>
      <c r="R255" s="19">
        <f>INDEX('Pliegos Tarifarios (Quilicura)'!$K:$K,MATCH($B255,'Pliegos Tarifarios (Quilicura)'!$A:$A,0))</f>
        <v>719.68899999999996</v>
      </c>
      <c r="S255" s="21">
        <f t="shared" si="12"/>
        <v>18776.621729470582</v>
      </c>
      <c r="T255" s="21">
        <f t="shared" si="13"/>
        <v>3567.5581285994108</v>
      </c>
      <c r="U255" s="19">
        <v>0</v>
      </c>
      <c r="V255" s="21">
        <f t="shared" si="14"/>
        <v>22344.179858069994</v>
      </c>
    </row>
    <row r="256" spans="1:22" x14ac:dyDescent="0.3">
      <c r="A256" s="7" t="s">
        <v>143</v>
      </c>
      <c r="B256" s="7">
        <v>4</v>
      </c>
      <c r="C256" s="8" t="s">
        <v>186</v>
      </c>
      <c r="D256" s="7" t="s">
        <v>229</v>
      </c>
      <c r="E256" s="7" t="s">
        <v>116</v>
      </c>
      <c r="F256" s="8" t="s">
        <v>119</v>
      </c>
      <c r="G256" s="7" t="s">
        <v>30</v>
      </c>
      <c r="H256" s="9">
        <v>99.983699999999999</v>
      </c>
      <c r="I256" s="9">
        <v>0.27489999999999998</v>
      </c>
      <c r="J256" s="9">
        <v>0.27339999999999998</v>
      </c>
      <c r="K256" s="10">
        <v>0.99454347035285562</v>
      </c>
      <c r="L256" s="9">
        <v>3.23</v>
      </c>
      <c r="M256" s="19">
        <f>H256*INDEX('Pliegos Tarifarios (Quilicura)'!$B:$B,MATCH($B256,'Pliegos Tarifarios (Quilicura)'!$A:$A,0))</f>
        <v>11881.8629406</v>
      </c>
      <c r="N256" s="19">
        <f>I256*INDEX('Pliegos Tarifarios (Quilicura)'!$C:$C,MATCH($B256,'Pliegos Tarifarios (Quilicura)'!$A:$A,0))</f>
        <v>942.86768929999994</v>
      </c>
      <c r="O256" s="19">
        <f>J256*INDEX('Pliegos Tarifarios (Quilicura)'!$D:$D,MATCH($B256,'Pliegos Tarifarios (Quilicura)'!$A:$A,0))</f>
        <v>3862.7100279999995</v>
      </c>
      <c r="P256" s="19">
        <f>H256*INDEX('Pliegos Tarifarios (Quilicura)'!$E:$E,MATCH($B256,'Pliegos Tarifarios (Quilicura)'!$A:$A,0))</f>
        <v>1292.9892084000001</v>
      </c>
      <c r="Q256" s="19" cm="1">
        <f t="array" ref="Q256">H256*_xlfn.IFS(H256&lt;=350,INDEX('Pliegos Tarifarios (Quilicura)'!$F:$F,MATCH($B256,'Pliegos Tarifarios (Quilicura)'!$A:$A,0)),H256&lt;=500,INDEX('Pliegos Tarifarios (Quilicura)'!$G:$G,MATCH($B256,'Pliegos Tarifarios (Quilicura)'!$A:$A,0)),H256&lt;=1000,INDEX('Pliegos Tarifarios (Quilicura)'!$H:$H,MATCH($B256,'Pliegos Tarifarios (Quilicura)'!$A:$A,0)),H256&lt;=5000,INDEX('Pliegos Tarifarios (Quilicura)'!$I:$I,MATCH($B256,'Pliegos Tarifarios (Quilicura)'!$A:$A,0)),H256&gt;5000,INDEX('Pliegos Tarifarios (Quilicura)'!$J:$J,MATCH($B256,'Pliegos Tarifarios (Quilicura)'!$A:$A,0)))/1.19</f>
        <v>65.87161411764707</v>
      </c>
      <c r="R256" s="19">
        <f>INDEX('Pliegos Tarifarios (Quilicura)'!$K:$K,MATCH($B256,'Pliegos Tarifarios (Quilicura)'!$A:$A,0))</f>
        <v>719.68899999999996</v>
      </c>
      <c r="S256" s="21">
        <f t="shared" si="12"/>
        <v>18765.990480417644</v>
      </c>
      <c r="T256" s="21">
        <f t="shared" si="13"/>
        <v>3565.5381912793523</v>
      </c>
      <c r="U256" s="19">
        <v>0</v>
      </c>
      <c r="V256" s="21">
        <f t="shared" si="14"/>
        <v>22331.528671696997</v>
      </c>
    </row>
    <row r="257" spans="1:22" x14ac:dyDescent="0.3">
      <c r="A257" s="7" t="s">
        <v>143</v>
      </c>
      <c r="B257" s="7">
        <v>4</v>
      </c>
      <c r="C257" s="8" t="s">
        <v>186</v>
      </c>
      <c r="D257" s="7" t="s">
        <v>230</v>
      </c>
      <c r="E257" s="7" t="s">
        <v>121</v>
      </c>
      <c r="F257" s="8" t="s">
        <v>122</v>
      </c>
      <c r="G257" s="7" t="s">
        <v>30</v>
      </c>
      <c r="H257" s="9">
        <v>99.653899999999993</v>
      </c>
      <c r="I257" s="9">
        <v>0.28989999999999999</v>
      </c>
      <c r="J257" s="9">
        <v>0.28989999999999999</v>
      </c>
      <c r="K257" s="10">
        <v>1</v>
      </c>
      <c r="L257" s="9">
        <v>3.21</v>
      </c>
      <c r="M257" s="19">
        <f>H257*INDEX('Pliegos Tarifarios (Quilicura)'!$B:$B,MATCH($B257,'Pliegos Tarifarios (Quilicura)'!$A:$A,0))</f>
        <v>11842.670168199998</v>
      </c>
      <c r="N257" s="19">
        <f>I257*INDEX('Pliegos Tarifarios (Quilicura)'!$C:$C,MATCH($B257,'Pliegos Tarifarios (Quilicura)'!$A:$A,0))</f>
        <v>994.31554429999994</v>
      </c>
      <c r="O257" s="19">
        <f>J257*INDEX('Pliegos Tarifarios (Quilicura)'!$D:$D,MATCH($B257,'Pliegos Tarifarios (Quilicura)'!$A:$A,0))</f>
        <v>4095.8289580000001</v>
      </c>
      <c r="P257" s="19">
        <f>H257*INDEX('Pliegos Tarifarios (Quilicura)'!$E:$E,MATCH($B257,'Pliegos Tarifarios (Quilicura)'!$A:$A,0))</f>
        <v>1288.7242348</v>
      </c>
      <c r="Q257" s="19" cm="1">
        <f t="array" ref="Q257">H257*_xlfn.IFS(H257&lt;=350,INDEX('Pliegos Tarifarios (Quilicura)'!$F:$F,MATCH($B257,'Pliegos Tarifarios (Quilicura)'!$A:$A,0)),H257&lt;=500,INDEX('Pliegos Tarifarios (Quilicura)'!$G:$G,MATCH($B257,'Pliegos Tarifarios (Quilicura)'!$A:$A,0)),H257&lt;=1000,INDEX('Pliegos Tarifarios (Quilicura)'!$H:$H,MATCH($B257,'Pliegos Tarifarios (Quilicura)'!$A:$A,0)),H257&lt;=5000,INDEX('Pliegos Tarifarios (Quilicura)'!$I:$I,MATCH($B257,'Pliegos Tarifarios (Quilicura)'!$A:$A,0)),H257&gt;5000,INDEX('Pliegos Tarifarios (Quilicura)'!$J:$J,MATCH($B257,'Pliegos Tarifarios (Quilicura)'!$A:$A,0)))/1.19</f>
        <v>65.654334117647053</v>
      </c>
      <c r="R257" s="19">
        <f>INDEX('Pliegos Tarifarios (Quilicura)'!$K:$K,MATCH($B257,'Pliegos Tarifarios (Quilicura)'!$A:$A,0))</f>
        <v>719.68899999999996</v>
      </c>
      <c r="S257" s="21">
        <f t="shared" si="12"/>
        <v>19006.882239417642</v>
      </c>
      <c r="T257" s="21">
        <f t="shared" si="13"/>
        <v>3611.3076254893522</v>
      </c>
      <c r="U257" s="19">
        <v>0</v>
      </c>
      <c r="V257" s="21">
        <f t="shared" si="14"/>
        <v>22618.189864906995</v>
      </c>
    </row>
    <row r="258" spans="1:22" x14ac:dyDescent="0.3">
      <c r="A258" s="7" t="s">
        <v>143</v>
      </c>
      <c r="B258" s="7">
        <v>4</v>
      </c>
      <c r="C258" s="8" t="s">
        <v>186</v>
      </c>
      <c r="D258" s="7" t="s">
        <v>231</v>
      </c>
      <c r="E258" s="7" t="s">
        <v>121</v>
      </c>
      <c r="F258" s="8" t="s">
        <v>124</v>
      </c>
      <c r="G258" s="7" t="s">
        <v>30</v>
      </c>
      <c r="H258" s="9">
        <v>99.852099999999993</v>
      </c>
      <c r="I258" s="9">
        <v>0.2878</v>
      </c>
      <c r="J258" s="9">
        <v>0.27729999999999999</v>
      </c>
      <c r="K258" s="10">
        <v>0.96351633078526755</v>
      </c>
      <c r="L258" s="9">
        <v>3.22</v>
      </c>
      <c r="M258" s="19">
        <f>H258*INDEX('Pliegos Tarifarios (Quilicura)'!$B:$B,MATCH($B258,'Pliegos Tarifarios (Quilicura)'!$A:$A,0))</f>
        <v>11866.223859799999</v>
      </c>
      <c r="N258" s="19">
        <f>I258*INDEX('Pliegos Tarifarios (Quilicura)'!$C:$C,MATCH($B258,'Pliegos Tarifarios (Quilicura)'!$A:$A,0))</f>
        <v>987.11284460000002</v>
      </c>
      <c r="O258" s="19">
        <f>J258*INDEX('Pliegos Tarifarios (Quilicura)'!$D:$D,MATCH($B258,'Pliegos Tarifarios (Quilicura)'!$A:$A,0))</f>
        <v>3917.8108659999998</v>
      </c>
      <c r="P258" s="19">
        <f>H258*INDEX('Pliegos Tarifarios (Quilicura)'!$E:$E,MATCH($B258,'Pliegos Tarifarios (Quilicura)'!$A:$A,0))</f>
        <v>1291.2873571999999</v>
      </c>
      <c r="Q258" s="19" cm="1">
        <f t="array" ref="Q258">H258*_xlfn.IFS(H258&lt;=350,INDEX('Pliegos Tarifarios (Quilicura)'!$F:$F,MATCH($B258,'Pliegos Tarifarios (Quilicura)'!$A:$A,0)),H258&lt;=500,INDEX('Pliegos Tarifarios (Quilicura)'!$G:$G,MATCH($B258,'Pliegos Tarifarios (Quilicura)'!$A:$A,0)),H258&lt;=1000,INDEX('Pliegos Tarifarios (Quilicura)'!$H:$H,MATCH($B258,'Pliegos Tarifarios (Quilicura)'!$A:$A,0)),H258&lt;=5000,INDEX('Pliegos Tarifarios (Quilicura)'!$I:$I,MATCH($B258,'Pliegos Tarifarios (Quilicura)'!$A:$A,0)),H258&gt;5000,INDEX('Pliegos Tarifarios (Quilicura)'!$J:$J,MATCH($B258,'Pliegos Tarifarios (Quilicura)'!$A:$A,0)))/1.19</f>
        <v>65.784912941176472</v>
      </c>
      <c r="R258" s="19">
        <f>INDEX('Pliegos Tarifarios (Quilicura)'!$K:$K,MATCH($B258,'Pliegos Tarifarios (Quilicura)'!$A:$A,0))</f>
        <v>719.68899999999996</v>
      </c>
      <c r="S258" s="21">
        <f t="shared" si="12"/>
        <v>18847.908840541171</v>
      </c>
      <c r="T258" s="21">
        <f t="shared" si="13"/>
        <v>3581.1026797028226</v>
      </c>
      <c r="U258" s="19">
        <v>0</v>
      </c>
      <c r="V258" s="21">
        <f t="shared" si="14"/>
        <v>22429.011520243992</v>
      </c>
    </row>
    <row r="259" spans="1:22" x14ac:dyDescent="0.3">
      <c r="A259" s="7" t="s">
        <v>143</v>
      </c>
      <c r="B259" s="7">
        <v>4</v>
      </c>
      <c r="C259" s="8" t="s">
        <v>186</v>
      </c>
      <c r="D259" s="7" t="s">
        <v>232</v>
      </c>
      <c r="E259" s="7" t="s">
        <v>121</v>
      </c>
      <c r="F259" s="8" t="s">
        <v>126</v>
      </c>
      <c r="G259" s="7" t="s">
        <v>30</v>
      </c>
      <c r="H259" s="9">
        <v>99.719399999999993</v>
      </c>
      <c r="I259" s="9">
        <v>0.28160000000000002</v>
      </c>
      <c r="J259" s="9">
        <v>0.27789999999999998</v>
      </c>
      <c r="K259" s="10">
        <v>0.9868607954545453</v>
      </c>
      <c r="L259" s="9">
        <v>3.22</v>
      </c>
      <c r="M259" s="19">
        <f>H259*INDEX('Pliegos Tarifarios (Quilicura)'!$B:$B,MATCH($B259,'Pliegos Tarifarios (Quilicura)'!$A:$A,0))</f>
        <v>11850.454057199999</v>
      </c>
      <c r="N259" s="19">
        <f>I259*INDEX('Pliegos Tarifarios (Quilicura)'!$C:$C,MATCH($B259,'Pliegos Tarifarios (Quilicura)'!$A:$A,0))</f>
        <v>965.8477312</v>
      </c>
      <c r="O259" s="19">
        <f>J259*INDEX('Pliegos Tarifarios (Quilicura)'!$D:$D,MATCH($B259,'Pliegos Tarifarios (Quilicura)'!$A:$A,0))</f>
        <v>3926.2879179999995</v>
      </c>
      <c r="P259" s="19">
        <f>H259*INDEX('Pliegos Tarifarios (Quilicura)'!$E:$E,MATCH($B259,'Pliegos Tarifarios (Quilicura)'!$A:$A,0))</f>
        <v>1289.5712807999998</v>
      </c>
      <c r="Q259" s="19" cm="1">
        <f t="array" ref="Q259">H259*_xlfn.IFS(H259&lt;=350,INDEX('Pliegos Tarifarios (Quilicura)'!$F:$F,MATCH($B259,'Pliegos Tarifarios (Quilicura)'!$A:$A,0)),H259&lt;=500,INDEX('Pliegos Tarifarios (Quilicura)'!$G:$G,MATCH($B259,'Pliegos Tarifarios (Quilicura)'!$A:$A,0)),H259&lt;=1000,INDEX('Pliegos Tarifarios (Quilicura)'!$H:$H,MATCH($B259,'Pliegos Tarifarios (Quilicura)'!$A:$A,0)),H259&lt;=5000,INDEX('Pliegos Tarifarios (Quilicura)'!$I:$I,MATCH($B259,'Pliegos Tarifarios (Quilicura)'!$A:$A,0)),H259&gt;5000,INDEX('Pliegos Tarifarios (Quilicura)'!$J:$J,MATCH($B259,'Pliegos Tarifarios (Quilicura)'!$A:$A,0)))/1.19</f>
        <v>65.697487058823526</v>
      </c>
      <c r="R259" s="19">
        <f>INDEX('Pliegos Tarifarios (Quilicura)'!$K:$K,MATCH($B259,'Pliegos Tarifarios (Quilicura)'!$A:$A,0))</f>
        <v>719.68899999999996</v>
      </c>
      <c r="S259" s="21">
        <f t="shared" si="12"/>
        <v>18817.547474258819</v>
      </c>
      <c r="T259" s="21">
        <f t="shared" si="13"/>
        <v>3575.3340201091755</v>
      </c>
      <c r="U259" s="19">
        <v>0</v>
      </c>
      <c r="V259" s="21">
        <f t="shared" si="14"/>
        <v>22392.881494367994</v>
      </c>
    </row>
    <row r="260" spans="1:22" x14ac:dyDescent="0.3">
      <c r="A260" s="7" t="s">
        <v>143</v>
      </c>
      <c r="B260" s="7">
        <v>4</v>
      </c>
      <c r="C260" s="8" t="s">
        <v>186</v>
      </c>
      <c r="D260" s="7" t="s">
        <v>233</v>
      </c>
      <c r="E260" s="7" t="s">
        <v>121</v>
      </c>
      <c r="F260" s="8" t="s">
        <v>128</v>
      </c>
      <c r="G260" s="7" t="s">
        <v>30</v>
      </c>
      <c r="H260" s="9">
        <v>99.301199999999994</v>
      </c>
      <c r="I260" s="9">
        <v>0.28120000000000001</v>
      </c>
      <c r="J260" s="9">
        <v>0.2727</v>
      </c>
      <c r="K260" s="10">
        <v>0.9697724039829303</v>
      </c>
      <c r="L260" s="9">
        <v>3.2</v>
      </c>
      <c r="M260" s="19">
        <f>H260*INDEX('Pliegos Tarifarios (Quilicura)'!$B:$B,MATCH($B260,'Pliegos Tarifarios (Quilicura)'!$A:$A,0))</f>
        <v>11800.756005599998</v>
      </c>
      <c r="N260" s="19">
        <f>I260*INDEX('Pliegos Tarifarios (Quilicura)'!$C:$C,MATCH($B260,'Pliegos Tarifarios (Quilicura)'!$A:$A,0))</f>
        <v>964.47578840000006</v>
      </c>
      <c r="O260" s="19">
        <f>J260*INDEX('Pliegos Tarifarios (Quilicura)'!$D:$D,MATCH($B260,'Pliegos Tarifarios (Quilicura)'!$A:$A,0))</f>
        <v>3852.8201340000001</v>
      </c>
      <c r="P260" s="19">
        <f>H260*INDEX('Pliegos Tarifarios (Quilicura)'!$E:$E,MATCH($B260,'Pliegos Tarifarios (Quilicura)'!$A:$A,0))</f>
        <v>1284.1631184</v>
      </c>
      <c r="Q260" s="19" cm="1">
        <f t="array" ref="Q260">H260*_xlfn.IFS(H260&lt;=350,INDEX('Pliegos Tarifarios (Quilicura)'!$F:$F,MATCH($B260,'Pliegos Tarifarios (Quilicura)'!$A:$A,0)),H260&lt;=500,INDEX('Pliegos Tarifarios (Quilicura)'!$G:$G,MATCH($B260,'Pliegos Tarifarios (Quilicura)'!$A:$A,0)),H260&lt;=1000,INDEX('Pliegos Tarifarios (Quilicura)'!$H:$H,MATCH($B260,'Pliegos Tarifarios (Quilicura)'!$A:$A,0)),H260&lt;=5000,INDEX('Pliegos Tarifarios (Quilicura)'!$I:$I,MATCH($B260,'Pliegos Tarifarios (Quilicura)'!$A:$A,0)),H260&gt;5000,INDEX('Pliegos Tarifarios (Quilicura)'!$J:$J,MATCH($B260,'Pliegos Tarifarios (Quilicura)'!$A:$A,0)))/1.19</f>
        <v>65.421967058823526</v>
      </c>
      <c r="R260" s="19">
        <f>INDEX('Pliegos Tarifarios (Quilicura)'!$K:$K,MATCH($B260,'Pliegos Tarifarios (Quilicura)'!$A:$A,0))</f>
        <v>719.68899999999996</v>
      </c>
      <c r="S260" s="21">
        <f t="shared" si="12"/>
        <v>18687.326013458824</v>
      </c>
      <c r="T260" s="21">
        <f t="shared" si="13"/>
        <v>3550.5919425571765</v>
      </c>
      <c r="U260" s="19">
        <v>0</v>
      </c>
      <c r="V260" s="21">
        <f t="shared" si="14"/>
        <v>22237.917956016001</v>
      </c>
    </row>
    <row r="261" spans="1:22" x14ac:dyDescent="0.3">
      <c r="A261" s="7" t="s">
        <v>143</v>
      </c>
      <c r="B261" s="7">
        <v>4</v>
      </c>
      <c r="C261" s="8" t="s">
        <v>186</v>
      </c>
      <c r="D261" s="7" t="s">
        <v>234</v>
      </c>
      <c r="E261" s="7" t="s">
        <v>121</v>
      </c>
      <c r="F261" s="8" t="s">
        <v>130</v>
      </c>
      <c r="G261" s="7" t="s">
        <v>30</v>
      </c>
      <c r="H261" s="9">
        <v>99.428399999999996</v>
      </c>
      <c r="I261" s="9">
        <v>0.28010000000000002</v>
      </c>
      <c r="J261" s="9">
        <v>0.28010000000000002</v>
      </c>
      <c r="K261" s="10">
        <v>1</v>
      </c>
      <c r="L261" s="9">
        <v>3.21</v>
      </c>
      <c r="M261" s="19">
        <f>H261*INDEX('Pliegos Tarifarios (Quilicura)'!$B:$B,MATCH($B261,'Pliegos Tarifarios (Quilicura)'!$A:$A,0))</f>
        <v>11815.872199199999</v>
      </c>
      <c r="N261" s="19">
        <f>I261*INDEX('Pliegos Tarifarios (Quilicura)'!$C:$C,MATCH($B261,'Pliegos Tarifarios (Quilicura)'!$A:$A,0))</f>
        <v>960.7029457000001</v>
      </c>
      <c r="O261" s="19">
        <f>J261*INDEX('Pliegos Tarifarios (Quilicura)'!$D:$D,MATCH($B261,'Pliegos Tarifarios (Quilicura)'!$A:$A,0))</f>
        <v>3957.3704420000004</v>
      </c>
      <c r="P261" s="19">
        <f>H261*INDEX('Pliegos Tarifarios (Quilicura)'!$E:$E,MATCH($B261,'Pliegos Tarifarios (Quilicura)'!$A:$A,0))</f>
        <v>1285.8080688</v>
      </c>
      <c r="Q261" s="19" cm="1">
        <f t="array" ref="Q261">H261*_xlfn.IFS(H261&lt;=350,INDEX('Pliegos Tarifarios (Quilicura)'!$F:$F,MATCH($B261,'Pliegos Tarifarios (Quilicura)'!$A:$A,0)),H261&lt;=500,INDEX('Pliegos Tarifarios (Quilicura)'!$G:$G,MATCH($B261,'Pliegos Tarifarios (Quilicura)'!$A:$A,0)),H261&lt;=1000,INDEX('Pliegos Tarifarios (Quilicura)'!$H:$H,MATCH($B261,'Pliegos Tarifarios (Quilicura)'!$A:$A,0)),H261&lt;=5000,INDEX('Pliegos Tarifarios (Quilicura)'!$I:$I,MATCH($B261,'Pliegos Tarifarios (Quilicura)'!$A:$A,0)),H261&gt;5000,INDEX('Pliegos Tarifarios (Quilicura)'!$J:$J,MATCH($B261,'Pliegos Tarifarios (Quilicura)'!$A:$A,0)))/1.19</f>
        <v>65.505769411764717</v>
      </c>
      <c r="R261" s="19">
        <f>INDEX('Pliegos Tarifarios (Quilicura)'!$K:$K,MATCH($B261,'Pliegos Tarifarios (Quilicura)'!$A:$A,0))</f>
        <v>719.68899999999996</v>
      </c>
      <c r="S261" s="21">
        <f t="shared" si="12"/>
        <v>18804.948425111765</v>
      </c>
      <c r="T261" s="21">
        <f t="shared" si="13"/>
        <v>3572.9402007712351</v>
      </c>
      <c r="U261" s="19">
        <v>0</v>
      </c>
      <c r="V261" s="21">
        <f t="shared" si="14"/>
        <v>22377.888625882999</v>
      </c>
    </row>
    <row r="262" spans="1:22" x14ac:dyDescent="0.3">
      <c r="A262" s="7" t="s">
        <v>143</v>
      </c>
      <c r="B262" s="7">
        <v>4</v>
      </c>
      <c r="C262" s="8" t="s">
        <v>186</v>
      </c>
      <c r="D262" s="7" t="s">
        <v>235</v>
      </c>
      <c r="E262" s="7" t="s">
        <v>121</v>
      </c>
      <c r="F262" s="8" t="s">
        <v>132</v>
      </c>
      <c r="G262" s="7" t="s">
        <v>30</v>
      </c>
      <c r="H262" s="9">
        <v>99.299899999999994</v>
      </c>
      <c r="I262" s="9">
        <v>0.27629999999999999</v>
      </c>
      <c r="J262" s="9">
        <v>0.27629999999999999</v>
      </c>
      <c r="K262" s="10">
        <v>1</v>
      </c>
      <c r="L262" s="9">
        <v>3.2</v>
      </c>
      <c r="M262" s="19">
        <f>H262*INDEX('Pliegos Tarifarios (Quilicura)'!$B:$B,MATCH($B262,'Pliegos Tarifarios (Quilicura)'!$A:$A,0))</f>
        <v>11800.601516199999</v>
      </c>
      <c r="N262" s="19">
        <f>I262*INDEX('Pliegos Tarifarios (Quilicura)'!$C:$C,MATCH($B262,'Pliegos Tarifarios (Quilicura)'!$A:$A,0))</f>
        <v>947.66948909999996</v>
      </c>
      <c r="O262" s="19">
        <f>J262*INDEX('Pliegos Tarifarios (Quilicura)'!$D:$D,MATCH($B262,'Pliegos Tarifarios (Quilicura)'!$A:$A,0))</f>
        <v>3903.6824459999998</v>
      </c>
      <c r="P262" s="19">
        <f>H262*INDEX('Pliegos Tarifarios (Quilicura)'!$E:$E,MATCH($B262,'Pliegos Tarifarios (Quilicura)'!$A:$A,0))</f>
        <v>1284.1463068</v>
      </c>
      <c r="Q262" s="19" cm="1">
        <f t="array" ref="Q262">H262*_xlfn.IFS(H262&lt;=350,INDEX('Pliegos Tarifarios (Quilicura)'!$F:$F,MATCH($B262,'Pliegos Tarifarios (Quilicura)'!$A:$A,0)),H262&lt;=500,INDEX('Pliegos Tarifarios (Quilicura)'!$G:$G,MATCH($B262,'Pliegos Tarifarios (Quilicura)'!$A:$A,0)),H262&lt;=1000,INDEX('Pliegos Tarifarios (Quilicura)'!$H:$H,MATCH($B262,'Pliegos Tarifarios (Quilicura)'!$A:$A,0)),H262&lt;=5000,INDEX('Pliegos Tarifarios (Quilicura)'!$I:$I,MATCH($B262,'Pliegos Tarifarios (Quilicura)'!$A:$A,0)),H262&gt;5000,INDEX('Pliegos Tarifarios (Quilicura)'!$J:$J,MATCH($B262,'Pliegos Tarifarios (Quilicura)'!$A:$A,0)))/1.19</f>
        <v>65.421110588235294</v>
      </c>
      <c r="R262" s="19">
        <f>INDEX('Pliegos Tarifarios (Quilicura)'!$K:$K,MATCH($B262,'Pliegos Tarifarios (Quilicura)'!$A:$A,0))</f>
        <v>719.68899999999996</v>
      </c>
      <c r="S262" s="21">
        <f t="shared" si="12"/>
        <v>18721.209868688235</v>
      </c>
      <c r="T262" s="21">
        <f t="shared" si="13"/>
        <v>3557.0298750507645</v>
      </c>
      <c r="U262" s="19">
        <v>0</v>
      </c>
      <c r="V262" s="21">
        <f t="shared" si="14"/>
        <v>22278.239743738999</v>
      </c>
    </row>
    <row r="263" spans="1:22" x14ac:dyDescent="0.3">
      <c r="A263" s="7" t="s">
        <v>143</v>
      </c>
      <c r="B263" s="7">
        <v>4</v>
      </c>
      <c r="C263" s="8" t="s">
        <v>186</v>
      </c>
      <c r="D263" s="7" t="s">
        <v>236</v>
      </c>
      <c r="E263" s="7" t="s">
        <v>121</v>
      </c>
      <c r="F263" s="8" t="s">
        <v>134</v>
      </c>
      <c r="G263" s="7" t="s">
        <v>30</v>
      </c>
      <c r="H263" s="9">
        <v>99.677899999999994</v>
      </c>
      <c r="I263" s="9">
        <v>0.2823</v>
      </c>
      <c r="J263" s="9">
        <v>0.2797</v>
      </c>
      <c r="K263" s="10">
        <v>0.99078993978037555</v>
      </c>
      <c r="L263" s="9">
        <v>3.22</v>
      </c>
      <c r="M263" s="19">
        <f>H263*INDEX('Pliegos Tarifarios (Quilicura)'!$B:$B,MATCH($B263,'Pliegos Tarifarios (Quilicura)'!$A:$A,0))</f>
        <v>11845.522280199999</v>
      </c>
      <c r="N263" s="19">
        <f>I263*INDEX('Pliegos Tarifarios (Quilicura)'!$C:$C,MATCH($B263,'Pliegos Tarifarios (Quilicura)'!$A:$A,0))</f>
        <v>968.24863110000001</v>
      </c>
      <c r="O263" s="19">
        <f>J263*INDEX('Pliegos Tarifarios (Quilicura)'!$D:$D,MATCH($B263,'Pliegos Tarifarios (Quilicura)'!$A:$A,0))</f>
        <v>3951.7190740000001</v>
      </c>
      <c r="P263" s="19">
        <f>H263*INDEX('Pliegos Tarifarios (Quilicura)'!$E:$E,MATCH($B263,'Pliegos Tarifarios (Quilicura)'!$A:$A,0))</f>
        <v>1289.0346027999999</v>
      </c>
      <c r="Q263" s="19" cm="1">
        <f t="array" ref="Q263">H263*_xlfn.IFS(H263&lt;=350,INDEX('Pliegos Tarifarios (Quilicura)'!$F:$F,MATCH($B263,'Pliegos Tarifarios (Quilicura)'!$A:$A,0)),H263&lt;=500,INDEX('Pliegos Tarifarios (Quilicura)'!$G:$G,MATCH($B263,'Pliegos Tarifarios (Quilicura)'!$A:$A,0)),H263&lt;=1000,INDEX('Pliegos Tarifarios (Quilicura)'!$H:$H,MATCH($B263,'Pliegos Tarifarios (Quilicura)'!$A:$A,0)),H263&lt;=5000,INDEX('Pliegos Tarifarios (Quilicura)'!$I:$I,MATCH($B263,'Pliegos Tarifarios (Quilicura)'!$A:$A,0)),H263&gt;5000,INDEX('Pliegos Tarifarios (Quilicura)'!$J:$J,MATCH($B263,'Pliegos Tarifarios (Quilicura)'!$A:$A,0)))/1.19</f>
        <v>65.670145882352941</v>
      </c>
      <c r="R263" s="19">
        <f>INDEX('Pliegos Tarifarios (Quilicura)'!$K:$K,MATCH($B263,'Pliegos Tarifarios (Quilicura)'!$A:$A,0))</f>
        <v>719.68899999999996</v>
      </c>
      <c r="S263" s="21">
        <f t="shared" si="12"/>
        <v>18839.883733982348</v>
      </c>
      <c r="T263" s="21">
        <f t="shared" si="13"/>
        <v>3579.577909456646</v>
      </c>
      <c r="U263" s="19">
        <v>0</v>
      </c>
      <c r="V263" s="21">
        <f t="shared" si="14"/>
        <v>22419.461643438994</v>
      </c>
    </row>
    <row r="264" spans="1:22" x14ac:dyDescent="0.3">
      <c r="A264" s="7" t="s">
        <v>143</v>
      </c>
      <c r="B264" s="7">
        <v>4</v>
      </c>
      <c r="C264" s="8" t="s">
        <v>186</v>
      </c>
      <c r="D264" s="7" t="s">
        <v>237</v>
      </c>
      <c r="E264" s="7" t="s">
        <v>121</v>
      </c>
      <c r="F264" s="8" t="s">
        <v>136</v>
      </c>
      <c r="G264" s="7" t="s">
        <v>30</v>
      </c>
      <c r="H264" s="9">
        <v>99.457899999999995</v>
      </c>
      <c r="I264" s="9">
        <v>0.28160000000000002</v>
      </c>
      <c r="J264" s="9">
        <v>0.28160000000000002</v>
      </c>
      <c r="K264" s="10">
        <v>1</v>
      </c>
      <c r="L264" s="9">
        <v>3.21</v>
      </c>
      <c r="M264" s="19">
        <f>H264*INDEX('Pliegos Tarifarios (Quilicura)'!$B:$B,MATCH($B264,'Pliegos Tarifarios (Quilicura)'!$A:$A,0))</f>
        <v>11819.377920199999</v>
      </c>
      <c r="N264" s="19">
        <f>I264*INDEX('Pliegos Tarifarios (Quilicura)'!$C:$C,MATCH($B264,'Pliegos Tarifarios (Quilicura)'!$A:$A,0))</f>
        <v>965.8477312</v>
      </c>
      <c r="O264" s="19">
        <f>J264*INDEX('Pliegos Tarifarios (Quilicura)'!$D:$D,MATCH($B264,'Pliegos Tarifarios (Quilicura)'!$A:$A,0))</f>
        <v>3978.5630720000004</v>
      </c>
      <c r="P264" s="19">
        <f>H264*INDEX('Pliegos Tarifarios (Quilicura)'!$E:$E,MATCH($B264,'Pliegos Tarifarios (Quilicura)'!$A:$A,0))</f>
        <v>1286.1895628</v>
      </c>
      <c r="Q264" s="19" cm="1">
        <f t="array" ref="Q264">H264*_xlfn.IFS(H264&lt;=350,INDEX('Pliegos Tarifarios (Quilicura)'!$F:$F,MATCH($B264,'Pliegos Tarifarios (Quilicura)'!$A:$A,0)),H264&lt;=500,INDEX('Pliegos Tarifarios (Quilicura)'!$G:$G,MATCH($B264,'Pliegos Tarifarios (Quilicura)'!$A:$A,0)),H264&lt;=1000,INDEX('Pliegos Tarifarios (Quilicura)'!$H:$H,MATCH($B264,'Pliegos Tarifarios (Quilicura)'!$A:$A,0)),H264&lt;=5000,INDEX('Pliegos Tarifarios (Quilicura)'!$I:$I,MATCH($B264,'Pliegos Tarifarios (Quilicura)'!$A:$A,0)),H264&gt;5000,INDEX('Pliegos Tarifarios (Quilicura)'!$J:$J,MATCH($B264,'Pliegos Tarifarios (Quilicura)'!$A:$A,0)))/1.19</f>
        <v>65.525204705882359</v>
      </c>
      <c r="R264" s="19">
        <f>INDEX('Pliegos Tarifarios (Quilicura)'!$K:$K,MATCH($B264,'Pliegos Tarifarios (Quilicura)'!$A:$A,0))</f>
        <v>719.68899999999996</v>
      </c>
      <c r="S264" s="21">
        <f t="shared" si="12"/>
        <v>18835.192490905876</v>
      </c>
      <c r="T264" s="21">
        <f t="shared" si="13"/>
        <v>3578.6865732721167</v>
      </c>
      <c r="U264" s="19">
        <v>0</v>
      </c>
      <c r="V264" s="21">
        <f t="shared" si="14"/>
        <v>22413.879064177992</v>
      </c>
    </row>
    <row r="265" spans="1:22" x14ac:dyDescent="0.3">
      <c r="A265" s="7" t="s">
        <v>143</v>
      </c>
      <c r="B265" s="7">
        <v>4</v>
      </c>
      <c r="C265" s="8" t="s">
        <v>186</v>
      </c>
      <c r="D265" s="7" t="s">
        <v>238</v>
      </c>
      <c r="E265" s="7" t="s">
        <v>121</v>
      </c>
      <c r="F265" s="8" t="s">
        <v>138</v>
      </c>
      <c r="G265" s="7" t="s">
        <v>30</v>
      </c>
      <c r="H265" s="9">
        <v>99.680199999999999</v>
      </c>
      <c r="I265" s="9">
        <v>0.28220000000000001</v>
      </c>
      <c r="J265" s="9">
        <v>0.2782</v>
      </c>
      <c r="K265" s="10">
        <v>0.98582565556343016</v>
      </c>
      <c r="L265" s="9">
        <v>3.22</v>
      </c>
      <c r="M265" s="19">
        <f>H265*INDEX('Pliegos Tarifarios (Quilicura)'!$B:$B,MATCH($B265,'Pliegos Tarifarios (Quilicura)'!$A:$A,0))</f>
        <v>11845.795607599999</v>
      </c>
      <c r="N265" s="19">
        <f>I265*INDEX('Pliegos Tarifarios (Quilicura)'!$C:$C,MATCH($B265,'Pliegos Tarifarios (Quilicura)'!$A:$A,0))</f>
        <v>967.90564540000003</v>
      </c>
      <c r="O265" s="19">
        <f>J265*INDEX('Pliegos Tarifarios (Quilicura)'!$D:$D,MATCH($B265,'Pliegos Tarifarios (Quilicura)'!$A:$A,0))</f>
        <v>3930.5264440000001</v>
      </c>
      <c r="P265" s="19">
        <f>H265*INDEX('Pliegos Tarifarios (Quilicura)'!$E:$E,MATCH($B265,'Pliegos Tarifarios (Quilicura)'!$A:$A,0))</f>
        <v>1289.0643464</v>
      </c>
      <c r="Q265" s="19" cm="1">
        <f t="array" ref="Q265">H265*_xlfn.IFS(H265&lt;=350,INDEX('Pliegos Tarifarios (Quilicura)'!$F:$F,MATCH($B265,'Pliegos Tarifarios (Quilicura)'!$A:$A,0)),H265&lt;=500,INDEX('Pliegos Tarifarios (Quilicura)'!$G:$G,MATCH($B265,'Pliegos Tarifarios (Quilicura)'!$A:$A,0)),H265&lt;=1000,INDEX('Pliegos Tarifarios (Quilicura)'!$H:$H,MATCH($B265,'Pliegos Tarifarios (Quilicura)'!$A:$A,0)),H265&lt;=5000,INDEX('Pliegos Tarifarios (Quilicura)'!$I:$I,MATCH($B265,'Pliegos Tarifarios (Quilicura)'!$A:$A,0)),H265&gt;5000,INDEX('Pliegos Tarifarios (Quilicura)'!$J:$J,MATCH($B265,'Pliegos Tarifarios (Quilicura)'!$A:$A,0)))/1.19</f>
        <v>65.671661176470593</v>
      </c>
      <c r="R265" s="19">
        <f>INDEX('Pliegos Tarifarios (Quilicura)'!$K:$K,MATCH($B265,'Pliegos Tarifarios (Quilicura)'!$A:$A,0))</f>
        <v>719.68899999999996</v>
      </c>
      <c r="S265" s="21">
        <f t="shared" si="12"/>
        <v>18818.652704576467</v>
      </c>
      <c r="T265" s="21">
        <f t="shared" si="13"/>
        <v>3575.544013869529</v>
      </c>
      <c r="U265" s="19">
        <v>0</v>
      </c>
      <c r="V265" s="21">
        <f t="shared" si="14"/>
        <v>22394.196718445997</v>
      </c>
    </row>
    <row r="266" spans="1:22" x14ac:dyDescent="0.3">
      <c r="A266" s="7" t="s">
        <v>143</v>
      </c>
      <c r="B266" s="7">
        <v>4</v>
      </c>
      <c r="C266" s="8" t="s">
        <v>186</v>
      </c>
      <c r="D266" s="7" t="s">
        <v>239</v>
      </c>
      <c r="E266" s="7" t="s">
        <v>121</v>
      </c>
      <c r="F266" s="8" t="s">
        <v>140</v>
      </c>
      <c r="G266" s="7" t="s">
        <v>30</v>
      </c>
      <c r="H266" s="9">
        <v>99.360799999999998</v>
      </c>
      <c r="I266" s="9">
        <v>0.28189999999999998</v>
      </c>
      <c r="J266" s="9">
        <v>0.2722</v>
      </c>
      <c r="K266" s="10">
        <v>0.9655906349769422</v>
      </c>
      <c r="L266" s="9">
        <v>3.21</v>
      </c>
      <c r="M266" s="19">
        <f>H266*INDEX('Pliegos Tarifarios (Quilicura)'!$B:$B,MATCH($B266,'Pliegos Tarifarios (Quilicura)'!$A:$A,0))</f>
        <v>11807.838750399998</v>
      </c>
      <c r="N266" s="19">
        <f>I266*INDEX('Pliegos Tarifarios (Quilicura)'!$C:$C,MATCH($B266,'Pliegos Tarifarios (Quilicura)'!$A:$A,0))</f>
        <v>966.87668829999996</v>
      </c>
      <c r="O266" s="19">
        <f>J266*INDEX('Pliegos Tarifarios (Quilicura)'!$D:$D,MATCH($B266,'Pliegos Tarifarios (Quilicura)'!$A:$A,0))</f>
        <v>3845.7559240000001</v>
      </c>
      <c r="P266" s="19">
        <f>H266*INDEX('Pliegos Tarifarios (Quilicura)'!$E:$E,MATCH($B266,'Pliegos Tarifarios (Quilicura)'!$A:$A,0))</f>
        <v>1284.9338656</v>
      </c>
      <c r="Q266" s="19" cm="1">
        <f t="array" ref="Q266">H266*_xlfn.IFS(H266&lt;=350,INDEX('Pliegos Tarifarios (Quilicura)'!$F:$F,MATCH($B266,'Pliegos Tarifarios (Quilicura)'!$A:$A,0)),H266&lt;=500,INDEX('Pliegos Tarifarios (Quilicura)'!$G:$G,MATCH($B266,'Pliegos Tarifarios (Quilicura)'!$A:$A,0)),H266&lt;=1000,INDEX('Pliegos Tarifarios (Quilicura)'!$H:$H,MATCH($B266,'Pliegos Tarifarios (Quilicura)'!$A:$A,0)),H266&lt;=5000,INDEX('Pliegos Tarifarios (Quilicura)'!$I:$I,MATCH($B266,'Pliegos Tarifarios (Quilicura)'!$A:$A,0)),H266&gt;5000,INDEX('Pliegos Tarifarios (Quilicura)'!$J:$J,MATCH($B266,'Pliegos Tarifarios (Quilicura)'!$A:$A,0)))/1.19</f>
        <v>65.461232941176476</v>
      </c>
      <c r="R266" s="19">
        <f>INDEX('Pliegos Tarifarios (Quilicura)'!$K:$K,MATCH($B266,'Pliegos Tarifarios (Quilicura)'!$A:$A,0))</f>
        <v>719.68899999999996</v>
      </c>
      <c r="S266" s="21">
        <f t="shared" si="12"/>
        <v>18690.555461241172</v>
      </c>
      <c r="T266" s="21">
        <f t="shared" si="13"/>
        <v>3551.205537635823</v>
      </c>
      <c r="U266" s="19">
        <v>0</v>
      </c>
      <c r="V266" s="21">
        <f t="shared" si="14"/>
        <v>22241.760998876995</v>
      </c>
    </row>
    <row r="267" spans="1:22" x14ac:dyDescent="0.3">
      <c r="A267" s="7" t="s">
        <v>143</v>
      </c>
      <c r="B267" s="7">
        <v>4</v>
      </c>
      <c r="C267" s="8" t="s">
        <v>186</v>
      </c>
      <c r="D267" s="7" t="s">
        <v>240</v>
      </c>
      <c r="E267" s="7" t="s">
        <v>121</v>
      </c>
      <c r="F267" s="8" t="s">
        <v>241</v>
      </c>
      <c r="G267" s="7" t="s">
        <v>30</v>
      </c>
      <c r="H267" s="9">
        <v>99.835700000000003</v>
      </c>
      <c r="I267" s="9">
        <v>0.28649999999999998</v>
      </c>
      <c r="J267" s="9">
        <v>0.27910000000000001</v>
      </c>
      <c r="K267" s="10">
        <v>0.97417102966841196</v>
      </c>
      <c r="L267" s="9">
        <v>3.22</v>
      </c>
      <c r="M267" s="19">
        <f>H267*INDEX('Pliegos Tarifarios (Quilicura)'!$B:$B,MATCH($B267,'Pliegos Tarifarios (Quilicura)'!$A:$A,0))</f>
        <v>11864.274916599999</v>
      </c>
      <c r="N267" s="19">
        <f>I267*INDEX('Pliegos Tarifarios (Quilicura)'!$C:$C,MATCH($B267,'Pliegos Tarifarios (Quilicura)'!$A:$A,0))</f>
        <v>982.65403049999986</v>
      </c>
      <c r="O267" s="19">
        <f>J267*INDEX('Pliegos Tarifarios (Quilicura)'!$D:$D,MATCH($B267,'Pliegos Tarifarios (Quilicura)'!$A:$A,0))</f>
        <v>3943.2420220000004</v>
      </c>
      <c r="P267" s="19">
        <f>H267*INDEX('Pliegos Tarifarios (Quilicura)'!$E:$E,MATCH($B267,'Pliegos Tarifarios (Quilicura)'!$A:$A,0))</f>
        <v>1291.0752724000001</v>
      </c>
      <c r="Q267" s="19" cm="1">
        <f t="array" ref="Q267">H267*_xlfn.IFS(H267&lt;=350,INDEX('Pliegos Tarifarios (Quilicura)'!$F:$F,MATCH($B267,'Pliegos Tarifarios (Quilicura)'!$A:$A,0)),H267&lt;=500,INDEX('Pliegos Tarifarios (Quilicura)'!$G:$G,MATCH($B267,'Pliegos Tarifarios (Quilicura)'!$A:$A,0)),H267&lt;=1000,INDEX('Pliegos Tarifarios (Quilicura)'!$H:$H,MATCH($B267,'Pliegos Tarifarios (Quilicura)'!$A:$A,0)),H267&lt;=5000,INDEX('Pliegos Tarifarios (Quilicura)'!$I:$I,MATCH($B267,'Pliegos Tarifarios (Quilicura)'!$A:$A,0)),H267&gt;5000,INDEX('Pliegos Tarifarios (Quilicura)'!$J:$J,MATCH($B267,'Pliegos Tarifarios (Quilicura)'!$A:$A,0)))/1.19</f>
        <v>65.774108235294122</v>
      </c>
      <c r="R267" s="19">
        <f>INDEX('Pliegos Tarifarios (Quilicura)'!$K:$K,MATCH($B267,'Pliegos Tarifarios (Quilicura)'!$A:$A,0))</f>
        <v>719.68899999999996</v>
      </c>
      <c r="S267" s="21">
        <f t="shared" ref="S267:S330" si="15">SUM(M267:R267)</f>
        <v>18866.709349735294</v>
      </c>
      <c r="T267" s="21">
        <f t="shared" ref="T267:T330" si="16">S267*0.19</f>
        <v>3584.6747764497059</v>
      </c>
      <c r="U267" s="19">
        <v>0</v>
      </c>
      <c r="V267" s="21">
        <f t="shared" ref="V267:V330" si="17">SUM(S267:T267)</f>
        <v>22451.384126184999</v>
      </c>
    </row>
    <row r="268" spans="1:22" x14ac:dyDescent="0.3">
      <c r="A268" s="7" t="s">
        <v>143</v>
      </c>
      <c r="B268" s="7">
        <v>4</v>
      </c>
      <c r="C268" s="8" t="s">
        <v>186</v>
      </c>
      <c r="D268" s="7" t="s">
        <v>242</v>
      </c>
      <c r="E268" s="7" t="s">
        <v>121</v>
      </c>
      <c r="F268" s="8" t="s">
        <v>243</v>
      </c>
      <c r="G268" s="7" t="s">
        <v>30</v>
      </c>
      <c r="H268" s="9">
        <v>99.595299999999995</v>
      </c>
      <c r="I268" s="9">
        <v>0.27879999999999999</v>
      </c>
      <c r="J268" s="9">
        <v>0.27879999999999999</v>
      </c>
      <c r="K268" s="10">
        <v>1</v>
      </c>
      <c r="L268" s="9">
        <v>3.21</v>
      </c>
      <c r="M268" s="19">
        <f>H268*INDEX('Pliegos Tarifarios (Quilicura)'!$B:$B,MATCH($B268,'Pliegos Tarifarios (Quilicura)'!$A:$A,0))</f>
        <v>11835.706261399999</v>
      </c>
      <c r="N268" s="19">
        <f>I268*INDEX('Pliegos Tarifarios (Quilicura)'!$C:$C,MATCH($B268,'Pliegos Tarifarios (Quilicura)'!$A:$A,0))</f>
        <v>956.24413159999995</v>
      </c>
      <c r="O268" s="19">
        <f>J268*INDEX('Pliegos Tarifarios (Quilicura)'!$D:$D,MATCH($B268,'Pliegos Tarifarios (Quilicura)'!$A:$A,0))</f>
        <v>3939.0034959999998</v>
      </c>
      <c r="P268" s="19">
        <f>H268*INDEX('Pliegos Tarifarios (Quilicura)'!$E:$E,MATCH($B268,'Pliegos Tarifarios (Quilicura)'!$A:$A,0))</f>
        <v>1287.9664195999999</v>
      </c>
      <c r="Q268" s="19" cm="1">
        <f t="array" ref="Q268">H268*_xlfn.IFS(H268&lt;=350,INDEX('Pliegos Tarifarios (Quilicura)'!$F:$F,MATCH($B268,'Pliegos Tarifarios (Quilicura)'!$A:$A,0)),H268&lt;=500,INDEX('Pliegos Tarifarios (Quilicura)'!$G:$G,MATCH($B268,'Pliegos Tarifarios (Quilicura)'!$A:$A,0)),H268&lt;=1000,INDEX('Pliegos Tarifarios (Quilicura)'!$H:$H,MATCH($B268,'Pliegos Tarifarios (Quilicura)'!$A:$A,0)),H268&lt;=5000,INDEX('Pliegos Tarifarios (Quilicura)'!$I:$I,MATCH($B268,'Pliegos Tarifarios (Quilicura)'!$A:$A,0)),H268&gt;5000,INDEX('Pliegos Tarifarios (Quilicura)'!$J:$J,MATCH($B268,'Pliegos Tarifarios (Quilicura)'!$A:$A,0)))/1.19</f>
        <v>65.615727058823524</v>
      </c>
      <c r="R268" s="19">
        <f>INDEX('Pliegos Tarifarios (Quilicura)'!$K:$K,MATCH($B268,'Pliegos Tarifarios (Quilicura)'!$A:$A,0))</f>
        <v>719.68899999999996</v>
      </c>
      <c r="S268" s="21">
        <f t="shared" si="15"/>
        <v>18804.225035658823</v>
      </c>
      <c r="T268" s="21">
        <f t="shared" si="16"/>
        <v>3572.8027567751765</v>
      </c>
      <c r="U268" s="19">
        <v>0</v>
      </c>
      <c r="V268" s="21">
        <f t="shared" si="17"/>
        <v>22377.027792434001</v>
      </c>
    </row>
    <row r="269" spans="1:22" x14ac:dyDescent="0.3">
      <c r="A269" s="7" t="s">
        <v>143</v>
      </c>
      <c r="B269" s="7">
        <v>4</v>
      </c>
      <c r="C269" s="8" t="s">
        <v>186</v>
      </c>
      <c r="D269" s="7" t="s">
        <v>244</v>
      </c>
      <c r="E269" s="7" t="s">
        <v>121</v>
      </c>
      <c r="F269" s="8" t="s">
        <v>245</v>
      </c>
      <c r="G269" s="7" t="s">
        <v>30</v>
      </c>
      <c r="H269" s="9">
        <v>99.617999999999995</v>
      </c>
      <c r="I269" s="9">
        <v>0.28179999999999999</v>
      </c>
      <c r="J269" s="9">
        <v>0.28179999999999999</v>
      </c>
      <c r="K269" s="10">
        <v>1</v>
      </c>
      <c r="L269" s="9">
        <v>3.21</v>
      </c>
      <c r="M269" s="19">
        <f>H269*INDEX('Pliegos Tarifarios (Quilicura)'!$B:$B,MATCH($B269,'Pliegos Tarifarios (Quilicura)'!$A:$A,0))</f>
        <v>11838.403883999999</v>
      </c>
      <c r="N269" s="19">
        <f>I269*INDEX('Pliegos Tarifarios (Quilicura)'!$C:$C,MATCH($B269,'Pliegos Tarifarios (Quilicura)'!$A:$A,0))</f>
        <v>966.53370259999997</v>
      </c>
      <c r="O269" s="19">
        <f>J269*INDEX('Pliegos Tarifarios (Quilicura)'!$D:$D,MATCH($B269,'Pliegos Tarifarios (Quilicura)'!$A:$A,0))</f>
        <v>3981.3887559999998</v>
      </c>
      <c r="P269" s="19">
        <f>H269*INDEX('Pliegos Tarifarios (Quilicura)'!$E:$E,MATCH($B269,'Pliegos Tarifarios (Quilicura)'!$A:$A,0))</f>
        <v>1288.2599760000001</v>
      </c>
      <c r="Q269" s="19" cm="1">
        <f t="array" ref="Q269">H269*_xlfn.IFS(H269&lt;=350,INDEX('Pliegos Tarifarios (Quilicura)'!$F:$F,MATCH($B269,'Pliegos Tarifarios (Quilicura)'!$A:$A,0)),H269&lt;=500,INDEX('Pliegos Tarifarios (Quilicura)'!$G:$G,MATCH($B269,'Pliegos Tarifarios (Quilicura)'!$A:$A,0)),H269&lt;=1000,INDEX('Pliegos Tarifarios (Quilicura)'!$H:$H,MATCH($B269,'Pliegos Tarifarios (Quilicura)'!$A:$A,0)),H269&lt;=5000,INDEX('Pliegos Tarifarios (Quilicura)'!$I:$I,MATCH($B269,'Pliegos Tarifarios (Quilicura)'!$A:$A,0)),H269&gt;5000,INDEX('Pliegos Tarifarios (Quilicura)'!$J:$J,MATCH($B269,'Pliegos Tarifarios (Quilicura)'!$A:$A,0)))/1.19</f>
        <v>65.630682352941179</v>
      </c>
      <c r="R269" s="19">
        <f>INDEX('Pliegos Tarifarios (Quilicura)'!$K:$K,MATCH($B269,'Pliegos Tarifarios (Quilicura)'!$A:$A,0))</f>
        <v>719.68899999999996</v>
      </c>
      <c r="S269" s="21">
        <f t="shared" si="15"/>
        <v>18859.906000952938</v>
      </c>
      <c r="T269" s="21">
        <f t="shared" si="16"/>
        <v>3583.3821401810583</v>
      </c>
      <c r="U269" s="19">
        <v>0</v>
      </c>
      <c r="V269" s="21">
        <f t="shared" si="17"/>
        <v>22443.288141133999</v>
      </c>
    </row>
    <row r="270" spans="1:22" x14ac:dyDescent="0.3">
      <c r="A270" s="7" t="s">
        <v>143</v>
      </c>
      <c r="B270" s="7">
        <v>4</v>
      </c>
      <c r="C270" s="8" t="s">
        <v>186</v>
      </c>
      <c r="D270" s="7" t="s">
        <v>246</v>
      </c>
      <c r="E270" s="7" t="s">
        <v>121</v>
      </c>
      <c r="F270" s="8" t="s">
        <v>247</v>
      </c>
      <c r="G270" s="7" t="s">
        <v>30</v>
      </c>
      <c r="H270" s="9">
        <v>99.519800000000004</v>
      </c>
      <c r="I270" s="9">
        <v>0.27729999999999999</v>
      </c>
      <c r="J270" s="9">
        <v>0.27729999999999999</v>
      </c>
      <c r="K270" s="10">
        <v>1</v>
      </c>
      <c r="L270" s="9">
        <v>3.21</v>
      </c>
      <c r="M270" s="19">
        <f>H270*INDEX('Pliegos Tarifarios (Quilicura)'!$B:$B,MATCH($B270,'Pliegos Tarifarios (Quilicura)'!$A:$A,0))</f>
        <v>11826.733992400001</v>
      </c>
      <c r="N270" s="19">
        <f>I270*INDEX('Pliegos Tarifarios (Quilicura)'!$C:$C,MATCH($B270,'Pliegos Tarifarios (Quilicura)'!$A:$A,0))</f>
        <v>951.09934609999993</v>
      </c>
      <c r="O270" s="19">
        <f>J270*INDEX('Pliegos Tarifarios (Quilicura)'!$D:$D,MATCH($B270,'Pliegos Tarifarios (Quilicura)'!$A:$A,0))</f>
        <v>3917.8108659999998</v>
      </c>
      <c r="P270" s="19">
        <f>H270*INDEX('Pliegos Tarifarios (Quilicura)'!$E:$E,MATCH($B270,'Pliegos Tarifarios (Quilicura)'!$A:$A,0))</f>
        <v>1286.9900536</v>
      </c>
      <c r="Q270" s="19" cm="1">
        <f t="array" ref="Q270">H270*_xlfn.IFS(H270&lt;=350,INDEX('Pliegos Tarifarios (Quilicura)'!$F:$F,MATCH($B270,'Pliegos Tarifarios (Quilicura)'!$A:$A,0)),H270&lt;=500,INDEX('Pliegos Tarifarios (Quilicura)'!$G:$G,MATCH($B270,'Pliegos Tarifarios (Quilicura)'!$A:$A,0)),H270&lt;=1000,INDEX('Pliegos Tarifarios (Quilicura)'!$H:$H,MATCH($B270,'Pliegos Tarifarios (Quilicura)'!$A:$A,0)),H270&lt;=5000,INDEX('Pliegos Tarifarios (Quilicura)'!$I:$I,MATCH($B270,'Pliegos Tarifarios (Quilicura)'!$A:$A,0)),H270&gt;5000,INDEX('Pliegos Tarifarios (Quilicura)'!$J:$J,MATCH($B270,'Pliegos Tarifarios (Quilicura)'!$A:$A,0)))/1.19</f>
        <v>65.565985882352948</v>
      </c>
      <c r="R270" s="19">
        <f>INDEX('Pliegos Tarifarios (Quilicura)'!$K:$K,MATCH($B270,'Pliegos Tarifarios (Quilicura)'!$A:$A,0))</f>
        <v>719.68899999999996</v>
      </c>
      <c r="S270" s="21">
        <f t="shared" si="15"/>
        <v>18767.88924398235</v>
      </c>
      <c r="T270" s="21">
        <f t="shared" si="16"/>
        <v>3565.8989563566465</v>
      </c>
      <c r="U270" s="19">
        <v>0</v>
      </c>
      <c r="V270" s="21">
        <f t="shared" si="17"/>
        <v>22333.788200338997</v>
      </c>
    </row>
    <row r="271" spans="1:22" x14ac:dyDescent="0.3">
      <c r="A271" s="7" t="s">
        <v>143</v>
      </c>
      <c r="B271" s="7">
        <v>4</v>
      </c>
      <c r="C271" s="8" t="s">
        <v>186</v>
      </c>
      <c r="D271" s="7" t="s">
        <v>248</v>
      </c>
      <c r="E271" s="7" t="s">
        <v>121</v>
      </c>
      <c r="F271" s="8" t="s">
        <v>249</v>
      </c>
      <c r="G271" s="7" t="s">
        <v>30</v>
      </c>
      <c r="H271" s="9">
        <v>99.626599999999996</v>
      </c>
      <c r="I271" s="9">
        <v>0.28920000000000001</v>
      </c>
      <c r="J271" s="9">
        <v>0.2772</v>
      </c>
      <c r="K271" s="10">
        <v>0.95850622406638997</v>
      </c>
      <c r="L271" s="9">
        <v>3.21</v>
      </c>
      <c r="M271" s="19">
        <f>H271*INDEX('Pliegos Tarifarios (Quilicura)'!$B:$B,MATCH($B271,'Pliegos Tarifarios (Quilicura)'!$A:$A,0))</f>
        <v>11839.425890799999</v>
      </c>
      <c r="N271" s="19">
        <f>I271*INDEX('Pliegos Tarifarios (Quilicura)'!$C:$C,MATCH($B271,'Pliegos Tarifarios (Quilicura)'!$A:$A,0))</f>
        <v>991.91464440000004</v>
      </c>
      <c r="O271" s="19">
        <f>J271*INDEX('Pliegos Tarifarios (Quilicura)'!$D:$D,MATCH($B271,'Pliegos Tarifarios (Quilicura)'!$A:$A,0))</f>
        <v>3916.3980240000001</v>
      </c>
      <c r="P271" s="19">
        <f>H271*INDEX('Pliegos Tarifarios (Quilicura)'!$E:$E,MATCH($B271,'Pliegos Tarifarios (Quilicura)'!$A:$A,0))</f>
        <v>1288.3711911999999</v>
      </c>
      <c r="Q271" s="19" cm="1">
        <f t="array" ref="Q271">H271*_xlfn.IFS(H271&lt;=350,INDEX('Pliegos Tarifarios (Quilicura)'!$F:$F,MATCH($B271,'Pliegos Tarifarios (Quilicura)'!$A:$A,0)),H271&lt;=500,INDEX('Pliegos Tarifarios (Quilicura)'!$G:$G,MATCH($B271,'Pliegos Tarifarios (Quilicura)'!$A:$A,0)),H271&lt;=1000,INDEX('Pliegos Tarifarios (Quilicura)'!$H:$H,MATCH($B271,'Pliegos Tarifarios (Quilicura)'!$A:$A,0)),H271&lt;=5000,INDEX('Pliegos Tarifarios (Quilicura)'!$I:$I,MATCH($B271,'Pliegos Tarifarios (Quilicura)'!$A:$A,0)),H271&gt;5000,INDEX('Pliegos Tarifarios (Quilicura)'!$J:$J,MATCH($B271,'Pliegos Tarifarios (Quilicura)'!$A:$A,0)))/1.19</f>
        <v>65.636348235294122</v>
      </c>
      <c r="R271" s="19">
        <f>INDEX('Pliegos Tarifarios (Quilicura)'!$K:$K,MATCH($B271,'Pliegos Tarifarios (Quilicura)'!$A:$A,0))</f>
        <v>719.68899999999996</v>
      </c>
      <c r="S271" s="21">
        <f t="shared" si="15"/>
        <v>18821.435098635291</v>
      </c>
      <c r="T271" s="21">
        <f t="shared" si="16"/>
        <v>3576.0726687407055</v>
      </c>
      <c r="U271" s="19">
        <v>0</v>
      </c>
      <c r="V271" s="21">
        <f t="shared" si="17"/>
        <v>22397.507767375995</v>
      </c>
    </row>
    <row r="272" spans="1:22" x14ac:dyDescent="0.3">
      <c r="A272" s="7" t="s">
        <v>143</v>
      </c>
      <c r="B272" s="7">
        <v>4</v>
      </c>
      <c r="C272" s="8" t="s">
        <v>186</v>
      </c>
      <c r="D272" s="7" t="s">
        <v>250</v>
      </c>
      <c r="E272" s="7" t="s">
        <v>121</v>
      </c>
      <c r="F272" s="8" t="s">
        <v>251</v>
      </c>
      <c r="G272" s="7" t="s">
        <v>30</v>
      </c>
      <c r="H272" s="9">
        <v>99.652500000000003</v>
      </c>
      <c r="I272" s="9">
        <v>0.28110000000000002</v>
      </c>
      <c r="J272" s="9">
        <v>0.2797</v>
      </c>
      <c r="K272" s="10">
        <v>0.99501956599075059</v>
      </c>
      <c r="L272" s="9">
        <v>3.21</v>
      </c>
      <c r="M272" s="19">
        <f>H272*INDEX('Pliegos Tarifarios (Quilicura)'!$B:$B,MATCH($B272,'Pliegos Tarifarios (Quilicura)'!$A:$A,0))</f>
        <v>11842.503795000001</v>
      </c>
      <c r="N272" s="19">
        <f>I272*INDEX('Pliegos Tarifarios (Quilicura)'!$C:$C,MATCH($B272,'Pliegos Tarifarios (Quilicura)'!$A:$A,0))</f>
        <v>964.13280270000007</v>
      </c>
      <c r="O272" s="19">
        <f>J272*INDEX('Pliegos Tarifarios (Quilicura)'!$D:$D,MATCH($B272,'Pliegos Tarifarios (Quilicura)'!$A:$A,0))</f>
        <v>3951.7190740000001</v>
      </c>
      <c r="P272" s="19">
        <f>H272*INDEX('Pliegos Tarifarios (Quilicura)'!$E:$E,MATCH($B272,'Pliegos Tarifarios (Quilicura)'!$A:$A,0))</f>
        <v>1288.70613</v>
      </c>
      <c r="Q272" s="19" cm="1">
        <f t="array" ref="Q272">H272*_xlfn.IFS(H272&lt;=350,INDEX('Pliegos Tarifarios (Quilicura)'!$F:$F,MATCH($B272,'Pliegos Tarifarios (Quilicura)'!$A:$A,0)),H272&lt;=500,INDEX('Pliegos Tarifarios (Quilicura)'!$G:$G,MATCH($B272,'Pliegos Tarifarios (Quilicura)'!$A:$A,0)),H272&lt;=1000,INDEX('Pliegos Tarifarios (Quilicura)'!$H:$H,MATCH($B272,'Pliegos Tarifarios (Quilicura)'!$A:$A,0)),H272&lt;=5000,INDEX('Pliegos Tarifarios (Quilicura)'!$I:$I,MATCH($B272,'Pliegos Tarifarios (Quilicura)'!$A:$A,0)),H272&gt;5000,INDEX('Pliegos Tarifarios (Quilicura)'!$J:$J,MATCH($B272,'Pliegos Tarifarios (Quilicura)'!$A:$A,0)))/1.19</f>
        <v>65.653411764705893</v>
      </c>
      <c r="R272" s="19">
        <f>INDEX('Pliegos Tarifarios (Quilicura)'!$K:$K,MATCH($B272,'Pliegos Tarifarios (Quilicura)'!$A:$A,0))</f>
        <v>719.68899999999996</v>
      </c>
      <c r="S272" s="21">
        <f t="shared" si="15"/>
        <v>18832.404213464702</v>
      </c>
      <c r="T272" s="21">
        <f t="shared" si="16"/>
        <v>3578.1568005582935</v>
      </c>
      <c r="U272" s="19">
        <v>0</v>
      </c>
      <c r="V272" s="21">
        <f t="shared" si="17"/>
        <v>22410.561014022995</v>
      </c>
    </row>
    <row r="273" spans="1:22" x14ac:dyDescent="0.3">
      <c r="A273" s="7" t="s">
        <v>143</v>
      </c>
      <c r="B273" s="7">
        <v>4</v>
      </c>
      <c r="C273" s="8" t="s">
        <v>186</v>
      </c>
      <c r="D273" s="7" t="s">
        <v>252</v>
      </c>
      <c r="E273" s="7" t="s">
        <v>121</v>
      </c>
      <c r="F273" s="8" t="s">
        <v>253</v>
      </c>
      <c r="G273" s="7" t="s">
        <v>30</v>
      </c>
      <c r="H273" s="9">
        <v>99.757000000000005</v>
      </c>
      <c r="I273" s="9">
        <v>0.29699999999999999</v>
      </c>
      <c r="J273" s="9">
        <v>0.27479999999999999</v>
      </c>
      <c r="K273" s="10">
        <v>0.92525252525252522</v>
      </c>
      <c r="L273" s="9">
        <v>3.22</v>
      </c>
      <c r="M273" s="19">
        <f>H273*INDEX('Pliegos Tarifarios (Quilicura)'!$B:$B,MATCH($B273,'Pliegos Tarifarios (Quilicura)'!$A:$A,0))</f>
        <v>11854.922366000001</v>
      </c>
      <c r="N273" s="19">
        <f>I273*INDEX('Pliegos Tarifarios (Quilicura)'!$C:$C,MATCH($B273,'Pliegos Tarifarios (Quilicura)'!$A:$A,0))</f>
        <v>1018.6675289999999</v>
      </c>
      <c r="O273" s="19">
        <f>J273*INDEX('Pliegos Tarifarios (Quilicura)'!$D:$D,MATCH($B273,'Pliegos Tarifarios (Quilicura)'!$A:$A,0))</f>
        <v>3882.4898159999998</v>
      </c>
      <c r="P273" s="19">
        <f>H273*INDEX('Pliegos Tarifarios (Quilicura)'!$E:$E,MATCH($B273,'Pliegos Tarifarios (Quilicura)'!$A:$A,0))</f>
        <v>1290.0575240000001</v>
      </c>
      <c r="Q273" s="19" cm="1">
        <f t="array" ref="Q273">H273*_xlfn.IFS(H273&lt;=350,INDEX('Pliegos Tarifarios (Quilicura)'!$F:$F,MATCH($B273,'Pliegos Tarifarios (Quilicura)'!$A:$A,0)),H273&lt;=500,INDEX('Pliegos Tarifarios (Quilicura)'!$G:$G,MATCH($B273,'Pliegos Tarifarios (Quilicura)'!$A:$A,0)),H273&lt;=1000,INDEX('Pliegos Tarifarios (Quilicura)'!$H:$H,MATCH($B273,'Pliegos Tarifarios (Quilicura)'!$A:$A,0)),H273&lt;=5000,INDEX('Pliegos Tarifarios (Quilicura)'!$I:$I,MATCH($B273,'Pliegos Tarifarios (Quilicura)'!$A:$A,0)),H273&gt;5000,INDEX('Pliegos Tarifarios (Quilicura)'!$J:$J,MATCH($B273,'Pliegos Tarifarios (Quilicura)'!$A:$A,0)))/1.19</f>
        <v>65.722258823529415</v>
      </c>
      <c r="R273" s="19">
        <f>INDEX('Pliegos Tarifarios (Quilicura)'!$K:$K,MATCH($B273,'Pliegos Tarifarios (Quilicura)'!$A:$A,0))</f>
        <v>719.68899999999996</v>
      </c>
      <c r="S273" s="21">
        <f t="shared" si="15"/>
        <v>18831.548493823531</v>
      </c>
      <c r="T273" s="21">
        <f t="shared" si="16"/>
        <v>3577.994213826471</v>
      </c>
      <c r="U273" s="19">
        <v>0</v>
      </c>
      <c r="V273" s="21">
        <f t="shared" si="17"/>
        <v>22409.542707650002</v>
      </c>
    </row>
    <row r="274" spans="1:22" x14ac:dyDescent="0.3">
      <c r="A274" s="7" t="s">
        <v>143</v>
      </c>
      <c r="B274" s="7">
        <v>4</v>
      </c>
      <c r="C274" s="8" t="s">
        <v>186</v>
      </c>
      <c r="D274" s="7" t="s">
        <v>254</v>
      </c>
      <c r="E274" s="7" t="s">
        <v>121</v>
      </c>
      <c r="F274" s="8" t="s">
        <v>255</v>
      </c>
      <c r="G274" s="7" t="s">
        <v>30</v>
      </c>
      <c r="H274" s="9">
        <v>99.613299999999995</v>
      </c>
      <c r="I274" s="9">
        <v>0.28420000000000001</v>
      </c>
      <c r="J274" s="9">
        <v>0.28060000000000002</v>
      </c>
      <c r="K274" s="10">
        <v>0.98733286418015487</v>
      </c>
      <c r="L274" s="9">
        <v>3.21</v>
      </c>
      <c r="M274" s="19">
        <f>H274*INDEX('Pliegos Tarifarios (Quilicura)'!$B:$B,MATCH($B274,'Pliegos Tarifarios (Quilicura)'!$A:$A,0))</f>
        <v>11837.845345399999</v>
      </c>
      <c r="N274" s="19">
        <f>I274*INDEX('Pliegos Tarifarios (Quilicura)'!$C:$C,MATCH($B274,'Pliegos Tarifarios (Quilicura)'!$A:$A,0))</f>
        <v>974.76535939999997</v>
      </c>
      <c r="O274" s="19">
        <f>J274*INDEX('Pliegos Tarifarios (Quilicura)'!$D:$D,MATCH($B274,'Pliegos Tarifarios (Quilicura)'!$A:$A,0))</f>
        <v>3964.4346520000004</v>
      </c>
      <c r="P274" s="19">
        <f>H274*INDEX('Pliegos Tarifarios (Quilicura)'!$E:$E,MATCH($B274,'Pliegos Tarifarios (Quilicura)'!$A:$A,0))</f>
        <v>1288.1991955999999</v>
      </c>
      <c r="Q274" s="19" cm="1">
        <f t="array" ref="Q274">H274*_xlfn.IFS(H274&lt;=350,INDEX('Pliegos Tarifarios (Quilicura)'!$F:$F,MATCH($B274,'Pliegos Tarifarios (Quilicura)'!$A:$A,0)),H274&lt;=500,INDEX('Pliegos Tarifarios (Quilicura)'!$G:$G,MATCH($B274,'Pliegos Tarifarios (Quilicura)'!$A:$A,0)),H274&lt;=1000,INDEX('Pliegos Tarifarios (Quilicura)'!$H:$H,MATCH($B274,'Pliegos Tarifarios (Quilicura)'!$A:$A,0)),H274&lt;=5000,INDEX('Pliegos Tarifarios (Quilicura)'!$I:$I,MATCH($B274,'Pliegos Tarifarios (Quilicura)'!$A:$A,0)),H274&gt;5000,INDEX('Pliegos Tarifarios (Quilicura)'!$J:$J,MATCH($B274,'Pliegos Tarifarios (Quilicura)'!$A:$A,0)))/1.19</f>
        <v>65.627585882352932</v>
      </c>
      <c r="R274" s="19">
        <f>INDEX('Pliegos Tarifarios (Quilicura)'!$K:$K,MATCH($B274,'Pliegos Tarifarios (Quilicura)'!$A:$A,0))</f>
        <v>719.68899999999996</v>
      </c>
      <c r="S274" s="21">
        <f t="shared" si="15"/>
        <v>18850.561138282352</v>
      </c>
      <c r="T274" s="21">
        <f t="shared" si="16"/>
        <v>3581.606616273647</v>
      </c>
      <c r="U274" s="19">
        <v>0</v>
      </c>
      <c r="V274" s="21">
        <f t="shared" si="17"/>
        <v>22432.167754555998</v>
      </c>
    </row>
    <row r="275" spans="1:22" x14ac:dyDescent="0.3">
      <c r="A275" s="7" t="s">
        <v>143</v>
      </c>
      <c r="B275" s="7">
        <v>4</v>
      </c>
      <c r="C275" s="8" t="s">
        <v>186</v>
      </c>
      <c r="D275" s="7" t="s">
        <v>256</v>
      </c>
      <c r="E275" s="7" t="s">
        <v>121</v>
      </c>
      <c r="F275" s="8" t="s">
        <v>257</v>
      </c>
      <c r="G275" s="7" t="s">
        <v>30</v>
      </c>
      <c r="H275" s="9">
        <v>99.755300000000005</v>
      </c>
      <c r="I275" s="9">
        <v>0.2878</v>
      </c>
      <c r="J275" s="9">
        <v>0.2878</v>
      </c>
      <c r="K275" s="10">
        <v>1</v>
      </c>
      <c r="L275" s="9">
        <v>3.22</v>
      </c>
      <c r="M275" s="19">
        <f>H275*INDEX('Pliegos Tarifarios (Quilicura)'!$B:$B,MATCH($B275,'Pliegos Tarifarios (Quilicura)'!$A:$A,0))</f>
        <v>11854.7203414</v>
      </c>
      <c r="N275" s="19">
        <f>I275*INDEX('Pliegos Tarifarios (Quilicura)'!$C:$C,MATCH($B275,'Pliegos Tarifarios (Quilicura)'!$A:$A,0))</f>
        <v>987.11284460000002</v>
      </c>
      <c r="O275" s="19">
        <f>J275*INDEX('Pliegos Tarifarios (Quilicura)'!$D:$D,MATCH($B275,'Pliegos Tarifarios (Quilicura)'!$A:$A,0))</f>
        <v>4066.1592759999999</v>
      </c>
      <c r="P275" s="19">
        <f>H275*INDEX('Pliegos Tarifarios (Quilicura)'!$E:$E,MATCH($B275,'Pliegos Tarifarios (Quilicura)'!$A:$A,0))</f>
        <v>1290.0355396000002</v>
      </c>
      <c r="Q275" s="19" cm="1">
        <f t="array" ref="Q275">H275*_xlfn.IFS(H275&lt;=350,INDEX('Pliegos Tarifarios (Quilicura)'!$F:$F,MATCH($B275,'Pliegos Tarifarios (Quilicura)'!$A:$A,0)),H275&lt;=500,INDEX('Pliegos Tarifarios (Quilicura)'!$G:$G,MATCH($B275,'Pliegos Tarifarios (Quilicura)'!$A:$A,0)),H275&lt;=1000,INDEX('Pliegos Tarifarios (Quilicura)'!$H:$H,MATCH($B275,'Pliegos Tarifarios (Quilicura)'!$A:$A,0)),H275&lt;=5000,INDEX('Pliegos Tarifarios (Quilicura)'!$I:$I,MATCH($B275,'Pliegos Tarifarios (Quilicura)'!$A:$A,0)),H275&gt;5000,INDEX('Pliegos Tarifarios (Quilicura)'!$J:$J,MATCH($B275,'Pliegos Tarifarios (Quilicura)'!$A:$A,0)))/1.19</f>
        <v>65.721138823529415</v>
      </c>
      <c r="R275" s="19">
        <f>INDEX('Pliegos Tarifarios (Quilicura)'!$K:$K,MATCH($B275,'Pliegos Tarifarios (Quilicura)'!$A:$A,0))</f>
        <v>719.68899999999996</v>
      </c>
      <c r="S275" s="21">
        <f t="shared" si="15"/>
        <v>18983.438140423528</v>
      </c>
      <c r="T275" s="21">
        <f t="shared" si="16"/>
        <v>3606.8532466804704</v>
      </c>
      <c r="U275" s="19">
        <v>0</v>
      </c>
      <c r="V275" s="21">
        <f t="shared" si="17"/>
        <v>22590.291387104</v>
      </c>
    </row>
    <row r="276" spans="1:22" x14ac:dyDescent="0.3">
      <c r="A276" s="7" t="s">
        <v>143</v>
      </c>
      <c r="B276" s="7">
        <v>4</v>
      </c>
      <c r="C276" s="8" t="s">
        <v>186</v>
      </c>
      <c r="D276" s="7" t="s">
        <v>258</v>
      </c>
      <c r="E276" s="7" t="s">
        <v>121</v>
      </c>
      <c r="F276" s="8" t="s">
        <v>259</v>
      </c>
      <c r="G276" s="7" t="s">
        <v>30</v>
      </c>
      <c r="H276" s="9">
        <v>99.841899999999995</v>
      </c>
      <c r="I276" s="9">
        <v>0.28649999999999998</v>
      </c>
      <c r="J276" s="9">
        <v>0.28310000000000002</v>
      </c>
      <c r="K276" s="10">
        <v>0.98813263525305428</v>
      </c>
      <c r="L276" s="9">
        <v>3.22</v>
      </c>
      <c r="M276" s="19">
        <f>H276*INDEX('Pliegos Tarifarios (Quilicura)'!$B:$B,MATCH($B276,'Pliegos Tarifarios (Quilicura)'!$A:$A,0))</f>
        <v>11865.011712199999</v>
      </c>
      <c r="N276" s="19">
        <f>I276*INDEX('Pliegos Tarifarios (Quilicura)'!$C:$C,MATCH($B276,'Pliegos Tarifarios (Quilicura)'!$A:$A,0))</f>
        <v>982.65403049999986</v>
      </c>
      <c r="O276" s="19">
        <f>J276*INDEX('Pliegos Tarifarios (Quilicura)'!$D:$D,MATCH($B276,'Pliegos Tarifarios (Quilicura)'!$A:$A,0))</f>
        <v>3999.7557020000004</v>
      </c>
      <c r="P276" s="19">
        <f>H276*INDEX('Pliegos Tarifarios (Quilicura)'!$E:$E,MATCH($B276,'Pliegos Tarifarios (Quilicura)'!$A:$A,0))</f>
        <v>1291.1554507999999</v>
      </c>
      <c r="Q276" s="19" cm="1">
        <f t="array" ref="Q276">H276*_xlfn.IFS(H276&lt;=350,INDEX('Pliegos Tarifarios (Quilicura)'!$F:$F,MATCH($B276,'Pliegos Tarifarios (Quilicura)'!$A:$A,0)),H276&lt;=500,INDEX('Pliegos Tarifarios (Quilicura)'!$G:$G,MATCH($B276,'Pliegos Tarifarios (Quilicura)'!$A:$A,0)),H276&lt;=1000,INDEX('Pliegos Tarifarios (Quilicura)'!$H:$H,MATCH($B276,'Pliegos Tarifarios (Quilicura)'!$A:$A,0)),H276&lt;=5000,INDEX('Pliegos Tarifarios (Quilicura)'!$I:$I,MATCH($B276,'Pliegos Tarifarios (Quilicura)'!$A:$A,0)),H276&gt;5000,INDEX('Pliegos Tarifarios (Quilicura)'!$J:$J,MATCH($B276,'Pliegos Tarifarios (Quilicura)'!$A:$A,0)))/1.19</f>
        <v>65.778192941176471</v>
      </c>
      <c r="R276" s="19">
        <f>INDEX('Pliegos Tarifarios (Quilicura)'!$K:$K,MATCH($B276,'Pliegos Tarifarios (Quilicura)'!$A:$A,0))</f>
        <v>719.68899999999996</v>
      </c>
      <c r="S276" s="21">
        <f t="shared" si="15"/>
        <v>18924.044088441173</v>
      </c>
      <c r="T276" s="21">
        <f t="shared" si="16"/>
        <v>3595.568376803823</v>
      </c>
      <c r="U276" s="19">
        <v>0</v>
      </c>
      <c r="V276" s="21">
        <f t="shared" si="17"/>
        <v>22519.612465244994</v>
      </c>
    </row>
    <row r="277" spans="1:22" x14ac:dyDescent="0.3">
      <c r="A277" s="7" t="s">
        <v>143</v>
      </c>
      <c r="B277" s="7">
        <v>4</v>
      </c>
      <c r="C277" s="8" t="s">
        <v>186</v>
      </c>
      <c r="D277" s="7" t="s">
        <v>260</v>
      </c>
      <c r="E277" s="7" t="s">
        <v>121</v>
      </c>
      <c r="F277" s="8" t="s">
        <v>261</v>
      </c>
      <c r="G277" s="7" t="s">
        <v>16</v>
      </c>
      <c r="H277" s="9">
        <v>817.96839999999997</v>
      </c>
      <c r="I277" s="9">
        <v>2.2719999999999998</v>
      </c>
      <c r="J277" s="9">
        <v>2.2461000000000002</v>
      </c>
      <c r="K277" s="10">
        <v>0.98860035211267627</v>
      </c>
      <c r="L277" s="9">
        <v>26.39</v>
      </c>
      <c r="M277" s="19">
        <f>H277*INDEX('Pliegos Tarifarios (Quilicura)'!$B:$B,MATCH($B277,'Pliegos Tarifarios (Quilicura)'!$A:$A,0))</f>
        <v>97205.728719199993</v>
      </c>
      <c r="N277" s="19">
        <f>I277*INDEX('Pliegos Tarifarios (Quilicura)'!$C:$C,MATCH($B277,'Pliegos Tarifarios (Quilicura)'!$A:$A,0))</f>
        <v>7792.635103999999</v>
      </c>
      <c r="O277" s="19">
        <f>J277*INDEX('Pliegos Tarifarios (Quilicura)'!$D:$D,MATCH($B277,'Pliegos Tarifarios (Quilicura)'!$A:$A,0))</f>
        <v>31733.844162000005</v>
      </c>
      <c r="P277" s="19">
        <f>H277*INDEX('Pliegos Tarifarios (Quilicura)'!$E:$E,MATCH($B277,'Pliegos Tarifarios (Quilicura)'!$A:$A,0))</f>
        <v>10577.967348800001</v>
      </c>
      <c r="Q277" s="19" cm="1">
        <f t="array" ref="Q277">H277*_xlfn.IFS(H277&lt;=350,INDEX('Pliegos Tarifarios (Quilicura)'!$F:$F,MATCH($B277,'Pliegos Tarifarios (Quilicura)'!$A:$A,0)),H277&lt;=500,INDEX('Pliegos Tarifarios (Quilicura)'!$G:$G,MATCH($B277,'Pliegos Tarifarios (Quilicura)'!$A:$A,0)),H277&lt;=1000,INDEX('Pliegos Tarifarios (Quilicura)'!$H:$H,MATCH($B277,'Pliegos Tarifarios (Quilicura)'!$A:$A,0)),H277&lt;=5000,INDEX('Pliegos Tarifarios (Quilicura)'!$I:$I,MATCH($B277,'Pliegos Tarifarios (Quilicura)'!$A:$A,0)),H277&gt;5000,INDEX('Pliegos Tarifarios (Quilicura)'!$J:$J,MATCH($B277,'Pliegos Tarifarios (Quilicura)'!$A:$A,0)))/1.19</f>
        <v>1918.4452137815128</v>
      </c>
      <c r="R277" s="19">
        <f>INDEX('Pliegos Tarifarios (Quilicura)'!$K:$K,MATCH($B277,'Pliegos Tarifarios (Quilicura)'!$A:$A,0))</f>
        <v>719.68899999999996</v>
      </c>
      <c r="S277" s="21">
        <f t="shared" si="15"/>
        <v>149948.30954778154</v>
      </c>
      <c r="T277" s="21">
        <f t="shared" si="16"/>
        <v>28490.178814078492</v>
      </c>
      <c r="U277" s="19">
        <v>0</v>
      </c>
      <c r="V277" s="21">
        <f t="shared" si="17"/>
        <v>178438.48836186004</v>
      </c>
    </row>
    <row r="278" spans="1:22" x14ac:dyDescent="0.3">
      <c r="A278" s="7" t="s">
        <v>143</v>
      </c>
      <c r="B278" s="7">
        <v>4</v>
      </c>
      <c r="C278" s="8" t="s">
        <v>186</v>
      </c>
      <c r="D278" s="7" t="s">
        <v>262</v>
      </c>
      <c r="E278" s="7" t="s">
        <v>121</v>
      </c>
      <c r="F278" s="8" t="s">
        <v>263</v>
      </c>
      <c r="G278" s="7" t="s">
        <v>16</v>
      </c>
      <c r="H278" s="9">
        <v>818.1499</v>
      </c>
      <c r="I278" s="9">
        <v>2.3161</v>
      </c>
      <c r="J278" s="9">
        <v>2.2772000000000001</v>
      </c>
      <c r="K278" s="10">
        <v>0.98320452484780452</v>
      </c>
      <c r="L278" s="9">
        <v>26.39</v>
      </c>
      <c r="M278" s="19">
        <f>H278*INDEX('Pliegos Tarifarios (Quilicura)'!$B:$B,MATCH($B278,'Pliegos Tarifarios (Quilicura)'!$A:$A,0))</f>
        <v>97227.297816199993</v>
      </c>
      <c r="N278" s="19">
        <f>I278*INDEX('Pliegos Tarifarios (Quilicura)'!$C:$C,MATCH($B278,'Pliegos Tarifarios (Quilicura)'!$A:$A,0))</f>
        <v>7943.8917977000001</v>
      </c>
      <c r="O278" s="19">
        <f>J278*INDEX('Pliegos Tarifarios (Quilicura)'!$D:$D,MATCH($B278,'Pliegos Tarifarios (Quilicura)'!$A:$A,0))</f>
        <v>32173.238024000002</v>
      </c>
      <c r="P278" s="19">
        <f>H278*INDEX('Pliegos Tarifarios (Quilicura)'!$E:$E,MATCH($B278,'Pliegos Tarifarios (Quilicura)'!$A:$A,0))</f>
        <v>10580.314506800001</v>
      </c>
      <c r="Q278" s="19" cm="1">
        <f t="array" ref="Q278">H278*_xlfn.IFS(H278&lt;=350,INDEX('Pliegos Tarifarios (Quilicura)'!$F:$F,MATCH($B278,'Pliegos Tarifarios (Quilicura)'!$A:$A,0)),H278&lt;=500,INDEX('Pliegos Tarifarios (Quilicura)'!$G:$G,MATCH($B278,'Pliegos Tarifarios (Quilicura)'!$A:$A,0)),H278&lt;=1000,INDEX('Pliegos Tarifarios (Quilicura)'!$H:$H,MATCH($B278,'Pliegos Tarifarios (Quilicura)'!$A:$A,0)),H278&lt;=5000,INDEX('Pliegos Tarifarios (Quilicura)'!$I:$I,MATCH($B278,'Pliegos Tarifarios (Quilicura)'!$A:$A,0)),H278&gt;5000,INDEX('Pliegos Tarifarios (Quilicura)'!$J:$J,MATCH($B278,'Pliegos Tarifarios (Quilicura)'!$A:$A,0)))/1.19</f>
        <v>1918.8708999159667</v>
      </c>
      <c r="R278" s="19">
        <f>INDEX('Pliegos Tarifarios (Quilicura)'!$K:$K,MATCH($B278,'Pliegos Tarifarios (Quilicura)'!$A:$A,0))</f>
        <v>719.68899999999996</v>
      </c>
      <c r="S278" s="21">
        <f t="shared" si="15"/>
        <v>150563.30204461596</v>
      </c>
      <c r="T278" s="21">
        <f t="shared" si="16"/>
        <v>28607.027388477032</v>
      </c>
      <c r="U278" s="19">
        <v>0</v>
      </c>
      <c r="V278" s="21">
        <f t="shared" si="17"/>
        <v>179170.32943309299</v>
      </c>
    </row>
    <row r="279" spans="1:22" x14ac:dyDescent="0.3">
      <c r="A279" s="7" t="s">
        <v>143</v>
      </c>
      <c r="B279" s="7">
        <v>4</v>
      </c>
      <c r="C279" s="8" t="s">
        <v>186</v>
      </c>
      <c r="D279" s="7" t="s">
        <v>264</v>
      </c>
      <c r="E279" s="7" t="s">
        <v>121</v>
      </c>
      <c r="F279" s="8" t="s">
        <v>265</v>
      </c>
      <c r="G279" s="7" t="s">
        <v>16</v>
      </c>
      <c r="H279" s="9">
        <v>663.98879999999997</v>
      </c>
      <c r="I279" s="9">
        <v>1.8460000000000001</v>
      </c>
      <c r="J279" s="9">
        <v>1.7855000000000001</v>
      </c>
      <c r="K279" s="10">
        <v>0.96722643553629473</v>
      </c>
      <c r="L279" s="9">
        <v>21.42</v>
      </c>
      <c r="M279" s="19">
        <f>H279*INDEX('Pliegos Tarifarios (Quilicura)'!$B:$B,MATCH($B279,'Pliegos Tarifarios (Quilicura)'!$A:$A,0))</f>
        <v>78907.101014399988</v>
      </c>
      <c r="N279" s="19">
        <f>I279*INDEX('Pliegos Tarifarios (Quilicura)'!$C:$C,MATCH($B279,'Pliegos Tarifarios (Quilicura)'!$A:$A,0))</f>
        <v>6331.5160219999998</v>
      </c>
      <c r="O279" s="19">
        <f>J279*INDEX('Pliegos Tarifarios (Quilicura)'!$D:$D,MATCH($B279,'Pliegos Tarifarios (Quilicura)'!$A:$A,0))</f>
        <v>25226.29391</v>
      </c>
      <c r="P279" s="19">
        <f>H279*INDEX('Pliegos Tarifarios (Quilicura)'!$E:$E,MATCH($B279,'Pliegos Tarifarios (Quilicura)'!$A:$A,0))</f>
        <v>8586.7031616000004</v>
      </c>
      <c r="Q279" s="19" cm="1">
        <f t="array" ref="Q279">H279*_xlfn.IFS(H279&lt;=350,INDEX('Pliegos Tarifarios (Quilicura)'!$F:$F,MATCH($B279,'Pliegos Tarifarios (Quilicura)'!$A:$A,0)),H279&lt;=500,INDEX('Pliegos Tarifarios (Quilicura)'!$G:$G,MATCH($B279,'Pliegos Tarifarios (Quilicura)'!$A:$A,0)),H279&lt;=1000,INDEX('Pliegos Tarifarios (Quilicura)'!$H:$H,MATCH($B279,'Pliegos Tarifarios (Quilicura)'!$A:$A,0)),H279&lt;=5000,INDEX('Pliegos Tarifarios (Quilicura)'!$I:$I,MATCH($B279,'Pliegos Tarifarios (Quilicura)'!$A:$A,0)),H279&gt;5000,INDEX('Pliegos Tarifarios (Quilicura)'!$J:$J,MATCH($B279,'Pliegos Tarifarios (Quilicura)'!$A:$A,0)))/1.19</f>
        <v>1557.304824201681</v>
      </c>
      <c r="R279" s="19">
        <f>INDEX('Pliegos Tarifarios (Quilicura)'!$K:$K,MATCH($B279,'Pliegos Tarifarios (Quilicura)'!$A:$A,0))</f>
        <v>719.68899999999996</v>
      </c>
      <c r="S279" s="21">
        <f t="shared" si="15"/>
        <v>121328.60793220167</v>
      </c>
      <c r="T279" s="21">
        <f t="shared" si="16"/>
        <v>23052.43550711832</v>
      </c>
      <c r="U279" s="19">
        <v>0</v>
      </c>
      <c r="V279" s="21">
        <f t="shared" si="17"/>
        <v>144381.04343932</v>
      </c>
    </row>
    <row r="280" spans="1:22" x14ac:dyDescent="0.3">
      <c r="A280" s="7" t="s">
        <v>143</v>
      </c>
      <c r="B280" s="7">
        <v>4</v>
      </c>
      <c r="C280" s="8" t="s">
        <v>186</v>
      </c>
      <c r="D280" s="7" t="s">
        <v>266</v>
      </c>
      <c r="E280" s="7" t="s">
        <v>121</v>
      </c>
      <c r="F280" s="8" t="s">
        <v>267</v>
      </c>
      <c r="G280" s="7" t="s">
        <v>16</v>
      </c>
      <c r="H280" s="9">
        <v>273.5498</v>
      </c>
      <c r="I280" s="9">
        <v>0.76700000000000002</v>
      </c>
      <c r="J280" s="9">
        <v>0.76700000000000002</v>
      </c>
      <c r="K280" s="10">
        <v>1</v>
      </c>
      <c r="L280" s="9">
        <v>8.82</v>
      </c>
      <c r="M280" s="19">
        <f>H280*INDEX('Pliegos Tarifarios (Quilicura)'!$B:$B,MATCH($B280,'Pliegos Tarifarios (Quilicura)'!$A:$A,0))</f>
        <v>32508.111132399998</v>
      </c>
      <c r="N280" s="19">
        <f>I280*INDEX('Pliegos Tarifarios (Quilicura)'!$C:$C,MATCH($B280,'Pliegos Tarifarios (Quilicura)'!$A:$A,0))</f>
        <v>2630.700319</v>
      </c>
      <c r="O280" s="19">
        <f>J280*INDEX('Pliegos Tarifarios (Quilicura)'!$D:$D,MATCH($B280,'Pliegos Tarifarios (Quilicura)'!$A:$A,0))</f>
        <v>10836.49814</v>
      </c>
      <c r="P280" s="19">
        <f>H280*INDEX('Pliegos Tarifarios (Quilicura)'!$E:$E,MATCH($B280,'Pliegos Tarifarios (Quilicura)'!$A:$A,0))</f>
        <v>3537.5460136000002</v>
      </c>
      <c r="Q280" s="19" cm="1">
        <f t="array" ref="Q280">H280*_xlfn.IFS(H280&lt;=350,INDEX('Pliegos Tarifarios (Quilicura)'!$F:$F,MATCH($B280,'Pliegos Tarifarios (Quilicura)'!$A:$A,0)),H280&lt;=500,INDEX('Pliegos Tarifarios (Quilicura)'!$G:$G,MATCH($B280,'Pliegos Tarifarios (Quilicura)'!$A:$A,0)),H280&lt;=1000,INDEX('Pliegos Tarifarios (Quilicura)'!$H:$H,MATCH($B280,'Pliegos Tarifarios (Quilicura)'!$A:$A,0)),H280&lt;=5000,INDEX('Pliegos Tarifarios (Quilicura)'!$I:$I,MATCH($B280,'Pliegos Tarifarios (Quilicura)'!$A:$A,0)),H280&gt;5000,INDEX('Pliegos Tarifarios (Quilicura)'!$J:$J,MATCH($B280,'Pliegos Tarifarios (Quilicura)'!$A:$A,0)))/1.19</f>
        <v>180.22104470588238</v>
      </c>
      <c r="R280" s="19">
        <f>INDEX('Pliegos Tarifarios (Quilicura)'!$K:$K,MATCH($B280,'Pliegos Tarifarios (Quilicura)'!$A:$A,0))</f>
        <v>719.68899999999996</v>
      </c>
      <c r="S280" s="21">
        <f t="shared" si="15"/>
        <v>50412.765649705885</v>
      </c>
      <c r="T280" s="21">
        <f t="shared" si="16"/>
        <v>9578.4254734441183</v>
      </c>
      <c r="U280" s="19">
        <v>0</v>
      </c>
      <c r="V280" s="21">
        <f t="shared" si="17"/>
        <v>59991.191123150005</v>
      </c>
    </row>
    <row r="281" spans="1:22" x14ac:dyDescent="0.3">
      <c r="A281" s="7" t="s">
        <v>143</v>
      </c>
      <c r="B281" s="7">
        <v>4</v>
      </c>
      <c r="C281" s="8" t="s">
        <v>186</v>
      </c>
      <c r="D281" s="7" t="s">
        <v>268</v>
      </c>
      <c r="E281" s="7" t="s">
        <v>121</v>
      </c>
      <c r="F281" s="8" t="s">
        <v>269</v>
      </c>
      <c r="G281" s="7" t="s">
        <v>16</v>
      </c>
      <c r="H281" s="9">
        <v>206.92070000000001</v>
      </c>
      <c r="I281" s="9">
        <v>0.59289999999999998</v>
      </c>
      <c r="J281" s="9">
        <v>0.57730000000000004</v>
      </c>
      <c r="K281" s="10">
        <v>0.97368864901332441</v>
      </c>
      <c r="L281" s="9">
        <v>6.67</v>
      </c>
      <c r="M281" s="19">
        <f>H281*INDEX('Pliegos Tarifarios (Quilicura)'!$B:$B,MATCH($B281,'Pliegos Tarifarios (Quilicura)'!$A:$A,0))</f>
        <v>24590.042146600001</v>
      </c>
      <c r="N281" s="19">
        <f>I281*INDEX('Pliegos Tarifarios (Quilicura)'!$C:$C,MATCH($B281,'Pliegos Tarifarios (Quilicura)'!$A:$A,0))</f>
        <v>2033.5622152999999</v>
      </c>
      <c r="O281" s="19">
        <f>J281*INDEX('Pliegos Tarifarios (Quilicura)'!$D:$D,MATCH($B281,'Pliegos Tarifarios (Quilicura)'!$A:$A,0))</f>
        <v>8156.3368660000006</v>
      </c>
      <c r="P281" s="19">
        <f>H281*INDEX('Pliegos Tarifarios (Quilicura)'!$E:$E,MATCH($B281,'Pliegos Tarifarios (Quilicura)'!$A:$A,0))</f>
        <v>2675.8984924000001</v>
      </c>
      <c r="Q281" s="19" cm="1">
        <f t="array" ref="Q281">H281*_xlfn.IFS(H281&lt;=350,INDEX('Pliegos Tarifarios (Quilicura)'!$F:$F,MATCH($B281,'Pliegos Tarifarios (Quilicura)'!$A:$A,0)),H281&lt;=500,INDEX('Pliegos Tarifarios (Quilicura)'!$G:$G,MATCH($B281,'Pliegos Tarifarios (Quilicura)'!$A:$A,0)),H281&lt;=1000,INDEX('Pliegos Tarifarios (Quilicura)'!$H:$H,MATCH($B281,'Pliegos Tarifarios (Quilicura)'!$A:$A,0)),H281&lt;=5000,INDEX('Pliegos Tarifarios (Quilicura)'!$I:$I,MATCH($B281,'Pliegos Tarifarios (Quilicura)'!$A:$A,0)),H281&gt;5000,INDEX('Pliegos Tarifarios (Quilicura)'!$J:$J,MATCH($B281,'Pliegos Tarifarios (Quilicura)'!$A:$A,0)))/1.19</f>
        <v>136.32422588235295</v>
      </c>
      <c r="R281" s="19">
        <f>INDEX('Pliegos Tarifarios (Quilicura)'!$K:$K,MATCH($B281,'Pliegos Tarifarios (Quilicura)'!$A:$A,0))</f>
        <v>719.68899999999996</v>
      </c>
      <c r="S281" s="21">
        <f t="shared" si="15"/>
        <v>38311.852946182356</v>
      </c>
      <c r="T281" s="21">
        <f t="shared" si="16"/>
        <v>7279.2520597746479</v>
      </c>
      <c r="U281" s="19">
        <v>0</v>
      </c>
      <c r="V281" s="21">
        <f t="shared" si="17"/>
        <v>45591.105005957004</v>
      </c>
    </row>
    <row r="282" spans="1:22" x14ac:dyDescent="0.3">
      <c r="A282" s="7" t="s">
        <v>143</v>
      </c>
      <c r="B282" s="7">
        <v>4</v>
      </c>
      <c r="C282" s="8" t="s">
        <v>186</v>
      </c>
      <c r="D282" s="7" t="s">
        <v>270</v>
      </c>
      <c r="E282" s="7" t="s">
        <v>121</v>
      </c>
      <c r="F282" s="8" t="s">
        <v>271</v>
      </c>
      <c r="G282" s="7" t="s">
        <v>16</v>
      </c>
      <c r="H282" s="9">
        <v>91.080399999999997</v>
      </c>
      <c r="I282" s="9">
        <v>0.254</v>
      </c>
      <c r="J282" s="9">
        <v>0.25219999999999998</v>
      </c>
      <c r="K282" s="10">
        <v>0.99291338582677158</v>
      </c>
      <c r="L282" s="9">
        <v>2.94</v>
      </c>
      <c r="M282" s="19">
        <f>H282*INDEX('Pliegos Tarifarios (Quilicura)'!$B:$B,MATCH($B282,'Pliegos Tarifarios (Quilicura)'!$A:$A,0))</f>
        <v>10823.8125752</v>
      </c>
      <c r="N282" s="19">
        <f>I282*INDEX('Pliegos Tarifarios (Quilicura)'!$C:$C,MATCH($B282,'Pliegos Tarifarios (Quilicura)'!$A:$A,0))</f>
        <v>871.18367799999999</v>
      </c>
      <c r="O282" s="19">
        <f>J282*INDEX('Pliegos Tarifarios (Quilicura)'!$D:$D,MATCH($B282,'Pliegos Tarifarios (Quilicura)'!$A:$A,0))</f>
        <v>3563.1875239999999</v>
      </c>
      <c r="P282" s="19">
        <f>H282*INDEX('Pliegos Tarifarios (Quilicura)'!$E:$E,MATCH($B282,'Pliegos Tarifarios (Quilicura)'!$A:$A,0))</f>
        <v>1177.8517328</v>
      </c>
      <c r="Q282" s="19" cm="1">
        <f t="array" ref="Q282">H282*_xlfn.IFS(H282&lt;=350,INDEX('Pliegos Tarifarios (Quilicura)'!$F:$F,MATCH($B282,'Pliegos Tarifarios (Quilicura)'!$A:$A,0)),H282&lt;=500,INDEX('Pliegos Tarifarios (Quilicura)'!$G:$G,MATCH($B282,'Pliegos Tarifarios (Quilicura)'!$A:$A,0)),H282&lt;=1000,INDEX('Pliegos Tarifarios (Quilicura)'!$H:$H,MATCH($B282,'Pliegos Tarifarios (Quilicura)'!$A:$A,0)),H282&lt;=5000,INDEX('Pliegos Tarifarios (Quilicura)'!$I:$I,MATCH($B282,'Pliegos Tarifarios (Quilicura)'!$A:$A,0)),H282&gt;5000,INDEX('Pliegos Tarifarios (Quilicura)'!$J:$J,MATCH($B282,'Pliegos Tarifarios (Quilicura)'!$A:$A,0)))/1.19</f>
        <v>60.005910588235302</v>
      </c>
      <c r="R282" s="19">
        <f>INDEX('Pliegos Tarifarios (Quilicura)'!$K:$K,MATCH($B282,'Pliegos Tarifarios (Quilicura)'!$A:$A,0))</f>
        <v>719.68899999999996</v>
      </c>
      <c r="S282" s="21">
        <f t="shared" si="15"/>
        <v>17215.730420588236</v>
      </c>
      <c r="T282" s="21">
        <f t="shared" si="16"/>
        <v>3270.9887799117646</v>
      </c>
      <c r="U282" s="19">
        <v>0</v>
      </c>
      <c r="V282" s="21">
        <f t="shared" si="17"/>
        <v>20486.7192005</v>
      </c>
    </row>
    <row r="283" spans="1:22" x14ac:dyDescent="0.3">
      <c r="A283" s="7" t="s">
        <v>143</v>
      </c>
      <c r="B283" s="7">
        <v>4</v>
      </c>
      <c r="C283" s="8" t="s">
        <v>186</v>
      </c>
      <c r="D283" s="7" t="s">
        <v>272</v>
      </c>
      <c r="E283" s="7" t="s">
        <v>121</v>
      </c>
      <c r="F283" s="8" t="s">
        <v>273</v>
      </c>
      <c r="G283" s="7" t="s">
        <v>16</v>
      </c>
      <c r="H283" s="9">
        <v>1511.0652</v>
      </c>
      <c r="I283" s="9">
        <v>4.1787999999999998</v>
      </c>
      <c r="J283" s="9">
        <v>4.1372999999999998</v>
      </c>
      <c r="K283" s="10">
        <v>0.99006891930697805</v>
      </c>
      <c r="L283" s="9">
        <v>48.74</v>
      </c>
      <c r="M283" s="19">
        <f>H283*INDEX('Pliegos Tarifarios (Quilicura)'!$B:$B,MATCH($B283,'Pliegos Tarifarios (Quilicura)'!$A:$A,0))</f>
        <v>179571.96623759999</v>
      </c>
      <c r="N283" s="19">
        <f>I283*INDEX('Pliegos Tarifarios (Quilicura)'!$C:$C,MATCH($B283,'Pliegos Tarifarios (Quilicura)'!$A:$A,0))</f>
        <v>14332.686431599999</v>
      </c>
      <c r="O283" s="19">
        <f>J283*INDEX('Pliegos Tarifarios (Quilicura)'!$D:$D,MATCH($B283,'Pliegos Tarifarios (Quilicura)'!$A:$A,0))</f>
        <v>58453.512065999996</v>
      </c>
      <c r="P283" s="19">
        <f>H283*INDEX('Pliegos Tarifarios (Quilicura)'!$E:$E,MATCH($B283,'Pliegos Tarifarios (Quilicura)'!$A:$A,0))</f>
        <v>19541.095166400002</v>
      </c>
      <c r="Q283" s="19" cm="1">
        <f t="array" ref="Q283">H283*_xlfn.IFS(H283&lt;=350,INDEX('Pliegos Tarifarios (Quilicura)'!$F:$F,MATCH($B283,'Pliegos Tarifarios (Quilicura)'!$A:$A,0)),H283&lt;=500,INDEX('Pliegos Tarifarios (Quilicura)'!$G:$G,MATCH($B283,'Pliegos Tarifarios (Quilicura)'!$A:$A,0)),H283&lt;=1000,INDEX('Pliegos Tarifarios (Quilicura)'!$H:$H,MATCH($B283,'Pliegos Tarifarios (Quilicura)'!$A:$A,0)),H283&lt;=5000,INDEX('Pliegos Tarifarios (Quilicura)'!$I:$I,MATCH($B283,'Pliegos Tarifarios (Quilicura)'!$A:$A,0)),H283&gt;5000,INDEX('Pliegos Tarifarios (Quilicura)'!$J:$J,MATCH($B283,'Pliegos Tarifarios (Quilicura)'!$A:$A,0)))/1.19</f>
        <v>4534.4654026890748</v>
      </c>
      <c r="R283" s="19">
        <f>INDEX('Pliegos Tarifarios (Quilicura)'!$K:$K,MATCH($B283,'Pliegos Tarifarios (Quilicura)'!$A:$A,0))</f>
        <v>719.68899999999996</v>
      </c>
      <c r="S283" s="21">
        <f t="shared" si="15"/>
        <v>277153.41430428904</v>
      </c>
      <c r="T283" s="21">
        <f t="shared" si="16"/>
        <v>52659.148717814918</v>
      </c>
      <c r="U283" s="19">
        <v>0</v>
      </c>
      <c r="V283" s="21">
        <f t="shared" si="17"/>
        <v>329812.56302210398</v>
      </c>
    </row>
    <row r="284" spans="1:22" x14ac:dyDescent="0.3">
      <c r="A284" s="3" t="s">
        <v>144</v>
      </c>
      <c r="B284" s="3">
        <v>5</v>
      </c>
      <c r="C284" s="4" t="s">
        <v>186</v>
      </c>
      <c r="D284" s="3" t="s">
        <v>187</v>
      </c>
      <c r="E284" s="3" t="s">
        <v>14</v>
      </c>
      <c r="F284" s="4" t="s">
        <v>15</v>
      </c>
      <c r="G284" s="3" t="s">
        <v>16</v>
      </c>
      <c r="H284" s="5">
        <v>11547.4354</v>
      </c>
      <c r="I284" s="5">
        <v>31.091999999999999</v>
      </c>
      <c r="J284" s="5">
        <v>31.091999999999999</v>
      </c>
      <c r="K284" s="6">
        <v>1</v>
      </c>
      <c r="L284" s="5">
        <v>384.91</v>
      </c>
      <c r="M284" s="19">
        <f>H284*INDEX('Pliegos Tarifarios (Quilicura)'!$B:$B,MATCH($B284,'Pliegos Tarifarios (Quilicura)'!$A:$A,0))</f>
        <v>1372274.1280652001</v>
      </c>
      <c r="N284" s="19">
        <f>I284*INDEX('Pliegos Tarifarios (Quilicura)'!$C:$C,MATCH($B284,'Pliegos Tarifarios (Quilicura)'!$A:$A,0))</f>
        <v>105727.444332</v>
      </c>
      <c r="O284" s="19">
        <f>J284*INDEX('Pliegos Tarifarios (Quilicura)'!$D:$D,MATCH($B284,'Pliegos Tarifarios (Quilicura)'!$A:$A,0))</f>
        <v>438388.30768799997</v>
      </c>
      <c r="P284" s="19">
        <f>H284*INDEX('Pliegos Tarifarios (Quilicura)'!$E:$E,MATCH($B284,'Pliegos Tarifarios (Quilicura)'!$A:$A,0))</f>
        <v>149331.43459280001</v>
      </c>
      <c r="Q284" s="19" cm="1">
        <f t="array" ref="Q284">H284*_xlfn.IFS(H284&lt;=350,INDEX('Pliegos Tarifarios (Quilicura)'!$F:$F,MATCH($B284,'Pliegos Tarifarios (Quilicura)'!$A:$A,0)),H284&lt;=500,INDEX('Pliegos Tarifarios (Quilicura)'!$G:$G,MATCH($B284,'Pliegos Tarifarios (Quilicura)'!$A:$A,0)),H284&lt;=1000,INDEX('Pliegos Tarifarios (Quilicura)'!$H:$H,MATCH($B284,'Pliegos Tarifarios (Quilicura)'!$A:$A,0)),H284&lt;=5000,INDEX('Pliegos Tarifarios (Quilicura)'!$I:$I,MATCH($B284,'Pliegos Tarifarios (Quilicura)'!$A:$A,0)),H284&gt;5000,INDEX('Pliegos Tarifarios (Quilicura)'!$J:$J,MATCH($B284,'Pliegos Tarifarios (Quilicura)'!$A:$A,0)))/1.19</f>
        <v>37893.054821008409</v>
      </c>
      <c r="R284" s="19">
        <f>INDEX('Pliegos Tarifarios (Quilicura)'!$K:$K,MATCH($B284,'Pliegos Tarifarios (Quilicura)'!$A:$A,0))</f>
        <v>723.32799999999997</v>
      </c>
      <c r="S284" s="21">
        <f t="shared" si="15"/>
        <v>2104337.6974990088</v>
      </c>
      <c r="T284" s="21">
        <f t="shared" si="16"/>
        <v>399824.16252481169</v>
      </c>
      <c r="U284" s="19">
        <v>0</v>
      </c>
      <c r="V284" s="21">
        <f t="shared" si="17"/>
        <v>2504161.8600238208</v>
      </c>
    </row>
    <row r="285" spans="1:22" x14ac:dyDescent="0.3">
      <c r="A285" s="3" t="s">
        <v>144</v>
      </c>
      <c r="B285" s="3">
        <v>5</v>
      </c>
      <c r="C285" s="4" t="s">
        <v>186</v>
      </c>
      <c r="D285" s="3" t="s">
        <v>188</v>
      </c>
      <c r="E285" s="3" t="s">
        <v>18</v>
      </c>
      <c r="F285" s="4" t="s">
        <v>19</v>
      </c>
      <c r="G285" s="3" t="s">
        <v>16</v>
      </c>
      <c r="H285" s="5">
        <v>5773.8038999999999</v>
      </c>
      <c r="I285" s="5">
        <v>15.550800000000001</v>
      </c>
      <c r="J285" s="5">
        <v>15.319900000000001</v>
      </c>
      <c r="K285" s="6">
        <v>0.98515188929186925</v>
      </c>
      <c r="L285" s="5">
        <v>192.46</v>
      </c>
      <c r="M285" s="19">
        <f>H285*INDEX('Pliegos Tarifarios (Quilicura)'!$B:$B,MATCH($B285,'Pliegos Tarifarios (Quilicura)'!$A:$A,0))</f>
        <v>686147.30786820001</v>
      </c>
      <c r="N285" s="19">
        <f>I285*INDEX('Pliegos Tarifarios (Quilicura)'!$C:$C,MATCH($B285,'Pliegos Tarifarios (Quilicura)'!$A:$A,0))</f>
        <v>52880.044426799999</v>
      </c>
      <c r="O285" s="19">
        <f>J285*INDEX('Pliegos Tarifarios (Quilicura)'!$D:$D,MATCH($B285,'Pliegos Tarifarios (Quilicura)'!$A:$A,0))</f>
        <v>216006.20850860002</v>
      </c>
      <c r="P285" s="19">
        <f>H285*INDEX('Pliegos Tarifarios (Quilicura)'!$E:$E,MATCH($B285,'Pliegos Tarifarios (Quilicura)'!$A:$A,0))</f>
        <v>74666.832034799998</v>
      </c>
      <c r="Q285" s="19" cm="1">
        <f t="array" ref="Q285">H285*_xlfn.IFS(H285&lt;=350,INDEX('Pliegos Tarifarios (Quilicura)'!$F:$F,MATCH($B285,'Pliegos Tarifarios (Quilicura)'!$A:$A,0)),H285&lt;=500,INDEX('Pliegos Tarifarios (Quilicura)'!$G:$G,MATCH($B285,'Pliegos Tarifarios (Quilicura)'!$A:$A,0)),H285&lt;=1000,INDEX('Pliegos Tarifarios (Quilicura)'!$H:$H,MATCH($B285,'Pliegos Tarifarios (Quilicura)'!$A:$A,0)),H285&lt;=5000,INDEX('Pliegos Tarifarios (Quilicura)'!$I:$I,MATCH($B285,'Pliegos Tarifarios (Quilicura)'!$A:$A,0)),H285&gt;5000,INDEX('Pliegos Tarifarios (Quilicura)'!$J:$J,MATCH($B285,'Pliegos Tarifarios (Quilicura)'!$A:$A,0)))/1.19</f>
        <v>18946.810276890756</v>
      </c>
      <c r="R285" s="19">
        <f>INDEX('Pliegos Tarifarios (Quilicura)'!$K:$K,MATCH($B285,'Pliegos Tarifarios (Quilicura)'!$A:$A,0))</f>
        <v>723.32799999999997</v>
      </c>
      <c r="S285" s="21">
        <f t="shared" si="15"/>
        <v>1049370.5311152907</v>
      </c>
      <c r="T285" s="21">
        <f t="shared" si="16"/>
        <v>199380.40091190525</v>
      </c>
      <c r="U285" s="19">
        <v>0</v>
      </c>
      <c r="V285" s="21">
        <f t="shared" si="17"/>
        <v>1248750.932027196</v>
      </c>
    </row>
    <row r="286" spans="1:22" x14ac:dyDescent="0.3">
      <c r="A286" s="3" t="s">
        <v>144</v>
      </c>
      <c r="B286" s="3">
        <v>5</v>
      </c>
      <c r="C286" s="4" t="s">
        <v>186</v>
      </c>
      <c r="D286" s="3" t="s">
        <v>189</v>
      </c>
      <c r="E286" s="3" t="s">
        <v>18</v>
      </c>
      <c r="F286" s="4" t="s">
        <v>21</v>
      </c>
      <c r="G286" s="3" t="s">
        <v>16</v>
      </c>
      <c r="H286" s="5">
        <v>4629.7398000000003</v>
      </c>
      <c r="I286" s="5">
        <v>12.4323</v>
      </c>
      <c r="J286" s="5">
        <v>12.247199999999999</v>
      </c>
      <c r="K286" s="6">
        <v>0.98511136314278125</v>
      </c>
      <c r="L286" s="5">
        <v>154.32</v>
      </c>
      <c r="M286" s="19">
        <f>H286*INDEX('Pliegos Tarifarios (Quilicura)'!$B:$B,MATCH($B286,'Pliegos Tarifarios (Quilicura)'!$A:$A,0))</f>
        <v>550189.01835240005</v>
      </c>
      <c r="N286" s="19">
        <f>I286*INDEX('Pliegos Tarifarios (Quilicura)'!$C:$C,MATCH($B286,'Pliegos Tarifarios (Quilicura)'!$A:$A,0))</f>
        <v>42275.675613300002</v>
      </c>
      <c r="O286" s="19">
        <f>J286*INDEX('Pliegos Tarifarios (Quilicura)'!$D:$D,MATCH($B286,'Pliegos Tarifarios (Quilicura)'!$A:$A,0))</f>
        <v>172682.01730079998</v>
      </c>
      <c r="P286" s="19">
        <f>H286*INDEX('Pliegos Tarifarios (Quilicura)'!$E:$E,MATCH($B286,'Pliegos Tarifarios (Quilicura)'!$A:$A,0))</f>
        <v>59871.795093600005</v>
      </c>
      <c r="Q286" s="19" cm="1">
        <f t="array" ref="Q286">H286*_xlfn.IFS(H286&lt;=350,INDEX('Pliegos Tarifarios (Quilicura)'!$F:$F,MATCH($B286,'Pliegos Tarifarios (Quilicura)'!$A:$A,0)),H286&lt;=500,INDEX('Pliegos Tarifarios (Quilicura)'!$G:$G,MATCH($B286,'Pliegos Tarifarios (Quilicura)'!$A:$A,0)),H286&lt;=1000,INDEX('Pliegos Tarifarios (Quilicura)'!$H:$H,MATCH($B286,'Pliegos Tarifarios (Quilicura)'!$A:$A,0)),H286&lt;=5000,INDEX('Pliegos Tarifarios (Quilicura)'!$I:$I,MATCH($B286,'Pliegos Tarifarios (Quilicura)'!$A:$A,0)),H286&gt;5000,INDEX('Pliegos Tarifarios (Quilicura)'!$J:$J,MATCH($B286,'Pliegos Tarifarios (Quilicura)'!$A:$A,0)))/1.19</f>
        <v>13893.109937647061</v>
      </c>
      <c r="R286" s="19">
        <f>INDEX('Pliegos Tarifarios (Quilicura)'!$K:$K,MATCH($B286,'Pliegos Tarifarios (Quilicura)'!$A:$A,0))</f>
        <v>723.32799999999997</v>
      </c>
      <c r="S286" s="21">
        <f t="shared" si="15"/>
        <v>839634.94429774699</v>
      </c>
      <c r="T286" s="21">
        <f t="shared" si="16"/>
        <v>159530.63941657194</v>
      </c>
      <c r="U286" s="19">
        <v>0</v>
      </c>
      <c r="V286" s="21">
        <f t="shared" si="17"/>
        <v>999165.58371431893</v>
      </c>
    </row>
    <row r="287" spans="1:22" x14ac:dyDescent="0.3">
      <c r="A287" s="3" t="s">
        <v>144</v>
      </c>
      <c r="B287" s="3">
        <v>5</v>
      </c>
      <c r="C287" s="4" t="s">
        <v>186</v>
      </c>
      <c r="D287" s="3" t="s">
        <v>190</v>
      </c>
      <c r="E287" s="3" t="s">
        <v>18</v>
      </c>
      <c r="F287" s="4" t="s">
        <v>23</v>
      </c>
      <c r="G287" s="3" t="s">
        <v>16</v>
      </c>
      <c r="H287" s="5">
        <v>3848.6956</v>
      </c>
      <c r="I287" s="5">
        <v>10.430999999999999</v>
      </c>
      <c r="J287" s="5">
        <v>10.1914</v>
      </c>
      <c r="K287" s="6">
        <v>0.97703000671076601</v>
      </c>
      <c r="L287" s="5">
        <v>128.29</v>
      </c>
      <c r="M287" s="19">
        <f>H287*INDEX('Pliegos Tarifarios (Quilicura)'!$B:$B,MATCH($B287,'Pliegos Tarifarios (Quilicura)'!$A:$A,0))</f>
        <v>457371.28771279997</v>
      </c>
      <c r="N287" s="19">
        <f>I287*INDEX('Pliegos Tarifarios (Quilicura)'!$C:$C,MATCH($B287,'Pliegos Tarifarios (Quilicura)'!$A:$A,0))</f>
        <v>35470.313000999995</v>
      </c>
      <c r="O287" s="19">
        <f>J287*INDEX('Pliegos Tarifarios (Quilicura)'!$D:$D,MATCH($B287,'Pliegos Tarifarios (Quilicura)'!$A:$A,0))</f>
        <v>143695.82525960001</v>
      </c>
      <c r="P287" s="19">
        <f>H287*INDEX('Pliegos Tarifarios (Quilicura)'!$E:$E,MATCH($B287,'Pliegos Tarifarios (Quilicura)'!$A:$A,0))</f>
        <v>49771.331499200001</v>
      </c>
      <c r="Q287" s="19" cm="1">
        <f t="array" ref="Q287">H287*_xlfn.IFS(H287&lt;=350,INDEX('Pliegos Tarifarios (Quilicura)'!$F:$F,MATCH($B287,'Pliegos Tarifarios (Quilicura)'!$A:$A,0)),H287&lt;=500,INDEX('Pliegos Tarifarios (Quilicura)'!$G:$G,MATCH($B287,'Pliegos Tarifarios (Quilicura)'!$A:$A,0)),H287&lt;=1000,INDEX('Pliegos Tarifarios (Quilicura)'!$H:$H,MATCH($B287,'Pliegos Tarifarios (Quilicura)'!$A:$A,0)),H287&lt;=5000,INDEX('Pliegos Tarifarios (Quilicura)'!$I:$I,MATCH($B287,'Pliegos Tarifarios (Quilicura)'!$A:$A,0)),H287&gt;5000,INDEX('Pliegos Tarifarios (Quilicura)'!$J:$J,MATCH($B287,'Pliegos Tarifarios (Quilicura)'!$A:$A,0)))/1.19</f>
        <v>11549.320997983194</v>
      </c>
      <c r="R287" s="19">
        <f>INDEX('Pliegos Tarifarios (Quilicura)'!$K:$K,MATCH($B287,'Pliegos Tarifarios (Quilicura)'!$A:$A,0))</f>
        <v>723.32799999999997</v>
      </c>
      <c r="S287" s="21">
        <f t="shared" si="15"/>
        <v>698581.40647058317</v>
      </c>
      <c r="T287" s="21">
        <f t="shared" si="16"/>
        <v>132730.4672294108</v>
      </c>
      <c r="U287" s="19">
        <v>0</v>
      </c>
      <c r="V287" s="21">
        <f t="shared" si="17"/>
        <v>831311.87369999394</v>
      </c>
    </row>
    <row r="288" spans="1:22" x14ac:dyDescent="0.3">
      <c r="A288" s="3" t="s">
        <v>144</v>
      </c>
      <c r="B288" s="3">
        <v>5</v>
      </c>
      <c r="C288" s="4" t="s">
        <v>186</v>
      </c>
      <c r="D288" s="3" t="s">
        <v>191</v>
      </c>
      <c r="E288" s="3" t="s">
        <v>18</v>
      </c>
      <c r="F288" s="4" t="s">
        <v>25</v>
      </c>
      <c r="G288" s="3" t="s">
        <v>16</v>
      </c>
      <c r="H288" s="5">
        <v>4154.3180000000002</v>
      </c>
      <c r="I288" s="5">
        <v>11.037000000000001</v>
      </c>
      <c r="J288" s="5">
        <v>10.9169</v>
      </c>
      <c r="K288" s="6">
        <v>0.98911841986046922</v>
      </c>
      <c r="L288" s="5">
        <v>138.47999999999999</v>
      </c>
      <c r="M288" s="19">
        <f>H288*INDEX('Pliegos Tarifarios (Quilicura)'!$B:$B,MATCH($B288,'Pliegos Tarifarios (Quilicura)'!$A:$A,0))</f>
        <v>493690.84248400002</v>
      </c>
      <c r="N288" s="19">
        <f>I288*INDEX('Pliegos Tarifarios (Quilicura)'!$C:$C,MATCH($B288,'Pliegos Tarifarios (Quilicura)'!$A:$A,0))</f>
        <v>37530.998427000006</v>
      </c>
      <c r="O288" s="19">
        <f>J288*INDEX('Pliegos Tarifarios (Quilicura)'!$D:$D,MATCH($B288,'Pliegos Tarifarios (Quilicura)'!$A:$A,0))</f>
        <v>153925.1677666</v>
      </c>
      <c r="P288" s="19">
        <f>H288*INDEX('Pliegos Tarifarios (Quilicura)'!$E:$E,MATCH($B288,'Pliegos Tarifarios (Quilicura)'!$A:$A,0))</f>
        <v>53723.640376000003</v>
      </c>
      <c r="Q288" s="19" cm="1">
        <f t="array" ref="Q288">H288*_xlfn.IFS(H288&lt;=350,INDEX('Pliegos Tarifarios (Quilicura)'!$F:$F,MATCH($B288,'Pliegos Tarifarios (Quilicura)'!$A:$A,0)),H288&lt;=500,INDEX('Pliegos Tarifarios (Quilicura)'!$G:$G,MATCH($B288,'Pliegos Tarifarios (Quilicura)'!$A:$A,0)),H288&lt;=1000,INDEX('Pliegos Tarifarios (Quilicura)'!$H:$H,MATCH($B288,'Pliegos Tarifarios (Quilicura)'!$A:$A,0)),H288&lt;=5000,INDEX('Pliegos Tarifarios (Quilicura)'!$I:$I,MATCH($B288,'Pliegos Tarifarios (Quilicura)'!$A:$A,0)),H288&gt;5000,INDEX('Pliegos Tarifarios (Quilicura)'!$J:$J,MATCH($B288,'Pliegos Tarifarios (Quilicura)'!$A:$A,0)))/1.19</f>
        <v>12466.445023529412</v>
      </c>
      <c r="R288" s="19">
        <f>INDEX('Pliegos Tarifarios (Quilicura)'!$K:$K,MATCH($B288,'Pliegos Tarifarios (Quilicura)'!$A:$A,0))</f>
        <v>723.32799999999997</v>
      </c>
      <c r="S288" s="21">
        <f t="shared" si="15"/>
        <v>752060.42207712948</v>
      </c>
      <c r="T288" s="21">
        <f t="shared" si="16"/>
        <v>142891.48019465461</v>
      </c>
      <c r="U288" s="19">
        <v>0</v>
      </c>
      <c r="V288" s="21">
        <f t="shared" si="17"/>
        <v>894951.90227178414</v>
      </c>
    </row>
    <row r="289" spans="1:22" x14ac:dyDescent="0.3">
      <c r="A289" s="3" t="s">
        <v>144</v>
      </c>
      <c r="B289" s="3">
        <v>5</v>
      </c>
      <c r="C289" s="4" t="s">
        <v>186</v>
      </c>
      <c r="D289" s="3" t="s">
        <v>192</v>
      </c>
      <c r="E289" s="3" t="s">
        <v>18</v>
      </c>
      <c r="F289" s="4" t="s">
        <v>27</v>
      </c>
      <c r="G289" s="3" t="s">
        <v>16</v>
      </c>
      <c r="H289" s="5">
        <v>2767.7876999999999</v>
      </c>
      <c r="I289" s="5">
        <v>7.4880000000000004</v>
      </c>
      <c r="J289" s="5">
        <v>7.3125</v>
      </c>
      <c r="K289" s="6">
        <v>0.97656249999999989</v>
      </c>
      <c r="L289" s="5">
        <v>92.26</v>
      </c>
      <c r="M289" s="19">
        <f>H289*INDEX('Pliegos Tarifarios (Quilicura)'!$B:$B,MATCH($B289,'Pliegos Tarifarios (Quilicura)'!$A:$A,0))</f>
        <v>328918.35469259997</v>
      </c>
      <c r="N289" s="19">
        <f>I289*INDEX('Pliegos Tarifarios (Quilicura)'!$C:$C,MATCH($B289,'Pliegos Tarifarios (Quilicura)'!$A:$A,0))</f>
        <v>25462.726848000002</v>
      </c>
      <c r="O289" s="19">
        <f>J289*INDEX('Pliegos Tarifarios (Quilicura)'!$D:$D,MATCH($B289,'Pliegos Tarifarios (Quilicura)'!$A:$A,0))</f>
        <v>103104.158625</v>
      </c>
      <c r="P289" s="19">
        <f>H289*INDEX('Pliegos Tarifarios (Quilicura)'!$E:$E,MATCH($B289,'Pliegos Tarifarios (Quilicura)'!$A:$A,0))</f>
        <v>35793.030536400001</v>
      </c>
      <c r="Q289" s="19" cm="1">
        <f t="array" ref="Q289">H289*_xlfn.IFS(H289&lt;=350,INDEX('Pliegos Tarifarios (Quilicura)'!$F:$F,MATCH($B289,'Pliegos Tarifarios (Quilicura)'!$A:$A,0)),H289&lt;=500,INDEX('Pliegos Tarifarios (Quilicura)'!$G:$G,MATCH($B289,'Pliegos Tarifarios (Quilicura)'!$A:$A,0)),H289&lt;=1000,INDEX('Pliegos Tarifarios (Quilicura)'!$H:$H,MATCH($B289,'Pliegos Tarifarios (Quilicura)'!$A:$A,0)),H289&lt;=5000,INDEX('Pliegos Tarifarios (Quilicura)'!$I:$I,MATCH($B289,'Pliegos Tarifarios (Quilicura)'!$A:$A,0)),H289&gt;5000,INDEX('Pliegos Tarifarios (Quilicura)'!$J:$J,MATCH($B289,'Pliegos Tarifarios (Quilicura)'!$A:$A,0)))/1.19</f>
        <v>8305.6889720168056</v>
      </c>
      <c r="R289" s="19">
        <f>INDEX('Pliegos Tarifarios (Quilicura)'!$K:$K,MATCH($B289,'Pliegos Tarifarios (Quilicura)'!$A:$A,0))</f>
        <v>723.32799999999997</v>
      </c>
      <c r="S289" s="21">
        <f t="shared" si="15"/>
        <v>502307.28767401673</v>
      </c>
      <c r="T289" s="21">
        <f t="shared" si="16"/>
        <v>95438.38465806318</v>
      </c>
      <c r="U289" s="19">
        <v>0</v>
      </c>
      <c r="V289" s="21">
        <f t="shared" si="17"/>
        <v>597745.67233207985</v>
      </c>
    </row>
    <row r="290" spans="1:22" x14ac:dyDescent="0.3">
      <c r="A290" s="3" t="s">
        <v>144</v>
      </c>
      <c r="B290" s="3">
        <v>5</v>
      </c>
      <c r="C290" s="4" t="s">
        <v>186</v>
      </c>
      <c r="D290" s="3" t="s">
        <v>193</v>
      </c>
      <c r="E290" s="3" t="s">
        <v>18</v>
      </c>
      <c r="F290" s="4" t="s">
        <v>29</v>
      </c>
      <c r="G290" s="3" t="s">
        <v>30</v>
      </c>
      <c r="H290" s="5">
        <v>921.70140000000004</v>
      </c>
      <c r="I290" s="5">
        <v>2.4910999999999999</v>
      </c>
      <c r="J290" s="5">
        <v>2.4836</v>
      </c>
      <c r="K290" s="6">
        <v>0.99698928184336244</v>
      </c>
      <c r="L290" s="5">
        <v>30.72</v>
      </c>
      <c r="M290" s="19">
        <f>H290*INDEX('Pliegos Tarifarios (Quilicura)'!$B:$B,MATCH($B290,'Pliegos Tarifarios (Quilicura)'!$A:$A,0))</f>
        <v>109533.1509732</v>
      </c>
      <c r="N290" s="19">
        <f>I290*INDEX('Pliegos Tarifarios (Quilicura)'!$C:$C,MATCH($B290,'Pliegos Tarifarios (Quilicura)'!$A:$A,0))</f>
        <v>8470.9133081</v>
      </c>
      <c r="O290" s="19">
        <f>J290*INDEX('Pliegos Tarifarios (Quilicura)'!$D:$D,MATCH($B290,'Pliegos Tarifarios (Quilicura)'!$A:$A,0))</f>
        <v>35018.049690400003</v>
      </c>
      <c r="P290" s="19">
        <f>H290*INDEX('Pliegos Tarifarios (Quilicura)'!$E:$E,MATCH($B290,'Pliegos Tarifarios (Quilicura)'!$A:$A,0))</f>
        <v>11919.442504800001</v>
      </c>
      <c r="Q290" s="19" cm="1">
        <f t="array" ref="Q290">H290*_xlfn.IFS(H290&lt;=350,INDEX('Pliegos Tarifarios (Quilicura)'!$F:$F,MATCH($B290,'Pliegos Tarifarios (Quilicura)'!$A:$A,0)),H290&lt;=500,INDEX('Pliegos Tarifarios (Quilicura)'!$G:$G,MATCH($B290,'Pliegos Tarifarios (Quilicura)'!$A:$A,0)),H290&lt;=1000,INDEX('Pliegos Tarifarios (Quilicura)'!$H:$H,MATCH($B290,'Pliegos Tarifarios (Quilicura)'!$A:$A,0)),H290&lt;=5000,INDEX('Pliegos Tarifarios (Quilicura)'!$I:$I,MATCH($B290,'Pliegos Tarifarios (Quilicura)'!$A:$A,0)),H290&gt;5000,INDEX('Pliegos Tarifarios (Quilicura)'!$J:$J,MATCH($B290,'Pliegos Tarifarios (Quilicura)'!$A:$A,0)))/1.19</f>
        <v>2161.7383255462191</v>
      </c>
      <c r="R290" s="19">
        <f>INDEX('Pliegos Tarifarios (Quilicura)'!$K:$K,MATCH($B290,'Pliegos Tarifarios (Quilicura)'!$A:$A,0))</f>
        <v>723.32799999999997</v>
      </c>
      <c r="S290" s="21">
        <f t="shared" si="15"/>
        <v>167826.62280204627</v>
      </c>
      <c r="T290" s="21">
        <f t="shared" si="16"/>
        <v>31887.058332388791</v>
      </c>
      <c r="U290" s="19">
        <v>0</v>
      </c>
      <c r="V290" s="21">
        <f t="shared" si="17"/>
        <v>199713.68113443506</v>
      </c>
    </row>
    <row r="291" spans="1:22" x14ac:dyDescent="0.3">
      <c r="A291" s="3" t="s">
        <v>144</v>
      </c>
      <c r="B291" s="3">
        <v>5</v>
      </c>
      <c r="C291" s="4" t="s">
        <v>186</v>
      </c>
      <c r="D291" s="3" t="s">
        <v>194</v>
      </c>
      <c r="E291" s="3" t="s">
        <v>18</v>
      </c>
      <c r="F291" s="4" t="s">
        <v>32</v>
      </c>
      <c r="G291" s="3" t="s">
        <v>16</v>
      </c>
      <c r="H291" s="5">
        <v>2771.4065999999998</v>
      </c>
      <c r="I291" s="5">
        <v>7.4698000000000002</v>
      </c>
      <c r="J291" s="5">
        <v>7.3718000000000004</v>
      </c>
      <c r="K291" s="6">
        <v>0.98688050550215534</v>
      </c>
      <c r="L291" s="5">
        <v>92.38</v>
      </c>
      <c r="M291" s="19">
        <f>H291*INDEX('Pliegos Tarifarios (Quilicura)'!$B:$B,MATCH($B291,'Pliegos Tarifarios (Quilicura)'!$A:$A,0))</f>
        <v>329348.41753079998</v>
      </c>
      <c r="N291" s="19">
        <f>I291*INDEX('Pliegos Tarifarios (Quilicura)'!$C:$C,MATCH($B291,'Pliegos Tarifarios (Quilicura)'!$A:$A,0))</f>
        <v>25400.838275800001</v>
      </c>
      <c r="O291" s="19">
        <f>J291*INDEX('Pliegos Tarifarios (Quilicura)'!$D:$D,MATCH($B291,'Pliegos Tarifarios (Quilicura)'!$A:$A,0))</f>
        <v>103940.27166520001</v>
      </c>
      <c r="P291" s="19">
        <f>H291*INDEX('Pliegos Tarifarios (Quilicura)'!$E:$E,MATCH($B291,'Pliegos Tarifarios (Quilicura)'!$A:$A,0))</f>
        <v>35839.830151199996</v>
      </c>
      <c r="Q291" s="19" cm="1">
        <f t="array" ref="Q291">H291*_xlfn.IFS(H291&lt;=350,INDEX('Pliegos Tarifarios (Quilicura)'!$F:$F,MATCH($B291,'Pliegos Tarifarios (Quilicura)'!$A:$A,0)),H291&lt;=500,INDEX('Pliegos Tarifarios (Quilicura)'!$G:$G,MATCH($B291,'Pliegos Tarifarios (Quilicura)'!$A:$A,0)),H291&lt;=1000,INDEX('Pliegos Tarifarios (Quilicura)'!$H:$H,MATCH($B291,'Pliegos Tarifarios (Quilicura)'!$A:$A,0)),H291&lt;=5000,INDEX('Pliegos Tarifarios (Quilicura)'!$I:$I,MATCH($B291,'Pliegos Tarifarios (Quilicura)'!$A:$A,0)),H291&gt;5000,INDEX('Pliegos Tarifarios (Quilicura)'!$J:$J,MATCH($B291,'Pliegos Tarifarios (Quilicura)'!$A:$A,0)))/1.19</f>
        <v>8316.5487131092432</v>
      </c>
      <c r="R291" s="19">
        <f>INDEX('Pliegos Tarifarios (Quilicura)'!$K:$K,MATCH($B291,'Pliegos Tarifarios (Quilicura)'!$A:$A,0))</f>
        <v>723.32799999999997</v>
      </c>
      <c r="S291" s="21">
        <f t="shared" si="15"/>
        <v>503569.23433610919</v>
      </c>
      <c r="T291" s="21">
        <f t="shared" si="16"/>
        <v>95678.15452386075</v>
      </c>
      <c r="U291" s="19">
        <v>0</v>
      </c>
      <c r="V291" s="21">
        <f t="shared" si="17"/>
        <v>599247.38885996991</v>
      </c>
    </row>
    <row r="292" spans="1:22" x14ac:dyDescent="0.3">
      <c r="A292" s="3" t="s">
        <v>144</v>
      </c>
      <c r="B292" s="3">
        <v>5</v>
      </c>
      <c r="C292" s="4" t="s">
        <v>186</v>
      </c>
      <c r="D292" s="3" t="s">
        <v>195</v>
      </c>
      <c r="E292" s="3" t="s">
        <v>34</v>
      </c>
      <c r="F292" s="4" t="s">
        <v>35</v>
      </c>
      <c r="G292" s="3" t="s">
        <v>30</v>
      </c>
      <c r="H292" s="5">
        <v>1152.6864</v>
      </c>
      <c r="I292" s="5">
        <v>3.0653000000000001</v>
      </c>
      <c r="J292" s="5">
        <v>3.0653000000000001</v>
      </c>
      <c r="K292" s="6">
        <v>1</v>
      </c>
      <c r="L292" s="5">
        <v>38.42</v>
      </c>
      <c r="M292" s="19">
        <f>H292*INDEX('Pliegos Tarifarios (Quilicura)'!$B:$B,MATCH($B292,'Pliegos Tarifarios (Quilicura)'!$A:$A,0))</f>
        <v>136982.94640320001</v>
      </c>
      <c r="N292" s="19">
        <f>I292*INDEX('Pliegos Tarifarios (Quilicura)'!$C:$C,MATCH($B292,'Pliegos Tarifarios (Quilicura)'!$A:$A,0))</f>
        <v>10423.4637563</v>
      </c>
      <c r="O292" s="19">
        <f>J292*INDEX('Pliegos Tarifarios (Quilicura)'!$D:$D,MATCH($B292,'Pliegos Tarifarios (Quilicura)'!$A:$A,0))</f>
        <v>43219.853324200005</v>
      </c>
      <c r="P292" s="19">
        <f>H292*INDEX('Pliegos Tarifarios (Quilicura)'!$E:$E,MATCH($B292,'Pliegos Tarifarios (Quilicura)'!$A:$A,0))</f>
        <v>14906.540524800001</v>
      </c>
      <c r="Q292" s="19" cm="1">
        <f t="array" ref="Q292">H292*_xlfn.IFS(H292&lt;=350,INDEX('Pliegos Tarifarios (Quilicura)'!$F:$F,MATCH($B292,'Pliegos Tarifarios (Quilicura)'!$A:$A,0)),H292&lt;=500,INDEX('Pliegos Tarifarios (Quilicura)'!$G:$G,MATCH($B292,'Pliegos Tarifarios (Quilicura)'!$A:$A,0)),H292&lt;=1000,INDEX('Pliegos Tarifarios (Quilicura)'!$H:$H,MATCH($B292,'Pliegos Tarifarios (Quilicura)'!$A:$A,0)),H292&lt;=5000,INDEX('Pliegos Tarifarios (Quilicura)'!$I:$I,MATCH($B292,'Pliegos Tarifarios (Quilicura)'!$A:$A,0)),H292&gt;5000,INDEX('Pliegos Tarifarios (Quilicura)'!$J:$J,MATCH($B292,'Pliegos Tarifarios (Quilicura)'!$A:$A,0)))/1.19</f>
        <v>3459.0278440336133</v>
      </c>
      <c r="R292" s="19">
        <f>INDEX('Pliegos Tarifarios (Quilicura)'!$K:$K,MATCH($B292,'Pliegos Tarifarios (Quilicura)'!$A:$A,0))</f>
        <v>723.32799999999997</v>
      </c>
      <c r="S292" s="21">
        <f t="shared" si="15"/>
        <v>209715.15985253363</v>
      </c>
      <c r="T292" s="21">
        <f t="shared" si="16"/>
        <v>39845.880371981388</v>
      </c>
      <c r="U292" s="19">
        <v>0</v>
      </c>
      <c r="V292" s="21">
        <f t="shared" si="17"/>
        <v>249561.04022451502</v>
      </c>
    </row>
    <row r="293" spans="1:22" x14ac:dyDescent="0.3">
      <c r="A293" s="3" t="s">
        <v>144</v>
      </c>
      <c r="B293" s="3">
        <v>5</v>
      </c>
      <c r="C293" s="4" t="s">
        <v>186</v>
      </c>
      <c r="D293" s="3" t="s">
        <v>196</v>
      </c>
      <c r="E293" s="3" t="s">
        <v>34</v>
      </c>
      <c r="F293" s="4" t="s">
        <v>37</v>
      </c>
      <c r="G293" s="3" t="s">
        <v>30</v>
      </c>
      <c r="H293" s="5">
        <v>924.13990000000001</v>
      </c>
      <c r="I293" s="5">
        <v>2.4944000000000002</v>
      </c>
      <c r="J293" s="5">
        <v>2.4944000000000002</v>
      </c>
      <c r="K293" s="6">
        <v>1</v>
      </c>
      <c r="L293" s="5">
        <v>30.8</v>
      </c>
      <c r="M293" s="19">
        <f>H293*INDEX('Pliegos Tarifarios (Quilicura)'!$B:$B,MATCH($B293,'Pliegos Tarifarios (Quilicura)'!$A:$A,0))</f>
        <v>109822.93743619999</v>
      </c>
      <c r="N293" s="19">
        <f>I293*INDEX('Pliegos Tarifarios (Quilicura)'!$C:$C,MATCH($B293,'Pliegos Tarifarios (Quilicura)'!$A:$A,0))</f>
        <v>8482.1348624000002</v>
      </c>
      <c r="O293" s="19">
        <f>J293*INDEX('Pliegos Tarifarios (Quilicura)'!$D:$D,MATCH($B293,'Pliegos Tarifarios (Quilicura)'!$A:$A,0))</f>
        <v>35170.326601600005</v>
      </c>
      <c r="P293" s="19">
        <f>H293*INDEX('Pliegos Tarifarios (Quilicura)'!$E:$E,MATCH($B293,'Pliegos Tarifarios (Quilicura)'!$A:$A,0))</f>
        <v>11950.977186800001</v>
      </c>
      <c r="Q293" s="19" cm="1">
        <f t="array" ref="Q293">H293*_xlfn.IFS(H293&lt;=350,INDEX('Pliegos Tarifarios (Quilicura)'!$F:$F,MATCH($B293,'Pliegos Tarifarios (Quilicura)'!$A:$A,0)),H293&lt;=500,INDEX('Pliegos Tarifarios (Quilicura)'!$G:$G,MATCH($B293,'Pliegos Tarifarios (Quilicura)'!$A:$A,0)),H293&lt;=1000,INDEX('Pliegos Tarifarios (Quilicura)'!$H:$H,MATCH($B293,'Pliegos Tarifarios (Quilicura)'!$A:$A,0)),H293&lt;=5000,INDEX('Pliegos Tarifarios (Quilicura)'!$I:$I,MATCH($B293,'Pliegos Tarifarios (Quilicura)'!$A:$A,0)),H293&gt;5000,INDEX('Pliegos Tarifarios (Quilicura)'!$J:$J,MATCH($B293,'Pliegos Tarifarios (Quilicura)'!$A:$A,0)))/1.19</f>
        <v>2167.4575301680679</v>
      </c>
      <c r="R293" s="19">
        <f>INDEX('Pliegos Tarifarios (Quilicura)'!$K:$K,MATCH($B293,'Pliegos Tarifarios (Quilicura)'!$A:$A,0))</f>
        <v>723.32799999999997</v>
      </c>
      <c r="S293" s="21">
        <f t="shared" si="15"/>
        <v>168317.16161716808</v>
      </c>
      <c r="T293" s="21">
        <f t="shared" si="16"/>
        <v>31980.260707261936</v>
      </c>
      <c r="U293" s="19">
        <v>0</v>
      </c>
      <c r="V293" s="21">
        <f t="shared" si="17"/>
        <v>200297.42232443002</v>
      </c>
    </row>
    <row r="294" spans="1:22" x14ac:dyDescent="0.3">
      <c r="A294" s="3" t="s">
        <v>144</v>
      </c>
      <c r="B294" s="3">
        <v>5</v>
      </c>
      <c r="C294" s="4" t="s">
        <v>186</v>
      </c>
      <c r="D294" s="3" t="s">
        <v>197</v>
      </c>
      <c r="E294" s="3" t="s">
        <v>34</v>
      </c>
      <c r="F294" s="4" t="s">
        <v>39</v>
      </c>
      <c r="G294" s="3" t="s">
        <v>30</v>
      </c>
      <c r="H294" s="5">
        <v>923.21630000000005</v>
      </c>
      <c r="I294" s="5">
        <v>2.5072000000000001</v>
      </c>
      <c r="J294" s="5">
        <v>2.4552999999999998</v>
      </c>
      <c r="K294" s="6">
        <v>0.97929961710274394</v>
      </c>
      <c r="L294" s="5">
        <v>30.77</v>
      </c>
      <c r="M294" s="19">
        <f>H294*INDEX('Pliegos Tarifarios (Quilicura)'!$B:$B,MATCH($B294,'Pliegos Tarifarios (Quilicura)'!$A:$A,0))</f>
        <v>109713.1786594</v>
      </c>
      <c r="N294" s="19">
        <f>I294*INDEX('Pliegos Tarifarios (Quilicura)'!$C:$C,MATCH($B294,'Pliegos Tarifarios (Quilicura)'!$A:$A,0))</f>
        <v>8525.6608912000011</v>
      </c>
      <c r="O294" s="19">
        <f>J294*INDEX('Pliegos Tarifarios (Quilicura)'!$D:$D,MATCH($B294,'Pliegos Tarifarios (Quilicura)'!$A:$A,0))</f>
        <v>34619.0277842</v>
      </c>
      <c r="P294" s="19">
        <f>H294*INDEX('Pliegos Tarifarios (Quilicura)'!$E:$E,MATCH($B294,'Pliegos Tarifarios (Quilicura)'!$A:$A,0))</f>
        <v>11939.033191600001</v>
      </c>
      <c r="Q294" s="19" cm="1">
        <f t="array" ref="Q294">H294*_xlfn.IFS(H294&lt;=350,INDEX('Pliegos Tarifarios (Quilicura)'!$F:$F,MATCH($B294,'Pliegos Tarifarios (Quilicura)'!$A:$A,0)),H294&lt;=500,INDEX('Pliegos Tarifarios (Quilicura)'!$G:$G,MATCH($B294,'Pliegos Tarifarios (Quilicura)'!$A:$A,0)),H294&lt;=1000,INDEX('Pliegos Tarifarios (Quilicura)'!$H:$H,MATCH($B294,'Pliegos Tarifarios (Quilicura)'!$A:$A,0)),H294&lt;=5000,INDEX('Pliegos Tarifarios (Quilicura)'!$I:$I,MATCH($B294,'Pliegos Tarifarios (Quilicura)'!$A:$A,0)),H294&gt;5000,INDEX('Pliegos Tarifarios (Quilicura)'!$J:$J,MATCH($B294,'Pliegos Tarifarios (Quilicura)'!$A:$A,0)))/1.19</f>
        <v>2165.2913389075634</v>
      </c>
      <c r="R294" s="19">
        <f>INDEX('Pliegos Tarifarios (Quilicura)'!$K:$K,MATCH($B294,'Pliegos Tarifarios (Quilicura)'!$A:$A,0))</f>
        <v>723.32799999999997</v>
      </c>
      <c r="S294" s="21">
        <f t="shared" si="15"/>
        <v>167685.51986530758</v>
      </c>
      <c r="T294" s="21">
        <f t="shared" si="16"/>
        <v>31860.248774408439</v>
      </c>
      <c r="U294" s="19">
        <v>0</v>
      </c>
      <c r="V294" s="21">
        <f t="shared" si="17"/>
        <v>199545.76863971603</v>
      </c>
    </row>
    <row r="295" spans="1:22" x14ac:dyDescent="0.3">
      <c r="A295" s="3" t="s">
        <v>144</v>
      </c>
      <c r="B295" s="3">
        <v>5</v>
      </c>
      <c r="C295" s="4" t="s">
        <v>186</v>
      </c>
      <c r="D295" s="3" t="s">
        <v>198</v>
      </c>
      <c r="E295" s="3" t="s">
        <v>34</v>
      </c>
      <c r="F295" s="4" t="s">
        <v>41</v>
      </c>
      <c r="G295" s="3" t="s">
        <v>30</v>
      </c>
      <c r="H295" s="5">
        <v>692.65750000000003</v>
      </c>
      <c r="I295" s="5">
        <v>1.8426</v>
      </c>
      <c r="J295" s="5">
        <v>1.8426</v>
      </c>
      <c r="K295" s="6">
        <v>1</v>
      </c>
      <c r="L295" s="5">
        <v>23.09</v>
      </c>
      <c r="M295" s="19">
        <f>H295*INDEX('Pliegos Tarifarios (Quilicura)'!$B:$B,MATCH($B295,'Pliegos Tarifarios (Quilicura)'!$A:$A,0))</f>
        <v>82314.031984999994</v>
      </c>
      <c r="N295" s="19">
        <f>I295*INDEX('Pliegos Tarifarios (Quilicura)'!$C:$C,MATCH($B295,'Pliegos Tarifarios (Quilicura)'!$A:$A,0))</f>
        <v>6265.7078646</v>
      </c>
      <c r="O295" s="19">
        <f>J295*INDEX('Pliegos Tarifarios (Quilicura)'!$D:$D,MATCH($B295,'Pliegos Tarifarios (Quilicura)'!$A:$A,0))</f>
        <v>25980.133016399999</v>
      </c>
      <c r="P295" s="19">
        <f>H295*INDEX('Pliegos Tarifarios (Quilicura)'!$E:$E,MATCH($B295,'Pliegos Tarifarios (Quilicura)'!$A:$A,0))</f>
        <v>8957.44679</v>
      </c>
      <c r="Q295" s="19" cm="1">
        <f t="array" ref="Q295">H295*_xlfn.IFS(H295&lt;=350,INDEX('Pliegos Tarifarios (Quilicura)'!$F:$F,MATCH($B295,'Pliegos Tarifarios (Quilicura)'!$A:$A,0)),H295&lt;=500,INDEX('Pliegos Tarifarios (Quilicura)'!$G:$G,MATCH($B295,'Pliegos Tarifarios (Quilicura)'!$A:$A,0)),H295&lt;=1000,INDEX('Pliegos Tarifarios (Quilicura)'!$H:$H,MATCH($B295,'Pliegos Tarifarios (Quilicura)'!$A:$A,0)),H295&lt;=5000,INDEX('Pliegos Tarifarios (Quilicura)'!$I:$I,MATCH($B295,'Pliegos Tarifarios (Quilicura)'!$A:$A,0)),H295&gt;5000,INDEX('Pliegos Tarifarios (Quilicura)'!$J:$J,MATCH($B295,'Pliegos Tarifarios (Quilicura)'!$A:$A,0)))/1.19</f>
        <v>1624.5437668067229</v>
      </c>
      <c r="R295" s="19">
        <f>INDEX('Pliegos Tarifarios (Quilicura)'!$K:$K,MATCH($B295,'Pliegos Tarifarios (Quilicura)'!$A:$A,0))</f>
        <v>723.32799999999997</v>
      </c>
      <c r="S295" s="21">
        <f t="shared" si="15"/>
        <v>125865.1914228067</v>
      </c>
      <c r="T295" s="21">
        <f t="shared" si="16"/>
        <v>23914.386370333275</v>
      </c>
      <c r="U295" s="19">
        <v>0</v>
      </c>
      <c r="V295" s="21">
        <f t="shared" si="17"/>
        <v>149779.57779313996</v>
      </c>
    </row>
    <row r="296" spans="1:22" x14ac:dyDescent="0.3">
      <c r="A296" s="3" t="s">
        <v>144</v>
      </c>
      <c r="B296" s="3">
        <v>5</v>
      </c>
      <c r="C296" s="4" t="s">
        <v>186</v>
      </c>
      <c r="D296" s="3" t="s">
        <v>199</v>
      </c>
      <c r="E296" s="3" t="s">
        <v>34</v>
      </c>
      <c r="F296" s="4" t="s">
        <v>43</v>
      </c>
      <c r="G296" s="3" t="s">
        <v>30</v>
      </c>
      <c r="H296" s="5">
        <v>692.38990000000001</v>
      </c>
      <c r="I296" s="5">
        <v>1.8855</v>
      </c>
      <c r="J296" s="5">
        <v>1.8855</v>
      </c>
      <c r="K296" s="6">
        <v>1</v>
      </c>
      <c r="L296" s="5">
        <v>23.08</v>
      </c>
      <c r="M296" s="19">
        <f>H296*INDEX('Pliegos Tarifarios (Quilicura)'!$B:$B,MATCH($B296,'Pliegos Tarifarios (Quilicura)'!$A:$A,0))</f>
        <v>82282.230936199994</v>
      </c>
      <c r="N296" s="19">
        <f>I296*INDEX('Pliegos Tarifarios (Quilicura)'!$C:$C,MATCH($B296,'Pliegos Tarifarios (Quilicura)'!$A:$A,0))</f>
        <v>6411.5880705</v>
      </c>
      <c r="O296" s="19">
        <f>J296*INDEX('Pliegos Tarifarios (Quilicura)'!$D:$D,MATCH($B296,'Pliegos Tarifarios (Quilicura)'!$A:$A,0))</f>
        <v>26585.010747</v>
      </c>
      <c r="P296" s="19">
        <f>H296*INDEX('Pliegos Tarifarios (Quilicura)'!$E:$E,MATCH($B296,'Pliegos Tarifarios (Quilicura)'!$A:$A,0))</f>
        <v>8953.9861868000007</v>
      </c>
      <c r="Q296" s="19" cm="1">
        <f t="array" ref="Q296">H296*_xlfn.IFS(H296&lt;=350,INDEX('Pliegos Tarifarios (Quilicura)'!$F:$F,MATCH($B296,'Pliegos Tarifarios (Quilicura)'!$A:$A,0)),H296&lt;=500,INDEX('Pliegos Tarifarios (Quilicura)'!$G:$G,MATCH($B296,'Pliegos Tarifarios (Quilicura)'!$A:$A,0)),H296&lt;=1000,INDEX('Pliegos Tarifarios (Quilicura)'!$H:$H,MATCH($B296,'Pliegos Tarifarios (Quilicura)'!$A:$A,0)),H296&lt;=5000,INDEX('Pliegos Tarifarios (Quilicura)'!$I:$I,MATCH($B296,'Pliegos Tarifarios (Quilicura)'!$A:$A,0)),H296&gt;5000,INDEX('Pliegos Tarifarios (Quilicura)'!$J:$J,MATCH($B296,'Pliegos Tarifarios (Quilicura)'!$A:$A,0)))/1.19</f>
        <v>1623.9161436134457</v>
      </c>
      <c r="R296" s="19">
        <f>INDEX('Pliegos Tarifarios (Quilicura)'!$K:$K,MATCH($B296,'Pliegos Tarifarios (Quilicura)'!$A:$A,0))</f>
        <v>723.32799999999997</v>
      </c>
      <c r="S296" s="21">
        <f t="shared" si="15"/>
        <v>126580.06008411344</v>
      </c>
      <c r="T296" s="21">
        <f t="shared" si="16"/>
        <v>24050.211415981554</v>
      </c>
      <c r="U296" s="19">
        <v>0</v>
      </c>
      <c r="V296" s="21">
        <f t="shared" si="17"/>
        <v>150630.271500095</v>
      </c>
    </row>
    <row r="297" spans="1:22" x14ac:dyDescent="0.3">
      <c r="A297" s="3" t="s">
        <v>144</v>
      </c>
      <c r="B297" s="3">
        <v>5</v>
      </c>
      <c r="C297" s="4" t="s">
        <v>186</v>
      </c>
      <c r="D297" s="3" t="s">
        <v>200</v>
      </c>
      <c r="E297" s="3" t="s">
        <v>34</v>
      </c>
      <c r="F297" s="4" t="s">
        <v>45</v>
      </c>
      <c r="G297" s="3" t="s">
        <v>30</v>
      </c>
      <c r="H297" s="5">
        <v>693.72239999999999</v>
      </c>
      <c r="I297" s="5">
        <v>1.8503000000000001</v>
      </c>
      <c r="J297" s="5">
        <v>1.8374999999999999</v>
      </c>
      <c r="K297" s="6">
        <v>0.99308220288601845</v>
      </c>
      <c r="L297" s="5">
        <v>23.12</v>
      </c>
      <c r="M297" s="19">
        <f>H297*INDEX('Pliegos Tarifarios (Quilicura)'!$B:$B,MATCH($B297,'Pliegos Tarifarios (Quilicura)'!$A:$A,0))</f>
        <v>82440.582571199993</v>
      </c>
      <c r="N297" s="19">
        <f>I297*INDEX('Pliegos Tarifarios (Quilicura)'!$C:$C,MATCH($B297,'Pliegos Tarifarios (Quilicura)'!$A:$A,0))</f>
        <v>6291.8914912999999</v>
      </c>
      <c r="O297" s="19">
        <f>J297*INDEX('Pliegos Tarifarios (Quilicura)'!$D:$D,MATCH($B297,'Pliegos Tarifarios (Quilicura)'!$A:$A,0))</f>
        <v>25908.224474999999</v>
      </c>
      <c r="P297" s="19">
        <f>H297*INDEX('Pliegos Tarifarios (Quilicura)'!$E:$E,MATCH($B297,'Pliegos Tarifarios (Quilicura)'!$A:$A,0))</f>
        <v>8971.2180767999998</v>
      </c>
      <c r="Q297" s="19" cm="1">
        <f t="array" ref="Q297">H297*_xlfn.IFS(H297&lt;=350,INDEX('Pliegos Tarifarios (Quilicura)'!$F:$F,MATCH($B297,'Pliegos Tarifarios (Quilicura)'!$A:$A,0)),H297&lt;=500,INDEX('Pliegos Tarifarios (Quilicura)'!$G:$G,MATCH($B297,'Pliegos Tarifarios (Quilicura)'!$A:$A,0)),H297&lt;=1000,INDEX('Pliegos Tarifarios (Quilicura)'!$H:$H,MATCH($B297,'Pliegos Tarifarios (Quilicura)'!$A:$A,0)),H297&lt;=5000,INDEX('Pliegos Tarifarios (Quilicura)'!$I:$I,MATCH($B297,'Pliegos Tarifarios (Quilicura)'!$A:$A,0)),H297&gt;5000,INDEX('Pliegos Tarifarios (Quilicura)'!$J:$J,MATCH($B297,'Pliegos Tarifarios (Quilicura)'!$A:$A,0)))/1.19</f>
        <v>1627.0413600000004</v>
      </c>
      <c r="R297" s="19">
        <f>INDEX('Pliegos Tarifarios (Quilicura)'!$K:$K,MATCH($B297,'Pliegos Tarifarios (Quilicura)'!$A:$A,0))</f>
        <v>723.32799999999997</v>
      </c>
      <c r="S297" s="21">
        <f t="shared" si="15"/>
        <v>125962.28597429999</v>
      </c>
      <c r="T297" s="21">
        <f t="shared" si="16"/>
        <v>23932.834335116997</v>
      </c>
      <c r="U297" s="19">
        <v>0</v>
      </c>
      <c r="V297" s="21">
        <f t="shared" si="17"/>
        <v>149895.12030941699</v>
      </c>
    </row>
    <row r="298" spans="1:22" x14ac:dyDescent="0.3">
      <c r="A298" s="3" t="s">
        <v>144</v>
      </c>
      <c r="B298" s="3">
        <v>5</v>
      </c>
      <c r="C298" s="4" t="s">
        <v>186</v>
      </c>
      <c r="D298" s="3" t="s">
        <v>201</v>
      </c>
      <c r="E298" s="3" t="s">
        <v>47</v>
      </c>
      <c r="F298" s="4" t="s">
        <v>48</v>
      </c>
      <c r="G298" s="3" t="s">
        <v>30</v>
      </c>
      <c r="H298" s="5">
        <v>694.35820000000001</v>
      </c>
      <c r="I298" s="5">
        <v>1.8746</v>
      </c>
      <c r="J298" s="5">
        <v>1.8736999999999999</v>
      </c>
      <c r="K298" s="6">
        <v>0.99951989757814996</v>
      </c>
      <c r="L298" s="5">
        <v>23.15</v>
      </c>
      <c r="M298" s="19">
        <f>H298*INDEX('Pliegos Tarifarios (Quilicura)'!$B:$B,MATCH($B298,'Pliegos Tarifarios (Quilicura)'!$A:$A,0))</f>
        <v>82516.139771599992</v>
      </c>
      <c r="N298" s="19">
        <f>I298*INDEX('Pliegos Tarifarios (Quilicura)'!$C:$C,MATCH($B298,'Pliegos Tarifarios (Quilicura)'!$A:$A,0))</f>
        <v>6374.5229366000003</v>
      </c>
      <c r="O298" s="19">
        <f>J298*INDEX('Pliegos Tarifarios (Quilicura)'!$D:$D,MATCH($B298,'Pliegos Tarifarios (Quilicura)'!$A:$A,0))</f>
        <v>26418.634121799998</v>
      </c>
      <c r="P298" s="19">
        <f>H298*INDEX('Pliegos Tarifarios (Quilicura)'!$E:$E,MATCH($B298,'Pliegos Tarifarios (Quilicura)'!$A:$A,0))</f>
        <v>8979.4402424</v>
      </c>
      <c r="Q298" s="19" cm="1">
        <f t="array" ref="Q298">H298*_xlfn.IFS(H298&lt;=350,INDEX('Pliegos Tarifarios (Quilicura)'!$F:$F,MATCH($B298,'Pliegos Tarifarios (Quilicura)'!$A:$A,0)),H298&lt;=500,INDEX('Pliegos Tarifarios (Quilicura)'!$G:$G,MATCH($B298,'Pliegos Tarifarios (Quilicura)'!$A:$A,0)),H298&lt;=1000,INDEX('Pliegos Tarifarios (Quilicura)'!$H:$H,MATCH($B298,'Pliegos Tarifarios (Quilicura)'!$A:$A,0)),H298&lt;=5000,INDEX('Pliegos Tarifarios (Quilicura)'!$I:$I,MATCH($B298,'Pliegos Tarifarios (Quilicura)'!$A:$A,0)),H298&gt;5000,INDEX('Pliegos Tarifarios (Quilicura)'!$J:$J,MATCH($B298,'Pliegos Tarifarios (Quilicura)'!$A:$A,0)))/1.19</f>
        <v>1628.5325514285719</v>
      </c>
      <c r="R298" s="19">
        <f>INDEX('Pliegos Tarifarios (Quilicura)'!$K:$K,MATCH($B298,'Pliegos Tarifarios (Quilicura)'!$A:$A,0))</f>
        <v>723.32799999999997</v>
      </c>
      <c r="S298" s="21">
        <f t="shared" si="15"/>
        <v>126640.59762382855</v>
      </c>
      <c r="T298" s="21">
        <f t="shared" si="16"/>
        <v>24061.713548527427</v>
      </c>
      <c r="U298" s="19">
        <v>0</v>
      </c>
      <c r="V298" s="21">
        <f t="shared" si="17"/>
        <v>150702.31117235599</v>
      </c>
    </row>
    <row r="299" spans="1:22" x14ac:dyDescent="0.3">
      <c r="A299" s="3" t="s">
        <v>144</v>
      </c>
      <c r="B299" s="3">
        <v>5</v>
      </c>
      <c r="C299" s="4" t="s">
        <v>186</v>
      </c>
      <c r="D299" s="3" t="s">
        <v>202</v>
      </c>
      <c r="E299" s="3" t="s">
        <v>47</v>
      </c>
      <c r="F299" s="4" t="s">
        <v>50</v>
      </c>
      <c r="G299" s="3" t="s">
        <v>30</v>
      </c>
      <c r="H299" s="5">
        <v>691.71489999999994</v>
      </c>
      <c r="I299" s="5">
        <v>1.8512</v>
      </c>
      <c r="J299" s="5">
        <v>1.8066</v>
      </c>
      <c r="K299" s="6">
        <v>0.97590751944684528</v>
      </c>
      <c r="L299" s="5">
        <v>23.06</v>
      </c>
      <c r="M299" s="19">
        <f>H299*INDEX('Pliegos Tarifarios (Quilicura)'!$B:$B,MATCH($B299,'Pliegos Tarifarios (Quilicura)'!$A:$A,0))</f>
        <v>82202.015286199996</v>
      </c>
      <c r="N299" s="19">
        <f>I299*INDEX('Pliegos Tarifarios (Quilicura)'!$C:$C,MATCH($B299,'Pliegos Tarifarios (Quilicura)'!$A:$A,0))</f>
        <v>6294.9519152000003</v>
      </c>
      <c r="O299" s="19">
        <f>J299*INDEX('Pliegos Tarifarios (Quilicura)'!$D:$D,MATCH($B299,'Pliegos Tarifarios (Quilicura)'!$A:$A,0))</f>
        <v>25472.543312400001</v>
      </c>
      <c r="P299" s="19">
        <f>H299*INDEX('Pliegos Tarifarios (Quilicura)'!$E:$E,MATCH($B299,'Pliegos Tarifarios (Quilicura)'!$A:$A,0))</f>
        <v>8945.2570868000003</v>
      </c>
      <c r="Q299" s="19" cm="1">
        <f t="array" ref="Q299">H299*_xlfn.IFS(H299&lt;=350,INDEX('Pliegos Tarifarios (Quilicura)'!$F:$F,MATCH($B299,'Pliegos Tarifarios (Quilicura)'!$A:$A,0)),H299&lt;=500,INDEX('Pliegos Tarifarios (Quilicura)'!$G:$G,MATCH($B299,'Pliegos Tarifarios (Quilicura)'!$A:$A,0)),H299&lt;=1000,INDEX('Pliegos Tarifarios (Quilicura)'!$H:$H,MATCH($B299,'Pliegos Tarifarios (Quilicura)'!$A:$A,0)),H299&lt;=5000,INDEX('Pliegos Tarifarios (Quilicura)'!$I:$I,MATCH($B299,'Pliegos Tarifarios (Quilicura)'!$A:$A,0)),H299&gt;5000,INDEX('Pliegos Tarifarios (Quilicura)'!$J:$J,MATCH($B299,'Pliegos Tarifarios (Quilicura)'!$A:$A,0)))/1.19</f>
        <v>1622.3330133613447</v>
      </c>
      <c r="R299" s="19">
        <f>INDEX('Pliegos Tarifarios (Quilicura)'!$K:$K,MATCH($B299,'Pliegos Tarifarios (Quilicura)'!$A:$A,0))</f>
        <v>723.32799999999997</v>
      </c>
      <c r="S299" s="21">
        <f t="shared" si="15"/>
        <v>125260.42861396134</v>
      </c>
      <c r="T299" s="21">
        <f t="shared" si="16"/>
        <v>23799.481436652655</v>
      </c>
      <c r="U299" s="19">
        <v>0</v>
      </c>
      <c r="V299" s="21">
        <f t="shared" si="17"/>
        <v>149059.91005061398</v>
      </c>
    </row>
    <row r="300" spans="1:22" x14ac:dyDescent="0.3">
      <c r="A300" s="3" t="s">
        <v>144</v>
      </c>
      <c r="B300" s="3">
        <v>5</v>
      </c>
      <c r="C300" s="4" t="s">
        <v>186</v>
      </c>
      <c r="D300" s="3" t="s">
        <v>203</v>
      </c>
      <c r="E300" s="3" t="s">
        <v>52</v>
      </c>
      <c r="F300" s="4" t="s">
        <v>53</v>
      </c>
      <c r="G300" s="3" t="s">
        <v>30</v>
      </c>
      <c r="H300" s="5">
        <v>691.82950000000005</v>
      </c>
      <c r="I300" s="5">
        <v>1.9086000000000001</v>
      </c>
      <c r="J300" s="5">
        <v>1.8443000000000001</v>
      </c>
      <c r="K300" s="6">
        <v>0.96631038457508123</v>
      </c>
      <c r="L300" s="5">
        <v>23.06</v>
      </c>
      <c r="M300" s="19">
        <f>H300*INDEX('Pliegos Tarifarios (Quilicura)'!$B:$B,MATCH($B300,'Pliegos Tarifarios (Quilicura)'!$A:$A,0))</f>
        <v>82215.634120999996</v>
      </c>
      <c r="N300" s="19">
        <f>I300*INDEX('Pliegos Tarifarios (Quilicura)'!$C:$C,MATCH($B300,'Pliegos Tarifarios (Quilicura)'!$A:$A,0))</f>
        <v>6490.1389506000005</v>
      </c>
      <c r="O300" s="19">
        <f>J300*INDEX('Pliegos Tarifarios (Quilicura)'!$D:$D,MATCH($B300,'Pliegos Tarifarios (Quilicura)'!$A:$A,0))</f>
        <v>26004.102530200002</v>
      </c>
      <c r="P300" s="19">
        <f>H300*INDEX('Pliegos Tarifarios (Quilicura)'!$E:$E,MATCH($B300,'Pliegos Tarifarios (Quilicura)'!$A:$A,0))</f>
        <v>8946.7390940000005</v>
      </c>
      <c r="Q300" s="19" cm="1">
        <f t="array" ref="Q300">H300*_xlfn.IFS(H300&lt;=350,INDEX('Pliegos Tarifarios (Quilicura)'!$F:$F,MATCH($B300,'Pliegos Tarifarios (Quilicura)'!$A:$A,0)),H300&lt;=500,INDEX('Pliegos Tarifarios (Quilicura)'!$G:$G,MATCH($B300,'Pliegos Tarifarios (Quilicura)'!$A:$A,0)),H300&lt;=1000,INDEX('Pliegos Tarifarios (Quilicura)'!$H:$H,MATCH($B300,'Pliegos Tarifarios (Quilicura)'!$A:$A,0)),H300&lt;=5000,INDEX('Pliegos Tarifarios (Quilicura)'!$I:$I,MATCH($B300,'Pliegos Tarifarios (Quilicura)'!$A:$A,0)),H300&gt;5000,INDEX('Pliegos Tarifarios (Quilicura)'!$J:$J,MATCH($B300,'Pliegos Tarifarios (Quilicura)'!$A:$A,0)))/1.19</f>
        <v>1622.6017936974795</v>
      </c>
      <c r="R300" s="19">
        <f>INDEX('Pliegos Tarifarios (Quilicura)'!$K:$K,MATCH($B300,'Pliegos Tarifarios (Quilicura)'!$A:$A,0))</f>
        <v>723.32799999999997</v>
      </c>
      <c r="S300" s="21">
        <f t="shared" si="15"/>
        <v>126002.54448949748</v>
      </c>
      <c r="T300" s="21">
        <f t="shared" si="16"/>
        <v>23940.483453004523</v>
      </c>
      <c r="U300" s="19">
        <v>0</v>
      </c>
      <c r="V300" s="21">
        <f t="shared" si="17"/>
        <v>149943.027942502</v>
      </c>
    </row>
    <row r="301" spans="1:22" x14ac:dyDescent="0.3">
      <c r="A301" s="3" t="s">
        <v>144</v>
      </c>
      <c r="B301" s="3">
        <v>5</v>
      </c>
      <c r="C301" s="4" t="s">
        <v>186</v>
      </c>
      <c r="D301" s="3" t="s">
        <v>204</v>
      </c>
      <c r="E301" s="3" t="s">
        <v>55</v>
      </c>
      <c r="F301" s="4" t="s">
        <v>56</v>
      </c>
      <c r="G301" s="3" t="s">
        <v>30</v>
      </c>
      <c r="H301" s="5">
        <v>462.24270000000001</v>
      </c>
      <c r="I301" s="5">
        <v>1.2269000000000001</v>
      </c>
      <c r="J301" s="5">
        <v>1.1887000000000001</v>
      </c>
      <c r="K301" s="6">
        <v>0.96886461814328795</v>
      </c>
      <c r="L301" s="5">
        <v>15.41</v>
      </c>
      <c r="M301" s="19">
        <f>H301*INDEX('Pliegos Tarifarios (Quilicura)'!$B:$B,MATCH($B301,'Pliegos Tarifarios (Quilicura)'!$A:$A,0))</f>
        <v>54931.997982599998</v>
      </c>
      <c r="N301" s="19">
        <f>I301*INDEX('Pliegos Tarifarios (Quilicura)'!$C:$C,MATCH($B301,'Pliegos Tarifarios (Quilicura)'!$A:$A,0))</f>
        <v>4172.0378699000003</v>
      </c>
      <c r="O301" s="19">
        <f>J301*INDEX('Pliegos Tarifarios (Quilicura)'!$D:$D,MATCH($B301,'Pliegos Tarifarios (Quilicura)'!$A:$A,0))</f>
        <v>16760.3300318</v>
      </c>
      <c r="P301" s="19">
        <f>H301*INDEX('Pliegos Tarifarios (Quilicura)'!$E:$E,MATCH($B301,'Pliegos Tarifarios (Quilicura)'!$A:$A,0))</f>
        <v>5977.7225963999999</v>
      </c>
      <c r="Q301" s="19" cm="1">
        <f t="array" ref="Q301">H301*_xlfn.IFS(H301&lt;=350,INDEX('Pliegos Tarifarios (Quilicura)'!$F:$F,MATCH($B301,'Pliegos Tarifarios (Quilicura)'!$A:$A,0)),H301&lt;=500,INDEX('Pliegos Tarifarios (Quilicura)'!$G:$G,MATCH($B301,'Pliegos Tarifarios (Quilicura)'!$A:$A,0)),H301&lt;=1000,INDEX('Pliegos Tarifarios (Quilicura)'!$H:$H,MATCH($B301,'Pliegos Tarifarios (Quilicura)'!$A:$A,0)),H301&lt;=5000,INDEX('Pliegos Tarifarios (Quilicura)'!$I:$I,MATCH($B301,'Pliegos Tarifarios (Quilicura)'!$A:$A,0)),H301&gt;5000,INDEX('Pliegos Tarifarios (Quilicura)'!$J:$J,MATCH($B301,'Pliegos Tarifarios (Quilicura)'!$A:$A,0)))/1.19</f>
        <v>651.02417243697494</v>
      </c>
      <c r="R301" s="19">
        <f>INDEX('Pliegos Tarifarios (Quilicura)'!$K:$K,MATCH($B301,'Pliegos Tarifarios (Quilicura)'!$A:$A,0))</f>
        <v>723.32799999999997</v>
      </c>
      <c r="S301" s="21">
        <f t="shared" si="15"/>
        <v>83216.44065313696</v>
      </c>
      <c r="T301" s="21">
        <f t="shared" si="16"/>
        <v>15811.123724096024</v>
      </c>
      <c r="U301" s="19">
        <v>0</v>
      </c>
      <c r="V301" s="21">
        <f t="shared" si="17"/>
        <v>99027.564377232979</v>
      </c>
    </row>
    <row r="302" spans="1:22" x14ac:dyDescent="0.3">
      <c r="A302" s="3" t="s">
        <v>144</v>
      </c>
      <c r="B302" s="3">
        <v>5</v>
      </c>
      <c r="C302" s="4" t="s">
        <v>186</v>
      </c>
      <c r="D302" s="3" t="s">
        <v>205</v>
      </c>
      <c r="E302" s="3" t="s">
        <v>58</v>
      </c>
      <c r="F302" s="4" t="s">
        <v>59</v>
      </c>
      <c r="G302" s="3" t="s">
        <v>30</v>
      </c>
      <c r="H302" s="5">
        <v>461.8202</v>
      </c>
      <c r="I302" s="5">
        <v>1.2498</v>
      </c>
      <c r="J302" s="5">
        <v>1.2266999999999999</v>
      </c>
      <c r="K302" s="6">
        <v>0.98151704272683615</v>
      </c>
      <c r="L302" s="5">
        <v>15.39</v>
      </c>
      <c r="M302" s="19">
        <f>H302*INDEX('Pliegos Tarifarios (Quilicura)'!$B:$B,MATCH($B302,'Pliegos Tarifarios (Quilicura)'!$A:$A,0))</f>
        <v>54881.788927599999</v>
      </c>
      <c r="N302" s="19">
        <f>I302*INDEX('Pliegos Tarifarios (Quilicura)'!$C:$C,MATCH($B302,'Pliegos Tarifarios (Quilicura)'!$A:$A,0))</f>
        <v>4249.9086557999999</v>
      </c>
      <c r="O302" s="19">
        <f>J302*INDEX('Pliegos Tarifarios (Quilicura)'!$D:$D,MATCH($B302,'Pliegos Tarifarios (Quilicura)'!$A:$A,0))</f>
        <v>17296.119163799998</v>
      </c>
      <c r="P302" s="19">
        <f>H302*INDEX('Pliegos Tarifarios (Quilicura)'!$E:$E,MATCH($B302,'Pliegos Tarifarios (Quilicura)'!$A:$A,0))</f>
        <v>5972.2588264000005</v>
      </c>
      <c r="Q302" s="19" cm="1">
        <f t="array" ref="Q302">H302*_xlfn.IFS(H302&lt;=350,INDEX('Pliegos Tarifarios (Quilicura)'!$F:$F,MATCH($B302,'Pliegos Tarifarios (Quilicura)'!$A:$A,0)),H302&lt;=500,INDEX('Pliegos Tarifarios (Quilicura)'!$G:$G,MATCH($B302,'Pliegos Tarifarios (Quilicura)'!$A:$A,0)),H302&lt;=1000,INDEX('Pliegos Tarifarios (Quilicura)'!$H:$H,MATCH($B302,'Pliegos Tarifarios (Quilicura)'!$A:$A,0)),H302&lt;=5000,INDEX('Pliegos Tarifarios (Quilicura)'!$I:$I,MATCH($B302,'Pliegos Tarifarios (Quilicura)'!$A:$A,0)),H302&gt;5000,INDEX('Pliegos Tarifarios (Quilicura)'!$J:$J,MATCH($B302,'Pliegos Tarifarios (Quilicura)'!$A:$A,0)))/1.19</f>
        <v>650.42912201680679</v>
      </c>
      <c r="R302" s="19">
        <f>INDEX('Pliegos Tarifarios (Quilicura)'!$K:$K,MATCH($B302,'Pliegos Tarifarios (Quilicura)'!$A:$A,0))</f>
        <v>723.32799999999997</v>
      </c>
      <c r="S302" s="21">
        <f t="shared" si="15"/>
        <v>83773.832695616788</v>
      </c>
      <c r="T302" s="21">
        <f t="shared" si="16"/>
        <v>15917.02821216719</v>
      </c>
      <c r="U302" s="19">
        <v>0</v>
      </c>
      <c r="V302" s="21">
        <f t="shared" si="17"/>
        <v>99690.860907783979</v>
      </c>
    </row>
    <row r="303" spans="1:22" x14ac:dyDescent="0.3">
      <c r="A303" s="3" t="s">
        <v>144</v>
      </c>
      <c r="B303" s="3">
        <v>5</v>
      </c>
      <c r="C303" s="4" t="s">
        <v>186</v>
      </c>
      <c r="D303" s="3" t="s">
        <v>206</v>
      </c>
      <c r="E303" s="3" t="s">
        <v>61</v>
      </c>
      <c r="F303" s="4" t="s">
        <v>62</v>
      </c>
      <c r="G303" s="3" t="s">
        <v>30</v>
      </c>
      <c r="H303" s="5">
        <v>461.83109999999999</v>
      </c>
      <c r="I303" s="5">
        <v>1.2307999999999999</v>
      </c>
      <c r="J303" s="5">
        <v>1.2234</v>
      </c>
      <c r="K303" s="6">
        <v>0.99398765030874237</v>
      </c>
      <c r="L303" s="5">
        <v>15.39</v>
      </c>
      <c r="M303" s="19">
        <f>H303*INDEX('Pliegos Tarifarios (Quilicura)'!$B:$B,MATCH($B303,'Pliegos Tarifarios (Quilicura)'!$A:$A,0))</f>
        <v>54883.084261799995</v>
      </c>
      <c r="N303" s="19">
        <f>I303*INDEX('Pliegos Tarifarios (Quilicura)'!$C:$C,MATCH($B303,'Pliegos Tarifarios (Quilicura)'!$A:$A,0))</f>
        <v>4185.2997067999995</v>
      </c>
      <c r="O303" s="19">
        <f>J303*INDEX('Pliegos Tarifarios (Quilicura)'!$D:$D,MATCH($B303,'Pliegos Tarifarios (Quilicura)'!$A:$A,0))</f>
        <v>17249.590107600001</v>
      </c>
      <c r="P303" s="19">
        <f>H303*INDEX('Pliegos Tarifarios (Quilicura)'!$E:$E,MATCH($B303,'Pliegos Tarifarios (Quilicura)'!$A:$A,0))</f>
        <v>5972.3997852000002</v>
      </c>
      <c r="Q303" s="19" cm="1">
        <f t="array" ref="Q303">H303*_xlfn.IFS(H303&lt;=350,INDEX('Pliegos Tarifarios (Quilicura)'!$F:$F,MATCH($B303,'Pliegos Tarifarios (Quilicura)'!$A:$A,0)),H303&lt;=500,INDEX('Pliegos Tarifarios (Quilicura)'!$G:$G,MATCH($B303,'Pliegos Tarifarios (Quilicura)'!$A:$A,0)),H303&lt;=1000,INDEX('Pliegos Tarifarios (Quilicura)'!$H:$H,MATCH($B303,'Pliegos Tarifarios (Quilicura)'!$A:$A,0)),H303&lt;=5000,INDEX('Pliegos Tarifarios (Quilicura)'!$I:$I,MATCH($B303,'Pliegos Tarifarios (Quilicura)'!$A:$A,0)),H303&gt;5000,INDEX('Pliegos Tarifarios (Quilicura)'!$J:$J,MATCH($B303,'Pliegos Tarifarios (Quilicura)'!$A:$A,0)))/1.19</f>
        <v>650.44447361344544</v>
      </c>
      <c r="R303" s="19">
        <f>INDEX('Pliegos Tarifarios (Quilicura)'!$K:$K,MATCH($B303,'Pliegos Tarifarios (Quilicura)'!$A:$A,0))</f>
        <v>723.32799999999997</v>
      </c>
      <c r="S303" s="21">
        <f t="shared" si="15"/>
        <v>83664.146335013429</v>
      </c>
      <c r="T303" s="21">
        <f t="shared" si="16"/>
        <v>15896.187803652552</v>
      </c>
      <c r="U303" s="19">
        <v>0</v>
      </c>
      <c r="V303" s="21">
        <f t="shared" si="17"/>
        <v>99560.334138665989</v>
      </c>
    </row>
    <row r="304" spans="1:22" x14ac:dyDescent="0.3">
      <c r="A304" s="3" t="s">
        <v>144</v>
      </c>
      <c r="B304" s="3">
        <v>5</v>
      </c>
      <c r="C304" s="4" t="s">
        <v>186</v>
      </c>
      <c r="D304" s="3" t="s">
        <v>207</v>
      </c>
      <c r="E304" s="3" t="s">
        <v>34</v>
      </c>
      <c r="F304" s="4" t="s">
        <v>64</v>
      </c>
      <c r="G304" s="3" t="s">
        <v>30</v>
      </c>
      <c r="H304" s="5">
        <v>924.21529999999996</v>
      </c>
      <c r="I304" s="5">
        <v>2.5135000000000001</v>
      </c>
      <c r="J304" s="5">
        <v>2.5135000000000001</v>
      </c>
      <c r="K304" s="6">
        <v>1</v>
      </c>
      <c r="L304" s="5">
        <v>30.81</v>
      </c>
      <c r="M304" s="19">
        <f>H304*INDEX('Pliegos Tarifarios (Quilicura)'!$B:$B,MATCH($B304,'Pliegos Tarifarios (Quilicura)'!$A:$A,0))</f>
        <v>109831.89782139999</v>
      </c>
      <c r="N304" s="19">
        <f>I304*INDEX('Pliegos Tarifarios (Quilicura)'!$C:$C,MATCH($B304,'Pliegos Tarifarios (Quilicura)'!$A:$A,0))</f>
        <v>8547.0838585000001</v>
      </c>
      <c r="O304" s="19">
        <f>J304*INDEX('Pliegos Tarifarios (Quilicura)'!$D:$D,MATCH($B304,'Pliegos Tarifarios (Quilicura)'!$A:$A,0))</f>
        <v>35439.631138999997</v>
      </c>
      <c r="P304" s="19">
        <f>H304*INDEX('Pliegos Tarifarios (Quilicura)'!$E:$E,MATCH($B304,'Pliegos Tarifarios (Quilicura)'!$A:$A,0))</f>
        <v>11951.952259600001</v>
      </c>
      <c r="Q304" s="19" cm="1">
        <f t="array" ref="Q304">H304*_xlfn.IFS(H304&lt;=350,INDEX('Pliegos Tarifarios (Quilicura)'!$F:$F,MATCH($B304,'Pliegos Tarifarios (Quilicura)'!$A:$A,0)),H304&lt;=500,INDEX('Pliegos Tarifarios (Quilicura)'!$G:$G,MATCH($B304,'Pliegos Tarifarios (Quilicura)'!$A:$A,0)),H304&lt;=1000,INDEX('Pliegos Tarifarios (Quilicura)'!$H:$H,MATCH($B304,'Pliegos Tarifarios (Quilicura)'!$A:$A,0)),H304&lt;=5000,INDEX('Pliegos Tarifarios (Quilicura)'!$I:$I,MATCH($B304,'Pliegos Tarifarios (Quilicura)'!$A:$A,0)),H304&gt;5000,INDEX('Pliegos Tarifarios (Quilicura)'!$J:$J,MATCH($B304,'Pliegos Tarifarios (Quilicura)'!$A:$A,0)))/1.19</f>
        <v>2167.6343716806723</v>
      </c>
      <c r="R304" s="19">
        <f>INDEX('Pliegos Tarifarios (Quilicura)'!$K:$K,MATCH($B304,'Pliegos Tarifarios (Quilicura)'!$A:$A,0))</f>
        <v>723.32799999999997</v>
      </c>
      <c r="S304" s="21">
        <f t="shared" si="15"/>
        <v>168661.52745018067</v>
      </c>
      <c r="T304" s="21">
        <f t="shared" si="16"/>
        <v>32045.690215534327</v>
      </c>
      <c r="U304" s="19">
        <v>0</v>
      </c>
      <c r="V304" s="21">
        <f t="shared" si="17"/>
        <v>200707.217665715</v>
      </c>
    </row>
    <row r="305" spans="1:22" x14ac:dyDescent="0.3">
      <c r="A305" s="3" t="s">
        <v>144</v>
      </c>
      <c r="B305" s="3">
        <v>5</v>
      </c>
      <c r="C305" s="4" t="s">
        <v>186</v>
      </c>
      <c r="D305" s="3" t="s">
        <v>208</v>
      </c>
      <c r="E305" s="3" t="s">
        <v>34</v>
      </c>
      <c r="F305" s="4" t="s">
        <v>66</v>
      </c>
      <c r="G305" s="3" t="s">
        <v>30</v>
      </c>
      <c r="H305" s="5">
        <v>924.71019999999999</v>
      </c>
      <c r="I305" s="5">
        <v>2.4811000000000001</v>
      </c>
      <c r="J305" s="5">
        <v>2.4228999999999998</v>
      </c>
      <c r="K305" s="6">
        <v>0.97654266252871702</v>
      </c>
      <c r="L305" s="5">
        <v>30.82</v>
      </c>
      <c r="M305" s="19">
        <f>H305*INDEX('Pliegos Tarifarios (Quilicura)'!$B:$B,MATCH($B305,'Pliegos Tarifarios (Quilicura)'!$A:$A,0))</f>
        <v>109890.71074759999</v>
      </c>
      <c r="N305" s="19">
        <f>I305*INDEX('Pliegos Tarifarios (Quilicura)'!$C:$C,MATCH($B305,'Pliegos Tarifarios (Quilicura)'!$A:$A,0))</f>
        <v>8436.9085981000007</v>
      </c>
      <c r="O305" s="19">
        <f>J305*INDEX('Pliegos Tarifarios (Quilicura)'!$D:$D,MATCH($B305,'Pliegos Tarifarios (Quilicura)'!$A:$A,0))</f>
        <v>34162.1970506</v>
      </c>
      <c r="P305" s="19">
        <f>H305*INDEX('Pliegos Tarifarios (Quilicura)'!$E:$E,MATCH($B305,'Pliegos Tarifarios (Quilicura)'!$A:$A,0))</f>
        <v>11958.3523064</v>
      </c>
      <c r="Q305" s="19" cm="1">
        <f t="array" ref="Q305">H305*_xlfn.IFS(H305&lt;=350,INDEX('Pliegos Tarifarios (Quilicura)'!$F:$F,MATCH($B305,'Pliegos Tarifarios (Quilicura)'!$A:$A,0)),H305&lt;=500,INDEX('Pliegos Tarifarios (Quilicura)'!$G:$G,MATCH($B305,'Pliegos Tarifarios (Quilicura)'!$A:$A,0)),H305&lt;=1000,INDEX('Pliegos Tarifarios (Quilicura)'!$H:$H,MATCH($B305,'Pliegos Tarifarios (Quilicura)'!$A:$A,0)),H305&lt;=5000,INDEX('Pliegos Tarifarios (Quilicura)'!$I:$I,MATCH($B305,'Pliegos Tarifarios (Quilicura)'!$A:$A,0)),H305&gt;5000,INDEX('Pliegos Tarifarios (Quilicura)'!$J:$J,MATCH($B305,'Pliegos Tarifarios (Quilicura)'!$A:$A,0)))/1.19</f>
        <v>2168.7950993277314</v>
      </c>
      <c r="R305" s="19">
        <f>INDEX('Pliegos Tarifarios (Quilicura)'!$K:$K,MATCH($B305,'Pliegos Tarifarios (Quilicura)'!$A:$A,0))</f>
        <v>723.32799999999997</v>
      </c>
      <c r="S305" s="21">
        <f t="shared" si="15"/>
        <v>167340.2918020277</v>
      </c>
      <c r="T305" s="21">
        <f t="shared" si="16"/>
        <v>31794.655442385265</v>
      </c>
      <c r="U305" s="19">
        <v>0</v>
      </c>
      <c r="V305" s="21">
        <f t="shared" si="17"/>
        <v>199134.94724441296</v>
      </c>
    </row>
    <row r="306" spans="1:22" x14ac:dyDescent="0.3">
      <c r="A306" s="3" t="s">
        <v>144</v>
      </c>
      <c r="B306" s="3">
        <v>5</v>
      </c>
      <c r="C306" s="4" t="s">
        <v>186</v>
      </c>
      <c r="D306" s="3" t="s">
        <v>209</v>
      </c>
      <c r="E306" s="3" t="s">
        <v>34</v>
      </c>
      <c r="F306" s="4" t="s">
        <v>68</v>
      </c>
      <c r="G306" s="3" t="s">
        <v>30</v>
      </c>
      <c r="H306" s="5">
        <v>922.15</v>
      </c>
      <c r="I306" s="5">
        <v>2.4581</v>
      </c>
      <c r="J306" s="5">
        <v>2.4508999999999999</v>
      </c>
      <c r="K306" s="6">
        <v>0.9970709084252064</v>
      </c>
      <c r="L306" s="5">
        <v>30.74</v>
      </c>
      <c r="M306" s="19">
        <f>H306*INDEX('Pliegos Tarifarios (Quilicura)'!$B:$B,MATCH($B306,'Pliegos Tarifarios (Quilicura)'!$A:$A,0))</f>
        <v>109586.46169999999</v>
      </c>
      <c r="N306" s="19">
        <f>I306*INDEX('Pliegos Tarifarios (Quilicura)'!$C:$C,MATCH($B306,'Pliegos Tarifarios (Quilicura)'!$A:$A,0))</f>
        <v>8358.6977650999997</v>
      </c>
      <c r="O306" s="19">
        <f>J306*INDEX('Pliegos Tarifarios (Quilicura)'!$D:$D,MATCH($B306,'Pliegos Tarifarios (Quilicura)'!$A:$A,0))</f>
        <v>34556.989042599998</v>
      </c>
      <c r="P306" s="19">
        <f>H306*INDEX('Pliegos Tarifarios (Quilicura)'!$E:$E,MATCH($B306,'Pliegos Tarifarios (Quilicura)'!$A:$A,0))</f>
        <v>11925.2438</v>
      </c>
      <c r="Q306" s="19" cm="1">
        <f t="array" ref="Q306">H306*_xlfn.IFS(H306&lt;=350,INDEX('Pliegos Tarifarios (Quilicura)'!$F:$F,MATCH($B306,'Pliegos Tarifarios (Quilicura)'!$A:$A,0)),H306&lt;=500,INDEX('Pliegos Tarifarios (Quilicura)'!$G:$G,MATCH($B306,'Pliegos Tarifarios (Quilicura)'!$A:$A,0)),H306&lt;=1000,INDEX('Pliegos Tarifarios (Quilicura)'!$H:$H,MATCH($B306,'Pliegos Tarifarios (Quilicura)'!$A:$A,0)),H306&lt;=5000,INDEX('Pliegos Tarifarios (Quilicura)'!$I:$I,MATCH($B306,'Pliegos Tarifarios (Quilicura)'!$A:$A,0)),H306&gt;5000,INDEX('Pliegos Tarifarios (Quilicura)'!$J:$J,MATCH($B306,'Pliegos Tarifarios (Quilicura)'!$A:$A,0)))/1.19</f>
        <v>2162.7904621848743</v>
      </c>
      <c r="R306" s="19">
        <f>INDEX('Pliegos Tarifarios (Quilicura)'!$K:$K,MATCH($B306,'Pliegos Tarifarios (Quilicura)'!$A:$A,0))</f>
        <v>723.32799999999997</v>
      </c>
      <c r="S306" s="21">
        <f t="shared" si="15"/>
        <v>167313.51076988486</v>
      </c>
      <c r="T306" s="21">
        <f t="shared" si="16"/>
        <v>31789.567046278124</v>
      </c>
      <c r="U306" s="19">
        <v>0</v>
      </c>
      <c r="V306" s="21">
        <f t="shared" si="17"/>
        <v>199103.07781616299</v>
      </c>
    </row>
    <row r="307" spans="1:22" x14ac:dyDescent="0.3">
      <c r="A307" s="3" t="s">
        <v>144</v>
      </c>
      <c r="B307" s="3">
        <v>5</v>
      </c>
      <c r="C307" s="4" t="s">
        <v>186</v>
      </c>
      <c r="D307" s="3" t="s">
        <v>210</v>
      </c>
      <c r="E307" s="3" t="s">
        <v>70</v>
      </c>
      <c r="F307" s="4" t="s">
        <v>71</v>
      </c>
      <c r="G307" s="3" t="s">
        <v>30</v>
      </c>
      <c r="H307" s="5">
        <v>1155.1120000000001</v>
      </c>
      <c r="I307" s="5">
        <v>3.1223999999999998</v>
      </c>
      <c r="J307" s="5">
        <v>3.1223999999999998</v>
      </c>
      <c r="K307" s="6">
        <v>1</v>
      </c>
      <c r="L307" s="5">
        <v>38.5</v>
      </c>
      <c r="M307" s="19">
        <f>H307*INDEX('Pliegos Tarifarios (Quilicura)'!$B:$B,MATCH($B307,'Pliegos Tarifarios (Quilicura)'!$A:$A,0))</f>
        <v>137271.19985599999</v>
      </c>
      <c r="N307" s="19">
        <f>I307*INDEX('Pliegos Tarifarios (Quilicura)'!$C:$C,MATCH($B307,'Pliegos Tarifarios (Quilicura)'!$A:$A,0))</f>
        <v>10617.6306504</v>
      </c>
      <c r="O307" s="19">
        <f>J307*INDEX('Pliegos Tarifarios (Quilicura)'!$D:$D,MATCH($B307,'Pliegos Tarifarios (Quilicura)'!$A:$A,0))</f>
        <v>44024.946993599995</v>
      </c>
      <c r="P307" s="19">
        <f>H307*INDEX('Pliegos Tarifarios (Quilicura)'!$E:$E,MATCH($B307,'Pliegos Tarifarios (Quilicura)'!$A:$A,0))</f>
        <v>14937.908384000002</v>
      </c>
      <c r="Q307" s="19" cm="1">
        <f t="array" ref="Q307">H307*_xlfn.IFS(H307&lt;=350,INDEX('Pliegos Tarifarios (Quilicura)'!$F:$F,MATCH($B307,'Pliegos Tarifarios (Quilicura)'!$A:$A,0)),H307&lt;=500,INDEX('Pliegos Tarifarios (Quilicura)'!$G:$G,MATCH($B307,'Pliegos Tarifarios (Quilicura)'!$A:$A,0)),H307&lt;=1000,INDEX('Pliegos Tarifarios (Quilicura)'!$H:$H,MATCH($B307,'Pliegos Tarifarios (Quilicura)'!$A:$A,0)),H307&lt;=5000,INDEX('Pliegos Tarifarios (Quilicura)'!$I:$I,MATCH($B307,'Pliegos Tarifarios (Quilicura)'!$A:$A,0)),H307&gt;5000,INDEX('Pliegos Tarifarios (Quilicura)'!$J:$J,MATCH($B307,'Pliegos Tarifarios (Quilicura)'!$A:$A,0)))/1.19</f>
        <v>3466.3066823529412</v>
      </c>
      <c r="R307" s="19">
        <f>INDEX('Pliegos Tarifarios (Quilicura)'!$K:$K,MATCH($B307,'Pliegos Tarifarios (Quilicura)'!$A:$A,0))</f>
        <v>723.32799999999997</v>
      </c>
      <c r="S307" s="21">
        <f t="shared" si="15"/>
        <v>211041.32056635295</v>
      </c>
      <c r="T307" s="21">
        <f t="shared" si="16"/>
        <v>40097.850907607062</v>
      </c>
      <c r="U307" s="19">
        <v>0</v>
      </c>
      <c r="V307" s="21">
        <f t="shared" si="17"/>
        <v>251139.17147396001</v>
      </c>
    </row>
    <row r="308" spans="1:22" x14ac:dyDescent="0.3">
      <c r="A308" s="3" t="s">
        <v>144</v>
      </c>
      <c r="B308" s="3">
        <v>5</v>
      </c>
      <c r="C308" s="4" t="s">
        <v>186</v>
      </c>
      <c r="D308" s="3" t="s">
        <v>211</v>
      </c>
      <c r="E308" s="3" t="s">
        <v>73</v>
      </c>
      <c r="F308" s="4" t="s">
        <v>74</v>
      </c>
      <c r="G308" s="3" t="s">
        <v>16</v>
      </c>
      <c r="H308" s="5">
        <v>1850.1291000000001</v>
      </c>
      <c r="I308" s="5">
        <v>5.0670000000000002</v>
      </c>
      <c r="J308" s="5">
        <v>4.8177000000000003</v>
      </c>
      <c r="K308" s="6">
        <v>0.95079928952042636</v>
      </c>
      <c r="L308" s="5">
        <v>61.67</v>
      </c>
      <c r="M308" s="19">
        <f>H308*INDEX('Pliegos Tarifarios (Quilicura)'!$B:$B,MATCH($B308,'Pliegos Tarifarios (Quilicura)'!$A:$A,0))</f>
        <v>219865.6419858</v>
      </c>
      <c r="N308" s="19">
        <f>I308*INDEX('Pliegos Tarifarios (Quilicura)'!$C:$C,MATCH($B308,'Pliegos Tarifarios (Quilicura)'!$A:$A,0))</f>
        <v>17230.186557000001</v>
      </c>
      <c r="O308" s="19">
        <f>J308*INDEX('Pliegos Tarifarios (Quilicura)'!$D:$D,MATCH($B308,'Pliegos Tarifarios (Quilicura)'!$A:$A,0))</f>
        <v>67928.192137799997</v>
      </c>
      <c r="P308" s="19">
        <f>H308*INDEX('Pliegos Tarifarios (Quilicura)'!$E:$E,MATCH($B308,'Pliegos Tarifarios (Quilicura)'!$A:$A,0))</f>
        <v>23925.869521200002</v>
      </c>
      <c r="Q308" s="19" cm="1">
        <f t="array" ref="Q308">H308*_xlfn.IFS(H308&lt;=350,INDEX('Pliegos Tarifarios (Quilicura)'!$F:$F,MATCH($B308,'Pliegos Tarifarios (Quilicura)'!$A:$A,0)),H308&lt;=500,INDEX('Pliegos Tarifarios (Quilicura)'!$G:$G,MATCH($B308,'Pliegos Tarifarios (Quilicura)'!$A:$A,0)),H308&lt;=1000,INDEX('Pliegos Tarifarios (Quilicura)'!$H:$H,MATCH($B308,'Pliegos Tarifarios (Quilicura)'!$A:$A,0)),H308&lt;=5000,INDEX('Pliegos Tarifarios (Quilicura)'!$I:$I,MATCH($B308,'Pliegos Tarifarios (Quilicura)'!$A:$A,0)),H308&gt;5000,INDEX('Pliegos Tarifarios (Quilicura)'!$J:$J,MATCH($B308,'Pliegos Tarifarios (Quilicura)'!$A:$A,0)))/1.19</f>
        <v>5551.9420303361339</v>
      </c>
      <c r="R308" s="19">
        <f>INDEX('Pliegos Tarifarios (Quilicura)'!$K:$K,MATCH($B308,'Pliegos Tarifarios (Quilicura)'!$A:$A,0))</f>
        <v>723.32799999999997</v>
      </c>
      <c r="S308" s="21">
        <f t="shared" si="15"/>
        <v>335225.16023213614</v>
      </c>
      <c r="T308" s="21">
        <f t="shared" si="16"/>
        <v>63692.780444105869</v>
      </c>
      <c r="U308" s="19">
        <v>0</v>
      </c>
      <c r="V308" s="21">
        <f t="shared" si="17"/>
        <v>398917.940676242</v>
      </c>
    </row>
    <row r="309" spans="1:22" x14ac:dyDescent="0.3">
      <c r="A309" s="3" t="s">
        <v>144</v>
      </c>
      <c r="B309" s="3">
        <v>5</v>
      </c>
      <c r="C309" s="4" t="s">
        <v>186</v>
      </c>
      <c r="D309" s="3" t="s">
        <v>212</v>
      </c>
      <c r="E309" s="3" t="s">
        <v>73</v>
      </c>
      <c r="F309" s="4" t="s">
        <v>76</v>
      </c>
      <c r="G309" s="3" t="s">
        <v>16</v>
      </c>
      <c r="H309" s="5">
        <v>1387.7038</v>
      </c>
      <c r="I309" s="5">
        <v>3.7968000000000002</v>
      </c>
      <c r="J309" s="5">
        <v>3.6391</v>
      </c>
      <c r="K309" s="6">
        <v>0.95846502317741256</v>
      </c>
      <c r="L309" s="5">
        <v>46.26</v>
      </c>
      <c r="M309" s="19">
        <f>H309*INDEX('Pliegos Tarifarios (Quilicura)'!$B:$B,MATCH($B309,'Pliegos Tarifarios (Quilicura)'!$A:$A,0))</f>
        <v>164911.9441844</v>
      </c>
      <c r="N309" s="19">
        <f>I309*INDEX('Pliegos Tarifarios (Quilicura)'!$C:$C,MATCH($B309,'Pliegos Tarifarios (Quilicura)'!$A:$A,0))</f>
        <v>12910.908292800001</v>
      </c>
      <c r="O309" s="19">
        <f>J309*INDEX('Pliegos Tarifarios (Quilicura)'!$D:$D,MATCH($B309,'Pliegos Tarifarios (Quilicura)'!$A:$A,0))</f>
        <v>51310.269217399997</v>
      </c>
      <c r="P309" s="19">
        <f>H309*INDEX('Pliegos Tarifarios (Quilicura)'!$E:$E,MATCH($B309,'Pliegos Tarifarios (Quilicura)'!$A:$A,0))</f>
        <v>17945.785541600002</v>
      </c>
      <c r="Q309" s="19" cm="1">
        <f t="array" ref="Q309">H309*_xlfn.IFS(H309&lt;=350,INDEX('Pliegos Tarifarios (Quilicura)'!$F:$F,MATCH($B309,'Pliegos Tarifarios (Quilicura)'!$A:$A,0)),H309&lt;=500,INDEX('Pliegos Tarifarios (Quilicura)'!$G:$G,MATCH($B309,'Pliegos Tarifarios (Quilicura)'!$A:$A,0)),H309&lt;=1000,INDEX('Pliegos Tarifarios (Quilicura)'!$H:$H,MATCH($B309,'Pliegos Tarifarios (Quilicura)'!$A:$A,0)),H309&lt;=5000,INDEX('Pliegos Tarifarios (Quilicura)'!$I:$I,MATCH($B309,'Pliegos Tarifarios (Quilicura)'!$A:$A,0)),H309&gt;5000,INDEX('Pliegos Tarifarios (Quilicura)'!$J:$J,MATCH($B309,'Pliegos Tarifarios (Quilicura)'!$A:$A,0)))/1.19</f>
        <v>4164.277537647059</v>
      </c>
      <c r="R309" s="19">
        <f>INDEX('Pliegos Tarifarios (Quilicura)'!$K:$K,MATCH($B309,'Pliegos Tarifarios (Quilicura)'!$A:$A,0))</f>
        <v>723.32799999999997</v>
      </c>
      <c r="S309" s="21">
        <f t="shared" si="15"/>
        <v>251966.51277384706</v>
      </c>
      <c r="T309" s="21">
        <f t="shared" si="16"/>
        <v>47873.637427030939</v>
      </c>
      <c r="U309" s="19">
        <v>0</v>
      </c>
      <c r="V309" s="21">
        <f t="shared" si="17"/>
        <v>299840.15020087798</v>
      </c>
    </row>
    <row r="310" spans="1:22" x14ac:dyDescent="0.3">
      <c r="A310" s="3" t="s">
        <v>144</v>
      </c>
      <c r="B310" s="3">
        <v>5</v>
      </c>
      <c r="C310" s="4" t="s">
        <v>186</v>
      </c>
      <c r="D310" s="3" t="s">
        <v>213</v>
      </c>
      <c r="E310" s="3" t="s">
        <v>78</v>
      </c>
      <c r="F310" s="4" t="s">
        <v>79</v>
      </c>
      <c r="G310" s="3" t="s">
        <v>16</v>
      </c>
      <c r="H310" s="5">
        <v>1153.2650000000001</v>
      </c>
      <c r="I310" s="5">
        <v>3.0522999999999998</v>
      </c>
      <c r="J310" s="5">
        <v>3.0366</v>
      </c>
      <c r="K310" s="6">
        <v>0.9948563378435934</v>
      </c>
      <c r="L310" s="5">
        <v>38.44</v>
      </c>
      <c r="M310" s="19">
        <f>H310*INDEX('Pliegos Tarifarios (Quilicura)'!$B:$B,MATCH($B310,'Pliegos Tarifarios (Quilicura)'!$A:$A,0))</f>
        <v>137051.70607000001</v>
      </c>
      <c r="N310" s="19">
        <f>I310*INDEX('Pliegos Tarifarios (Quilicura)'!$C:$C,MATCH($B310,'Pliegos Tarifarios (Quilicura)'!$A:$A,0))</f>
        <v>10379.2576333</v>
      </c>
      <c r="O310" s="19">
        <f>J310*INDEX('Pliegos Tarifarios (Quilicura)'!$D:$D,MATCH($B310,'Pliegos Tarifarios (Quilicura)'!$A:$A,0))</f>
        <v>42815.1915324</v>
      </c>
      <c r="P310" s="19">
        <f>H310*INDEX('Pliegos Tarifarios (Quilicura)'!$E:$E,MATCH($B310,'Pliegos Tarifarios (Quilicura)'!$A:$A,0))</f>
        <v>14914.022980000002</v>
      </c>
      <c r="Q310" s="19" cm="1">
        <f t="array" ref="Q310">H310*_xlfn.IFS(H310&lt;=350,INDEX('Pliegos Tarifarios (Quilicura)'!$F:$F,MATCH($B310,'Pliegos Tarifarios (Quilicura)'!$A:$A,0)),H310&lt;=500,INDEX('Pliegos Tarifarios (Quilicura)'!$G:$G,MATCH($B310,'Pliegos Tarifarios (Quilicura)'!$A:$A,0)),H310&lt;=1000,INDEX('Pliegos Tarifarios (Quilicura)'!$H:$H,MATCH($B310,'Pliegos Tarifarios (Quilicura)'!$A:$A,0)),H310&lt;=5000,INDEX('Pliegos Tarifarios (Quilicura)'!$I:$I,MATCH($B310,'Pliegos Tarifarios (Quilicura)'!$A:$A,0)),H310&gt;5000,INDEX('Pliegos Tarifarios (Quilicura)'!$J:$J,MATCH($B310,'Pliegos Tarifarios (Quilicura)'!$A:$A,0)))/1.19</f>
        <v>3460.7641302521015</v>
      </c>
      <c r="R310" s="19">
        <f>INDEX('Pliegos Tarifarios (Quilicura)'!$K:$K,MATCH($B310,'Pliegos Tarifarios (Quilicura)'!$A:$A,0))</f>
        <v>723.32799999999997</v>
      </c>
      <c r="S310" s="21">
        <f t="shared" si="15"/>
        <v>209344.27034595213</v>
      </c>
      <c r="T310" s="21">
        <f t="shared" si="16"/>
        <v>39775.411365730906</v>
      </c>
      <c r="U310" s="19">
        <v>0</v>
      </c>
      <c r="V310" s="21">
        <f t="shared" si="17"/>
        <v>249119.68171168305</v>
      </c>
    </row>
    <row r="311" spans="1:22" x14ac:dyDescent="0.3">
      <c r="A311" s="3" t="s">
        <v>144</v>
      </c>
      <c r="B311" s="3">
        <v>5</v>
      </c>
      <c r="C311" s="4" t="s">
        <v>186</v>
      </c>
      <c r="D311" s="3" t="s">
        <v>214</v>
      </c>
      <c r="E311" s="3" t="s">
        <v>78</v>
      </c>
      <c r="F311" s="4" t="s">
        <v>81</v>
      </c>
      <c r="G311" s="3" t="s">
        <v>16</v>
      </c>
      <c r="H311" s="5">
        <v>771.0145</v>
      </c>
      <c r="I311" s="5">
        <v>2.0992999999999999</v>
      </c>
      <c r="J311" s="5">
        <v>2.0188999999999999</v>
      </c>
      <c r="K311" s="6">
        <v>0.96170151955413707</v>
      </c>
      <c r="L311" s="5">
        <v>25.7</v>
      </c>
      <c r="M311" s="19">
        <f>H311*INDEX('Pliegos Tarifarios (Quilicura)'!$B:$B,MATCH($B311,'Pliegos Tarifarios (Quilicura)'!$A:$A,0))</f>
        <v>91625.821150999996</v>
      </c>
      <c r="N311" s="19">
        <f>I311*INDEX('Pliegos Tarifarios (Quilicura)'!$C:$C,MATCH($B311,'Pliegos Tarifarios (Quilicura)'!$A:$A,0))</f>
        <v>7138.6087702999994</v>
      </c>
      <c r="O311" s="19">
        <f>J311*INDEX('Pliegos Tarifarios (Quilicura)'!$D:$D,MATCH($B311,'Pliegos Tarifarios (Quilicura)'!$A:$A,0))</f>
        <v>28465.912594599999</v>
      </c>
      <c r="P311" s="19">
        <f>H311*INDEX('Pliegos Tarifarios (Quilicura)'!$E:$E,MATCH($B311,'Pliegos Tarifarios (Quilicura)'!$A:$A,0))</f>
        <v>9970.7595139999994</v>
      </c>
      <c r="Q311" s="19" cm="1">
        <f t="array" ref="Q311">H311*_xlfn.IFS(H311&lt;=350,INDEX('Pliegos Tarifarios (Quilicura)'!$F:$F,MATCH($B311,'Pliegos Tarifarios (Quilicura)'!$A:$A,0)),H311&lt;=500,INDEX('Pliegos Tarifarios (Quilicura)'!$G:$G,MATCH($B311,'Pliegos Tarifarios (Quilicura)'!$A:$A,0)),H311&lt;=1000,INDEX('Pliegos Tarifarios (Quilicura)'!$H:$H,MATCH($B311,'Pliegos Tarifarios (Quilicura)'!$A:$A,0)),H311&lt;=5000,INDEX('Pliegos Tarifarios (Quilicura)'!$I:$I,MATCH($B311,'Pliegos Tarifarios (Quilicura)'!$A:$A,0)),H311&gt;5000,INDEX('Pliegos Tarifarios (Quilicura)'!$J:$J,MATCH($B311,'Pliegos Tarifarios (Quilicura)'!$A:$A,0)))/1.19</f>
        <v>1808.3205626050421</v>
      </c>
      <c r="R311" s="19">
        <f>INDEX('Pliegos Tarifarios (Quilicura)'!$K:$K,MATCH($B311,'Pliegos Tarifarios (Quilicura)'!$A:$A,0))</f>
        <v>723.32799999999997</v>
      </c>
      <c r="S311" s="21">
        <f t="shared" si="15"/>
        <v>139732.75059250504</v>
      </c>
      <c r="T311" s="21">
        <f t="shared" si="16"/>
        <v>26549.222612575955</v>
      </c>
      <c r="U311" s="19">
        <v>0</v>
      </c>
      <c r="V311" s="21">
        <f t="shared" si="17"/>
        <v>166281.97320508098</v>
      </c>
    </row>
    <row r="312" spans="1:22" x14ac:dyDescent="0.3">
      <c r="A312" s="3" t="s">
        <v>144</v>
      </c>
      <c r="B312" s="3">
        <v>5</v>
      </c>
      <c r="C312" s="4" t="s">
        <v>186</v>
      </c>
      <c r="D312" s="3" t="s">
        <v>215</v>
      </c>
      <c r="E312" s="3" t="s">
        <v>78</v>
      </c>
      <c r="F312" s="4" t="s">
        <v>83</v>
      </c>
      <c r="G312" s="3" t="s">
        <v>16</v>
      </c>
      <c r="H312" s="5">
        <v>768.9067</v>
      </c>
      <c r="I312" s="5">
        <v>2.1076000000000001</v>
      </c>
      <c r="J312" s="5">
        <v>2.1076000000000001</v>
      </c>
      <c r="K312" s="6">
        <v>1</v>
      </c>
      <c r="L312" s="5">
        <v>25.63</v>
      </c>
      <c r="M312" s="19">
        <f>H312*INDEX('Pliegos Tarifarios (Quilicura)'!$B:$B,MATCH($B312,'Pliegos Tarifarios (Quilicura)'!$A:$A,0))</f>
        <v>91375.334414600002</v>
      </c>
      <c r="N312" s="19">
        <f>I312*INDEX('Pliegos Tarifarios (Quilicura)'!$C:$C,MATCH($B312,'Pliegos Tarifarios (Quilicura)'!$A:$A,0))</f>
        <v>7166.8326796000001</v>
      </c>
      <c r="O312" s="19">
        <f>J312*INDEX('Pliegos Tarifarios (Quilicura)'!$D:$D,MATCH($B312,'Pliegos Tarifarios (Quilicura)'!$A:$A,0))</f>
        <v>29716.5572264</v>
      </c>
      <c r="P312" s="19">
        <f>H312*INDEX('Pliegos Tarifarios (Quilicura)'!$E:$E,MATCH($B312,'Pliegos Tarifarios (Quilicura)'!$A:$A,0))</f>
        <v>9943.5014444000008</v>
      </c>
      <c r="Q312" s="19" cm="1">
        <f t="array" ref="Q312">H312*_xlfn.IFS(H312&lt;=350,INDEX('Pliegos Tarifarios (Quilicura)'!$F:$F,MATCH($B312,'Pliegos Tarifarios (Quilicura)'!$A:$A,0)),H312&lt;=500,INDEX('Pliegos Tarifarios (Quilicura)'!$G:$G,MATCH($B312,'Pliegos Tarifarios (Quilicura)'!$A:$A,0)),H312&lt;=1000,INDEX('Pliegos Tarifarios (Quilicura)'!$H:$H,MATCH($B312,'Pliegos Tarifarios (Quilicura)'!$A:$A,0)),H312&lt;=5000,INDEX('Pliegos Tarifarios (Quilicura)'!$I:$I,MATCH($B312,'Pliegos Tarifarios (Quilicura)'!$A:$A,0)),H312&gt;5000,INDEX('Pliegos Tarifarios (Quilicura)'!$J:$J,MATCH($B312,'Pliegos Tarifarios (Quilicura)'!$A:$A,0)))/1.19</f>
        <v>1803.3769745378154</v>
      </c>
      <c r="R312" s="19">
        <f>INDEX('Pliegos Tarifarios (Quilicura)'!$K:$K,MATCH($B312,'Pliegos Tarifarios (Quilicura)'!$A:$A,0))</f>
        <v>723.32799999999997</v>
      </c>
      <c r="S312" s="21">
        <f t="shared" si="15"/>
        <v>140728.93073953784</v>
      </c>
      <c r="T312" s="21">
        <f t="shared" si="16"/>
        <v>26738.496840512191</v>
      </c>
      <c r="U312" s="19">
        <v>0</v>
      </c>
      <c r="V312" s="21">
        <f t="shared" si="17"/>
        <v>167467.42758005002</v>
      </c>
    </row>
    <row r="313" spans="1:22" x14ac:dyDescent="0.3">
      <c r="A313" s="3" t="s">
        <v>144</v>
      </c>
      <c r="B313" s="3">
        <v>5</v>
      </c>
      <c r="C313" s="4" t="s">
        <v>186</v>
      </c>
      <c r="D313" s="3" t="s">
        <v>216</v>
      </c>
      <c r="E313" s="3" t="s">
        <v>78</v>
      </c>
      <c r="F313" s="4" t="s">
        <v>85</v>
      </c>
      <c r="G313" s="3" t="s">
        <v>16</v>
      </c>
      <c r="H313" s="5">
        <v>923.21709999999996</v>
      </c>
      <c r="I313" s="5">
        <v>2.4504000000000001</v>
      </c>
      <c r="J313" s="5">
        <v>2.4504000000000001</v>
      </c>
      <c r="K313" s="6">
        <v>1</v>
      </c>
      <c r="L313" s="5">
        <v>30.77</v>
      </c>
      <c r="M313" s="19">
        <f>H313*INDEX('Pliegos Tarifarios (Quilicura)'!$B:$B,MATCH($B313,'Pliegos Tarifarios (Quilicura)'!$A:$A,0))</f>
        <v>109713.27372979998</v>
      </c>
      <c r="N313" s="19">
        <f>I313*INDEX('Pliegos Tarifarios (Quilicura)'!$C:$C,MATCH($B313,'Pliegos Tarifarios (Quilicura)'!$A:$A,0))</f>
        <v>8332.5141383999999</v>
      </c>
      <c r="O313" s="19">
        <f>J313*INDEX('Pliegos Tarifarios (Quilicura)'!$D:$D,MATCH($B313,'Pliegos Tarifarios (Quilicura)'!$A:$A,0))</f>
        <v>34549.9391856</v>
      </c>
      <c r="P313" s="19">
        <f>H313*INDEX('Pliegos Tarifarios (Quilicura)'!$E:$E,MATCH($B313,'Pliegos Tarifarios (Quilicura)'!$A:$A,0))</f>
        <v>11939.043537199999</v>
      </c>
      <c r="Q313" s="19" cm="1">
        <f t="array" ref="Q313">H313*_xlfn.IFS(H313&lt;=350,INDEX('Pliegos Tarifarios (Quilicura)'!$F:$F,MATCH($B313,'Pliegos Tarifarios (Quilicura)'!$A:$A,0)),H313&lt;=500,INDEX('Pliegos Tarifarios (Quilicura)'!$G:$G,MATCH($B313,'Pliegos Tarifarios (Quilicura)'!$A:$A,0)),H313&lt;=1000,INDEX('Pliegos Tarifarios (Quilicura)'!$H:$H,MATCH($B313,'Pliegos Tarifarios (Quilicura)'!$A:$A,0)),H313&lt;=5000,INDEX('Pliegos Tarifarios (Quilicura)'!$I:$I,MATCH($B313,'Pliegos Tarifarios (Quilicura)'!$A:$A,0)),H313&gt;5000,INDEX('Pliegos Tarifarios (Quilicura)'!$J:$J,MATCH($B313,'Pliegos Tarifarios (Quilicura)'!$A:$A,0)))/1.19</f>
        <v>2165.2932152100843</v>
      </c>
      <c r="R313" s="19">
        <f>INDEX('Pliegos Tarifarios (Quilicura)'!$K:$K,MATCH($B313,'Pliegos Tarifarios (Quilicura)'!$A:$A,0))</f>
        <v>723.32799999999997</v>
      </c>
      <c r="S313" s="21">
        <f t="shared" si="15"/>
        <v>167423.39180621007</v>
      </c>
      <c r="T313" s="21">
        <f t="shared" si="16"/>
        <v>31810.444443179913</v>
      </c>
      <c r="U313" s="19">
        <v>0</v>
      </c>
      <c r="V313" s="21">
        <f t="shared" si="17"/>
        <v>199233.83624938998</v>
      </c>
    </row>
    <row r="314" spans="1:22" x14ac:dyDescent="0.3">
      <c r="A314" s="3" t="s">
        <v>144</v>
      </c>
      <c r="B314" s="3">
        <v>5</v>
      </c>
      <c r="C314" s="4" t="s">
        <v>186</v>
      </c>
      <c r="D314" s="3" t="s">
        <v>217</v>
      </c>
      <c r="E314" s="3" t="s">
        <v>78</v>
      </c>
      <c r="F314" s="4" t="s">
        <v>87</v>
      </c>
      <c r="G314" s="3" t="s">
        <v>16</v>
      </c>
      <c r="H314" s="5">
        <v>925.45450000000005</v>
      </c>
      <c r="I314" s="5">
        <v>2.5001000000000002</v>
      </c>
      <c r="J314" s="5">
        <v>2.4649000000000001</v>
      </c>
      <c r="K314" s="6">
        <v>0.9859205631774729</v>
      </c>
      <c r="L314" s="5">
        <v>30.85</v>
      </c>
      <c r="M314" s="19">
        <f>H314*INDEX('Pliegos Tarifarios (Quilicura)'!$B:$B,MATCH($B314,'Pliegos Tarifarios (Quilicura)'!$A:$A,0))</f>
        <v>109979.161871</v>
      </c>
      <c r="N314" s="19">
        <f>I314*INDEX('Pliegos Tarifarios (Quilicura)'!$C:$C,MATCH($B314,'Pliegos Tarifarios (Quilicura)'!$A:$A,0))</f>
        <v>8501.5175471000002</v>
      </c>
      <c r="O314" s="19">
        <f>J314*INDEX('Pliegos Tarifarios (Quilicura)'!$D:$D,MATCH($B314,'Pliegos Tarifarios (Quilicura)'!$A:$A,0))</f>
        <v>34754.385038599998</v>
      </c>
      <c r="P314" s="19">
        <f>H314*INDEX('Pliegos Tarifarios (Quilicura)'!$E:$E,MATCH($B314,'Pliegos Tarifarios (Quilicura)'!$A:$A,0))</f>
        <v>11967.977594000002</v>
      </c>
      <c r="Q314" s="19" cm="1">
        <f t="array" ref="Q314">H314*_xlfn.IFS(H314&lt;=350,INDEX('Pliegos Tarifarios (Quilicura)'!$F:$F,MATCH($B314,'Pliegos Tarifarios (Quilicura)'!$A:$A,0)),H314&lt;=500,INDEX('Pliegos Tarifarios (Quilicura)'!$G:$G,MATCH($B314,'Pliegos Tarifarios (Quilicura)'!$A:$A,0)),H314&lt;=1000,INDEX('Pliegos Tarifarios (Quilicura)'!$H:$H,MATCH($B314,'Pliegos Tarifarios (Quilicura)'!$A:$A,0)),H314&lt;=5000,INDEX('Pliegos Tarifarios (Quilicura)'!$I:$I,MATCH($B314,'Pliegos Tarifarios (Quilicura)'!$A:$A,0)),H314&gt;5000,INDEX('Pliegos Tarifarios (Quilicura)'!$J:$J,MATCH($B314,'Pliegos Tarifarios (Quilicura)'!$A:$A,0)))/1.19</f>
        <v>2170.5407642857149</v>
      </c>
      <c r="R314" s="19">
        <f>INDEX('Pliegos Tarifarios (Quilicura)'!$K:$K,MATCH($B314,'Pliegos Tarifarios (Quilicura)'!$A:$A,0))</f>
        <v>723.32799999999997</v>
      </c>
      <c r="S314" s="21">
        <f t="shared" si="15"/>
        <v>168096.91081498572</v>
      </c>
      <c r="T314" s="21">
        <f t="shared" si="16"/>
        <v>31938.413054847286</v>
      </c>
      <c r="U314" s="19">
        <v>0</v>
      </c>
      <c r="V314" s="21">
        <f t="shared" si="17"/>
        <v>200035.323869833</v>
      </c>
    </row>
    <row r="315" spans="1:22" x14ac:dyDescent="0.3">
      <c r="A315" s="3" t="s">
        <v>144</v>
      </c>
      <c r="B315" s="3">
        <v>5</v>
      </c>
      <c r="C315" s="4" t="s">
        <v>186</v>
      </c>
      <c r="D315" s="3" t="s">
        <v>218</v>
      </c>
      <c r="E315" s="3" t="s">
        <v>78</v>
      </c>
      <c r="F315" s="4" t="s">
        <v>89</v>
      </c>
      <c r="G315" s="3" t="s">
        <v>16</v>
      </c>
      <c r="H315" s="5">
        <v>1154.9255000000001</v>
      </c>
      <c r="I315" s="5">
        <v>3.1796000000000002</v>
      </c>
      <c r="J315" s="5">
        <v>3.1046</v>
      </c>
      <c r="K315" s="6">
        <v>0.97641212731161142</v>
      </c>
      <c r="L315" s="5">
        <v>38.5</v>
      </c>
      <c r="M315" s="19">
        <f>H315*INDEX('Pliegos Tarifarios (Quilicura)'!$B:$B,MATCH($B315,'Pliegos Tarifarios (Quilicura)'!$A:$A,0))</f>
        <v>137249.03656899999</v>
      </c>
      <c r="N315" s="19">
        <f>I315*INDEX('Pliegos Tarifarios (Quilicura)'!$C:$C,MATCH($B315,'Pliegos Tarifarios (Quilicura)'!$A:$A,0))</f>
        <v>10812.137591600002</v>
      </c>
      <c r="O315" s="19">
        <f>J315*INDEX('Pliegos Tarifarios (Quilicura)'!$D:$D,MATCH($B315,'Pliegos Tarifarios (Quilicura)'!$A:$A,0))</f>
        <v>43773.972084399997</v>
      </c>
      <c r="P315" s="19">
        <f>H315*INDEX('Pliegos Tarifarios (Quilicura)'!$E:$E,MATCH($B315,'Pliegos Tarifarios (Quilicura)'!$A:$A,0))</f>
        <v>14935.496566000002</v>
      </c>
      <c r="Q315" s="19" cm="1">
        <f t="array" ref="Q315">H315*_xlfn.IFS(H315&lt;=350,INDEX('Pliegos Tarifarios (Quilicura)'!$F:$F,MATCH($B315,'Pliegos Tarifarios (Quilicura)'!$A:$A,0)),H315&lt;=500,INDEX('Pliegos Tarifarios (Quilicura)'!$G:$G,MATCH($B315,'Pliegos Tarifarios (Quilicura)'!$A:$A,0)),H315&lt;=1000,INDEX('Pliegos Tarifarios (Quilicura)'!$H:$H,MATCH($B315,'Pliegos Tarifarios (Quilicura)'!$A:$A,0)),H315&lt;=5000,INDEX('Pliegos Tarifarios (Quilicura)'!$I:$I,MATCH($B315,'Pliegos Tarifarios (Quilicura)'!$A:$A,0)),H315&gt;5000,INDEX('Pliegos Tarifarios (Quilicura)'!$J:$J,MATCH($B315,'Pliegos Tarifarios (Quilicura)'!$A:$A,0)))/1.19</f>
        <v>3465.7470256302522</v>
      </c>
      <c r="R315" s="19">
        <f>INDEX('Pliegos Tarifarios (Quilicura)'!$K:$K,MATCH($B315,'Pliegos Tarifarios (Quilicura)'!$A:$A,0))</f>
        <v>723.32799999999997</v>
      </c>
      <c r="S315" s="21">
        <f t="shared" si="15"/>
        <v>210959.71783663027</v>
      </c>
      <c r="T315" s="21">
        <f t="shared" si="16"/>
        <v>40082.346388959755</v>
      </c>
      <c r="U315" s="19">
        <v>0</v>
      </c>
      <c r="V315" s="21">
        <f t="shared" si="17"/>
        <v>251042.06422559003</v>
      </c>
    </row>
    <row r="316" spans="1:22" x14ac:dyDescent="0.3">
      <c r="A316" s="3" t="s">
        <v>144</v>
      </c>
      <c r="B316" s="3">
        <v>5</v>
      </c>
      <c r="C316" s="4" t="s">
        <v>186</v>
      </c>
      <c r="D316" s="3" t="s">
        <v>219</v>
      </c>
      <c r="E316" s="3" t="s">
        <v>91</v>
      </c>
      <c r="F316" s="4" t="s">
        <v>92</v>
      </c>
      <c r="G316" s="3" t="s">
        <v>16</v>
      </c>
      <c r="H316" s="5">
        <v>923.83360000000005</v>
      </c>
      <c r="I316" s="5">
        <v>2.4977999999999998</v>
      </c>
      <c r="J316" s="5">
        <v>2.4592999999999998</v>
      </c>
      <c r="K316" s="6">
        <v>0.98458643606373608</v>
      </c>
      <c r="L316" s="5">
        <v>30.79</v>
      </c>
      <c r="M316" s="19">
        <f>H316*INDEX('Pliegos Tarifarios (Quilicura)'!$B:$B,MATCH($B316,'Pliegos Tarifarios (Quilicura)'!$A:$A,0))</f>
        <v>109786.53735680001</v>
      </c>
      <c r="N316" s="19">
        <f>I316*INDEX('Pliegos Tarifarios (Quilicura)'!$C:$C,MATCH($B316,'Pliegos Tarifarios (Quilicura)'!$A:$A,0))</f>
        <v>8493.696463799999</v>
      </c>
      <c r="O316" s="19">
        <f>J316*INDEX('Pliegos Tarifarios (Quilicura)'!$D:$D,MATCH($B316,'Pliegos Tarifarios (Quilicura)'!$A:$A,0))</f>
        <v>34675.426640199999</v>
      </c>
      <c r="P316" s="19">
        <f>H316*INDEX('Pliegos Tarifarios (Quilicura)'!$E:$E,MATCH($B316,'Pliegos Tarifarios (Quilicura)'!$A:$A,0))</f>
        <v>11947.0161152</v>
      </c>
      <c r="Q316" s="19" cm="1">
        <f t="array" ref="Q316">H316*_xlfn.IFS(H316&lt;=350,INDEX('Pliegos Tarifarios (Quilicura)'!$F:$F,MATCH($B316,'Pliegos Tarifarios (Quilicura)'!$A:$A,0)),H316&lt;=500,INDEX('Pliegos Tarifarios (Quilicura)'!$G:$G,MATCH($B316,'Pliegos Tarifarios (Quilicura)'!$A:$A,0)),H316&lt;=1000,INDEX('Pliegos Tarifarios (Quilicura)'!$H:$H,MATCH($B316,'Pliegos Tarifarios (Quilicura)'!$A:$A,0)),H316&lt;=5000,INDEX('Pliegos Tarifarios (Quilicura)'!$I:$I,MATCH($B316,'Pliegos Tarifarios (Quilicura)'!$A:$A,0)),H316&gt;5000,INDEX('Pliegos Tarifarios (Quilicura)'!$J:$J,MATCH($B316,'Pliegos Tarifarios (Quilicura)'!$A:$A,0)))/1.19</f>
        <v>2166.7391408403369</v>
      </c>
      <c r="R316" s="19">
        <f>INDEX('Pliegos Tarifarios (Quilicura)'!$K:$K,MATCH($B316,'Pliegos Tarifarios (Quilicura)'!$A:$A,0))</f>
        <v>723.32799999999997</v>
      </c>
      <c r="S316" s="21">
        <f t="shared" si="15"/>
        <v>167792.74371684034</v>
      </c>
      <c r="T316" s="21">
        <f t="shared" si="16"/>
        <v>31880.621306199664</v>
      </c>
      <c r="U316" s="19">
        <v>0</v>
      </c>
      <c r="V316" s="21">
        <f t="shared" si="17"/>
        <v>199673.36502304001</v>
      </c>
    </row>
    <row r="317" spans="1:22" x14ac:dyDescent="0.3">
      <c r="A317" s="3" t="s">
        <v>144</v>
      </c>
      <c r="B317" s="3">
        <v>5</v>
      </c>
      <c r="C317" s="4" t="s">
        <v>186</v>
      </c>
      <c r="D317" s="3" t="s">
        <v>220</v>
      </c>
      <c r="E317" s="3" t="s">
        <v>94</v>
      </c>
      <c r="F317" s="4" t="s">
        <v>95</v>
      </c>
      <c r="G317" s="3" t="s">
        <v>16</v>
      </c>
      <c r="H317" s="5">
        <v>693.07299999999998</v>
      </c>
      <c r="I317" s="5">
        <v>1.8952</v>
      </c>
      <c r="J317" s="5">
        <v>1.8952</v>
      </c>
      <c r="K317" s="6">
        <v>1</v>
      </c>
      <c r="L317" s="5">
        <v>23.1</v>
      </c>
      <c r="M317" s="19">
        <f>H317*INDEX('Pliegos Tarifarios (Quilicura)'!$B:$B,MATCH($B317,'Pliegos Tarifarios (Quilicura)'!$A:$A,0))</f>
        <v>82363.409174</v>
      </c>
      <c r="N317" s="19">
        <f>I317*INDEX('Pliegos Tarifarios (Quilicura)'!$C:$C,MATCH($B317,'Pliegos Tarifarios (Quilicura)'!$A:$A,0))</f>
        <v>6444.5726391999997</v>
      </c>
      <c r="O317" s="19">
        <f>J317*INDEX('Pliegos Tarifarios (Quilicura)'!$D:$D,MATCH($B317,'Pliegos Tarifarios (Quilicura)'!$A:$A,0))</f>
        <v>26721.777972799999</v>
      </c>
      <c r="P317" s="19">
        <f>H317*INDEX('Pliegos Tarifarios (Quilicura)'!$E:$E,MATCH($B317,'Pliegos Tarifarios (Quilicura)'!$A:$A,0))</f>
        <v>8962.8200359999992</v>
      </c>
      <c r="Q317" s="19" cm="1">
        <f t="array" ref="Q317">H317*_xlfn.IFS(H317&lt;=350,INDEX('Pliegos Tarifarios (Quilicura)'!$F:$F,MATCH($B317,'Pliegos Tarifarios (Quilicura)'!$A:$A,0)),H317&lt;=500,INDEX('Pliegos Tarifarios (Quilicura)'!$G:$G,MATCH($B317,'Pliegos Tarifarios (Quilicura)'!$A:$A,0)),H317&lt;=1000,INDEX('Pliegos Tarifarios (Quilicura)'!$H:$H,MATCH($B317,'Pliegos Tarifarios (Quilicura)'!$A:$A,0)),H317&lt;=5000,INDEX('Pliegos Tarifarios (Quilicura)'!$I:$I,MATCH($B317,'Pliegos Tarifarios (Quilicura)'!$A:$A,0)),H317&gt;5000,INDEX('Pliegos Tarifarios (Quilicura)'!$J:$J,MATCH($B317,'Pliegos Tarifarios (Quilicura)'!$A:$A,0)))/1.19</f>
        <v>1625.5182714285718</v>
      </c>
      <c r="R317" s="19">
        <f>INDEX('Pliegos Tarifarios (Quilicura)'!$K:$K,MATCH($B317,'Pliegos Tarifarios (Quilicura)'!$A:$A,0))</f>
        <v>723.32799999999997</v>
      </c>
      <c r="S317" s="21">
        <f t="shared" si="15"/>
        <v>126841.42609342857</v>
      </c>
      <c r="T317" s="21">
        <f t="shared" si="16"/>
        <v>24099.870957751427</v>
      </c>
      <c r="U317" s="19">
        <v>0</v>
      </c>
      <c r="V317" s="21">
        <f t="shared" si="17"/>
        <v>150941.29705118001</v>
      </c>
    </row>
    <row r="318" spans="1:22" x14ac:dyDescent="0.3">
      <c r="A318" s="3" t="s">
        <v>144</v>
      </c>
      <c r="B318" s="3">
        <v>5</v>
      </c>
      <c r="C318" s="4" t="s">
        <v>186</v>
      </c>
      <c r="D318" s="3" t="s">
        <v>221</v>
      </c>
      <c r="E318" s="3" t="s">
        <v>91</v>
      </c>
      <c r="F318" s="4" t="s">
        <v>97</v>
      </c>
      <c r="G318" s="3" t="s">
        <v>16</v>
      </c>
      <c r="H318" s="5">
        <v>692.50250000000005</v>
      </c>
      <c r="I318" s="5">
        <v>1.8555999999999999</v>
      </c>
      <c r="J318" s="5">
        <v>1.8325</v>
      </c>
      <c r="K318" s="6">
        <v>0.98755119637852995</v>
      </c>
      <c r="L318" s="5">
        <v>23.08</v>
      </c>
      <c r="M318" s="19">
        <f>H318*INDEX('Pliegos Tarifarios (Quilicura)'!$B:$B,MATCH($B318,'Pliegos Tarifarios (Quilicura)'!$A:$A,0))</f>
        <v>82295.612095000004</v>
      </c>
      <c r="N318" s="19">
        <f>I318*INDEX('Pliegos Tarifarios (Quilicura)'!$C:$C,MATCH($B318,'Pliegos Tarifarios (Quilicura)'!$A:$A,0))</f>
        <v>6309.9139875999999</v>
      </c>
      <c r="O318" s="19">
        <f>J318*INDEX('Pliegos Tarifarios (Quilicura)'!$D:$D,MATCH($B318,'Pliegos Tarifarios (Quilicura)'!$A:$A,0))</f>
        <v>25837.725904999999</v>
      </c>
      <c r="P318" s="19">
        <f>H318*INDEX('Pliegos Tarifarios (Quilicura)'!$E:$E,MATCH($B318,'Pliegos Tarifarios (Quilicura)'!$A:$A,0))</f>
        <v>8955.4423300000017</v>
      </c>
      <c r="Q318" s="19" cm="1">
        <f t="array" ref="Q318">H318*_xlfn.IFS(H318&lt;=350,INDEX('Pliegos Tarifarios (Quilicura)'!$F:$F,MATCH($B318,'Pliegos Tarifarios (Quilicura)'!$A:$A,0)),H318&lt;=500,INDEX('Pliegos Tarifarios (Quilicura)'!$G:$G,MATCH($B318,'Pliegos Tarifarios (Quilicura)'!$A:$A,0)),H318&lt;=1000,INDEX('Pliegos Tarifarios (Quilicura)'!$H:$H,MATCH($B318,'Pliegos Tarifarios (Quilicura)'!$A:$A,0)),H318&lt;=5000,INDEX('Pliegos Tarifarios (Quilicura)'!$I:$I,MATCH($B318,'Pliegos Tarifarios (Quilicura)'!$A:$A,0)),H318&gt;5000,INDEX('Pliegos Tarifarios (Quilicura)'!$J:$J,MATCH($B318,'Pliegos Tarifarios (Quilicura)'!$A:$A,0)))/1.19</f>
        <v>1624.1802331932777</v>
      </c>
      <c r="R318" s="19">
        <f>INDEX('Pliegos Tarifarios (Quilicura)'!$K:$K,MATCH($B318,'Pliegos Tarifarios (Quilicura)'!$A:$A,0))</f>
        <v>723.32799999999997</v>
      </c>
      <c r="S318" s="21">
        <f t="shared" si="15"/>
        <v>125746.20255079328</v>
      </c>
      <c r="T318" s="21">
        <f t="shared" si="16"/>
        <v>23891.778484650724</v>
      </c>
      <c r="U318" s="19">
        <v>0</v>
      </c>
      <c r="V318" s="21">
        <f t="shared" si="17"/>
        <v>149637.98103544401</v>
      </c>
    </row>
    <row r="319" spans="1:22" x14ac:dyDescent="0.3">
      <c r="A319" s="3" t="s">
        <v>144</v>
      </c>
      <c r="B319" s="3">
        <v>5</v>
      </c>
      <c r="C319" s="4" t="s">
        <v>186</v>
      </c>
      <c r="D319" s="3" t="s">
        <v>222</v>
      </c>
      <c r="E319" s="3" t="s">
        <v>99</v>
      </c>
      <c r="F319" s="4" t="s">
        <v>100</v>
      </c>
      <c r="G319" s="3" t="s">
        <v>16</v>
      </c>
      <c r="H319" s="5">
        <v>3465.0421999999999</v>
      </c>
      <c r="I319" s="5">
        <v>9.3354999999999997</v>
      </c>
      <c r="J319" s="5">
        <v>9.0585000000000004</v>
      </c>
      <c r="K319" s="6">
        <v>0.9703283166407799</v>
      </c>
      <c r="L319" s="5">
        <v>115.5</v>
      </c>
      <c r="M319" s="19">
        <f>H319*INDEX('Pliegos Tarifarios (Quilicura)'!$B:$B,MATCH($B319,'Pliegos Tarifarios (Quilicura)'!$A:$A,0))</f>
        <v>411778.68496359995</v>
      </c>
      <c r="N319" s="19">
        <f>I319*INDEX('Pliegos Tarifarios (Quilicura)'!$C:$C,MATCH($B319,'Pliegos Tarifarios (Quilicura)'!$A:$A,0))</f>
        <v>31745.097020499998</v>
      </c>
      <c r="O319" s="19">
        <f>J319*INDEX('Pliegos Tarifarios (Quilicura)'!$D:$D,MATCH($B319,'Pliegos Tarifarios (Quilicura)'!$A:$A,0))</f>
        <v>127722.259269</v>
      </c>
      <c r="P319" s="19">
        <f>H319*INDEX('Pliegos Tarifarios (Quilicura)'!$E:$E,MATCH($B319,'Pliegos Tarifarios (Quilicura)'!$A:$A,0))</f>
        <v>44809.925730399998</v>
      </c>
      <c r="Q319" s="19" cm="1">
        <f t="array" ref="Q319">H319*_xlfn.IFS(H319&lt;=350,INDEX('Pliegos Tarifarios (Quilicura)'!$F:$F,MATCH($B319,'Pliegos Tarifarios (Quilicura)'!$A:$A,0)),H319&lt;=500,INDEX('Pliegos Tarifarios (Quilicura)'!$G:$G,MATCH($B319,'Pliegos Tarifarios (Quilicura)'!$A:$A,0)),H319&lt;=1000,INDEX('Pliegos Tarifarios (Quilicura)'!$H:$H,MATCH($B319,'Pliegos Tarifarios (Quilicura)'!$A:$A,0)),H319&lt;=5000,INDEX('Pliegos Tarifarios (Quilicura)'!$I:$I,MATCH($B319,'Pliegos Tarifarios (Quilicura)'!$A:$A,0)),H319&gt;5000,INDEX('Pliegos Tarifarios (Quilicura)'!$J:$J,MATCH($B319,'Pliegos Tarifarios (Quilicura)'!$A:$A,0)))/1.19</f>
        <v>10398.038400168067</v>
      </c>
      <c r="R319" s="19">
        <f>INDEX('Pliegos Tarifarios (Quilicura)'!$K:$K,MATCH($B319,'Pliegos Tarifarios (Quilicura)'!$A:$A,0))</f>
        <v>723.32799999999997</v>
      </c>
      <c r="S319" s="21">
        <f t="shared" si="15"/>
        <v>627177.33338366798</v>
      </c>
      <c r="T319" s="21">
        <f t="shared" si="16"/>
        <v>119163.69334289692</v>
      </c>
      <c r="U319" s="19">
        <v>0</v>
      </c>
      <c r="V319" s="21">
        <f t="shared" si="17"/>
        <v>746341.02672656486</v>
      </c>
    </row>
    <row r="320" spans="1:22" x14ac:dyDescent="0.3">
      <c r="A320" s="3" t="s">
        <v>144</v>
      </c>
      <c r="B320" s="3">
        <v>5</v>
      </c>
      <c r="C320" s="4" t="s">
        <v>186</v>
      </c>
      <c r="D320" s="3" t="s">
        <v>223</v>
      </c>
      <c r="E320" s="3" t="s">
        <v>102</v>
      </c>
      <c r="F320" s="4" t="s">
        <v>103</v>
      </c>
      <c r="G320" s="3" t="s">
        <v>16</v>
      </c>
      <c r="H320" s="5">
        <v>2775.9009999999998</v>
      </c>
      <c r="I320" s="5">
        <v>7.4972000000000003</v>
      </c>
      <c r="J320" s="5">
        <v>7.4851000000000001</v>
      </c>
      <c r="K320" s="6">
        <v>0.99838606413060871</v>
      </c>
      <c r="L320" s="5">
        <v>92.53</v>
      </c>
      <c r="M320" s="19">
        <f>H320*INDEX('Pliegos Tarifarios (Quilicura)'!$B:$B,MATCH($B320,'Pliegos Tarifarios (Quilicura)'!$A:$A,0))</f>
        <v>329882.52303799998</v>
      </c>
      <c r="N320" s="19">
        <f>I320*INDEX('Pliegos Tarifarios (Quilicura)'!$C:$C,MATCH($B320,'Pliegos Tarifarios (Quilicura)'!$A:$A,0))</f>
        <v>25494.0111812</v>
      </c>
      <c r="O320" s="19">
        <f>J320*INDEX('Pliegos Tarifarios (Quilicura)'!$D:$D,MATCH($B320,'Pliegos Tarifarios (Quilicura)'!$A:$A,0))</f>
        <v>105537.7692614</v>
      </c>
      <c r="P320" s="19">
        <f>H320*INDEX('Pliegos Tarifarios (Quilicura)'!$E:$E,MATCH($B320,'Pliegos Tarifarios (Quilicura)'!$A:$A,0))</f>
        <v>35897.951732000001</v>
      </c>
      <c r="Q320" s="19" cm="1">
        <f t="array" ref="Q320">H320*_xlfn.IFS(H320&lt;=350,INDEX('Pliegos Tarifarios (Quilicura)'!$F:$F,MATCH($B320,'Pliegos Tarifarios (Quilicura)'!$A:$A,0)),H320&lt;=500,INDEX('Pliegos Tarifarios (Quilicura)'!$G:$G,MATCH($B320,'Pliegos Tarifarios (Quilicura)'!$A:$A,0)),H320&lt;=1000,INDEX('Pliegos Tarifarios (Quilicura)'!$H:$H,MATCH($B320,'Pliegos Tarifarios (Quilicura)'!$A:$A,0)),H320&lt;=5000,INDEX('Pliegos Tarifarios (Quilicura)'!$I:$I,MATCH($B320,'Pliegos Tarifarios (Quilicura)'!$A:$A,0)),H320&gt;5000,INDEX('Pliegos Tarifarios (Quilicura)'!$J:$J,MATCH($B320,'Pliegos Tarifarios (Quilicura)'!$A:$A,0)))/1.19</f>
        <v>8330.0356899159669</v>
      </c>
      <c r="R320" s="19">
        <f>INDEX('Pliegos Tarifarios (Quilicura)'!$K:$K,MATCH($B320,'Pliegos Tarifarios (Quilicura)'!$A:$A,0))</f>
        <v>723.32799999999997</v>
      </c>
      <c r="S320" s="21">
        <f t="shared" si="15"/>
        <v>505865.61890251585</v>
      </c>
      <c r="T320" s="21">
        <f t="shared" si="16"/>
        <v>96114.467591478009</v>
      </c>
      <c r="U320" s="19">
        <v>0</v>
      </c>
      <c r="V320" s="21">
        <f t="shared" si="17"/>
        <v>601980.08649399388</v>
      </c>
    </row>
    <row r="321" spans="1:22" x14ac:dyDescent="0.3">
      <c r="A321" s="3" t="s">
        <v>144</v>
      </c>
      <c r="B321" s="3">
        <v>5</v>
      </c>
      <c r="C321" s="4" t="s">
        <v>186</v>
      </c>
      <c r="D321" s="3" t="s">
        <v>224</v>
      </c>
      <c r="E321" s="3" t="s">
        <v>105</v>
      </c>
      <c r="F321" s="4" t="s">
        <v>106</v>
      </c>
      <c r="G321" s="3" t="s">
        <v>30</v>
      </c>
      <c r="H321" s="5">
        <v>925.20590000000004</v>
      </c>
      <c r="I321" s="5">
        <v>2.5259999999999998</v>
      </c>
      <c r="J321" s="5">
        <v>2.4420000000000002</v>
      </c>
      <c r="K321" s="6">
        <v>0.96674584323040391</v>
      </c>
      <c r="L321" s="5">
        <v>30.84</v>
      </c>
      <c r="M321" s="19">
        <f>H321*INDEX('Pliegos Tarifarios (Quilicura)'!$B:$B,MATCH($B321,'Pliegos Tarifarios (Quilicura)'!$A:$A,0))</f>
        <v>109949.61874419999</v>
      </c>
      <c r="N321" s="19">
        <f>I321*INDEX('Pliegos Tarifarios (Quilicura)'!$C:$C,MATCH($B321,'Pliegos Tarifarios (Quilicura)'!$A:$A,0))</f>
        <v>8589.5897459999996</v>
      </c>
      <c r="O321" s="19">
        <f>J321*INDEX('Pliegos Tarifarios (Quilicura)'!$D:$D,MATCH($B321,'Pliegos Tarifarios (Quilicura)'!$A:$A,0))</f>
        <v>34431.501587999999</v>
      </c>
      <c r="P321" s="19">
        <f>H321*INDEX('Pliegos Tarifarios (Quilicura)'!$E:$E,MATCH($B321,'Pliegos Tarifarios (Quilicura)'!$A:$A,0))</f>
        <v>11964.762698800001</v>
      </c>
      <c r="Q321" s="19" cm="1">
        <f t="array" ref="Q321">H321*_xlfn.IFS(H321&lt;=350,INDEX('Pliegos Tarifarios (Quilicura)'!$F:$F,MATCH($B321,'Pliegos Tarifarios (Quilicura)'!$A:$A,0)),H321&lt;=500,INDEX('Pliegos Tarifarios (Quilicura)'!$G:$G,MATCH($B321,'Pliegos Tarifarios (Quilicura)'!$A:$A,0)),H321&lt;=1000,INDEX('Pliegos Tarifarios (Quilicura)'!$H:$H,MATCH($B321,'Pliegos Tarifarios (Quilicura)'!$A:$A,0)),H321&lt;=5000,INDEX('Pliegos Tarifarios (Quilicura)'!$I:$I,MATCH($B321,'Pliegos Tarifarios (Quilicura)'!$A:$A,0)),H321&gt;5000,INDEX('Pliegos Tarifarios (Quilicura)'!$J:$J,MATCH($B321,'Pliegos Tarifarios (Quilicura)'!$A:$A,0)))/1.19</f>
        <v>2169.9577032773113</v>
      </c>
      <c r="R321" s="19">
        <f>INDEX('Pliegos Tarifarios (Quilicura)'!$K:$K,MATCH($B321,'Pliegos Tarifarios (Quilicura)'!$A:$A,0))</f>
        <v>723.32799999999997</v>
      </c>
      <c r="S321" s="21">
        <f t="shared" si="15"/>
        <v>167828.75848027732</v>
      </c>
      <c r="T321" s="21">
        <f t="shared" si="16"/>
        <v>31887.464111252692</v>
      </c>
      <c r="U321" s="19">
        <v>0</v>
      </c>
      <c r="V321" s="21">
        <f t="shared" si="17"/>
        <v>199716.22259153001</v>
      </c>
    </row>
    <row r="322" spans="1:22" x14ac:dyDescent="0.3">
      <c r="A322" s="3" t="s">
        <v>144</v>
      </c>
      <c r="B322" s="3">
        <v>5</v>
      </c>
      <c r="C322" s="4" t="s">
        <v>186</v>
      </c>
      <c r="D322" s="3" t="s">
        <v>225</v>
      </c>
      <c r="E322" s="3" t="s">
        <v>105</v>
      </c>
      <c r="F322" s="4" t="s">
        <v>108</v>
      </c>
      <c r="G322" s="3" t="s">
        <v>30</v>
      </c>
      <c r="H322" s="5">
        <v>922.26829999999995</v>
      </c>
      <c r="I322" s="5">
        <v>2.4799000000000002</v>
      </c>
      <c r="J322" s="5">
        <v>2.4799000000000002</v>
      </c>
      <c r="K322" s="6">
        <v>1</v>
      </c>
      <c r="L322" s="5">
        <v>30.74</v>
      </c>
      <c r="M322" s="19">
        <f>H322*INDEX('Pliegos Tarifarios (Quilicura)'!$B:$B,MATCH($B322,'Pliegos Tarifarios (Quilicura)'!$A:$A,0))</f>
        <v>109600.52023539999</v>
      </c>
      <c r="N322" s="19">
        <f>I322*INDEX('Pliegos Tarifarios (Quilicura)'!$C:$C,MATCH($B322,'Pliegos Tarifarios (Quilicura)'!$A:$A,0))</f>
        <v>8432.8280329000008</v>
      </c>
      <c r="O322" s="19">
        <f>J322*INDEX('Pliegos Tarifarios (Quilicura)'!$D:$D,MATCH($B322,'Pliegos Tarifarios (Quilicura)'!$A:$A,0))</f>
        <v>34965.880748600001</v>
      </c>
      <c r="P322" s="19">
        <f>H322*INDEX('Pliegos Tarifarios (Quilicura)'!$E:$E,MATCH($B322,'Pliegos Tarifarios (Quilicura)'!$A:$A,0))</f>
        <v>11926.7736556</v>
      </c>
      <c r="Q322" s="19" cm="1">
        <f t="array" ref="Q322">H322*_xlfn.IFS(H322&lt;=350,INDEX('Pliegos Tarifarios (Quilicura)'!$F:$F,MATCH($B322,'Pliegos Tarifarios (Quilicura)'!$A:$A,0)),H322&lt;=500,INDEX('Pliegos Tarifarios (Quilicura)'!$G:$G,MATCH($B322,'Pliegos Tarifarios (Quilicura)'!$A:$A,0)),H322&lt;=1000,INDEX('Pliegos Tarifarios (Quilicura)'!$H:$H,MATCH($B322,'Pliegos Tarifarios (Quilicura)'!$A:$A,0)),H322&lt;=5000,INDEX('Pliegos Tarifarios (Quilicura)'!$I:$I,MATCH($B322,'Pliegos Tarifarios (Quilicura)'!$A:$A,0)),H322&gt;5000,INDEX('Pliegos Tarifarios (Quilicura)'!$J:$J,MATCH($B322,'Pliegos Tarifarios (Quilicura)'!$A:$A,0)))/1.19</f>
        <v>2163.0679204201683</v>
      </c>
      <c r="R322" s="19">
        <f>INDEX('Pliegos Tarifarios (Quilicura)'!$K:$K,MATCH($B322,'Pliegos Tarifarios (Quilicura)'!$A:$A,0))</f>
        <v>723.32799999999997</v>
      </c>
      <c r="S322" s="21">
        <f t="shared" si="15"/>
        <v>167812.39859292019</v>
      </c>
      <c r="T322" s="21">
        <f t="shared" si="16"/>
        <v>31884.355732654836</v>
      </c>
      <c r="U322" s="19">
        <v>0</v>
      </c>
      <c r="V322" s="21">
        <f t="shared" si="17"/>
        <v>199696.75432557502</v>
      </c>
    </row>
    <row r="323" spans="1:22" x14ac:dyDescent="0.3">
      <c r="A323" s="3" t="s">
        <v>144</v>
      </c>
      <c r="B323" s="3">
        <v>5</v>
      </c>
      <c r="C323" s="4" t="s">
        <v>186</v>
      </c>
      <c r="D323" s="3" t="s">
        <v>226</v>
      </c>
      <c r="E323" s="3" t="s">
        <v>110</v>
      </c>
      <c r="F323" s="4" t="s">
        <v>111</v>
      </c>
      <c r="G323" s="3" t="s">
        <v>30</v>
      </c>
      <c r="H323" s="5">
        <v>462.45979999999997</v>
      </c>
      <c r="I323" s="5">
        <v>1.248</v>
      </c>
      <c r="J323" s="5">
        <v>1.2044999999999999</v>
      </c>
      <c r="K323" s="6">
        <v>0.96514423076923073</v>
      </c>
      <c r="L323" s="5">
        <v>15.42</v>
      </c>
      <c r="M323" s="19">
        <f>H323*INDEX('Pliegos Tarifarios (Quilicura)'!$B:$B,MATCH($B323,'Pliegos Tarifarios (Quilicura)'!$A:$A,0))</f>
        <v>54957.797712399995</v>
      </c>
      <c r="N323" s="19">
        <f>I323*INDEX('Pliegos Tarifarios (Quilicura)'!$C:$C,MATCH($B323,'Pliegos Tarifarios (Quilicura)'!$A:$A,0))</f>
        <v>4243.787808</v>
      </c>
      <c r="O323" s="19">
        <f>J323*INDEX('Pliegos Tarifarios (Quilicura)'!$D:$D,MATCH($B323,'Pliegos Tarifarios (Quilicura)'!$A:$A,0))</f>
        <v>16983.105512999999</v>
      </c>
      <c r="P323" s="19">
        <f>H323*INDEX('Pliegos Tarifarios (Quilicura)'!$E:$E,MATCH($B323,'Pliegos Tarifarios (Quilicura)'!$A:$A,0))</f>
        <v>5980.5301336000002</v>
      </c>
      <c r="Q323" s="19" cm="1">
        <f t="array" ref="Q323">H323*_xlfn.IFS(H323&lt;=350,INDEX('Pliegos Tarifarios (Quilicura)'!$F:$F,MATCH($B323,'Pliegos Tarifarios (Quilicura)'!$A:$A,0)),H323&lt;=500,INDEX('Pliegos Tarifarios (Quilicura)'!$G:$G,MATCH($B323,'Pliegos Tarifarios (Quilicura)'!$A:$A,0)),H323&lt;=1000,INDEX('Pliegos Tarifarios (Quilicura)'!$H:$H,MATCH($B323,'Pliegos Tarifarios (Quilicura)'!$A:$A,0)),H323&lt;=5000,INDEX('Pliegos Tarifarios (Quilicura)'!$I:$I,MATCH($B323,'Pliegos Tarifarios (Quilicura)'!$A:$A,0)),H323&gt;5000,INDEX('Pliegos Tarifarios (Quilicura)'!$J:$J,MATCH($B323,'Pliegos Tarifarios (Quilicura)'!$A:$A,0)))/1.19</f>
        <v>651.3299368067228</v>
      </c>
      <c r="R323" s="19">
        <f>INDEX('Pliegos Tarifarios (Quilicura)'!$K:$K,MATCH($B323,'Pliegos Tarifarios (Quilicura)'!$A:$A,0))</f>
        <v>723.32799999999997</v>
      </c>
      <c r="S323" s="21">
        <f t="shared" si="15"/>
        <v>83539.879103806714</v>
      </c>
      <c r="T323" s="21">
        <f t="shared" si="16"/>
        <v>15872.577029723276</v>
      </c>
      <c r="U323" s="19">
        <v>0</v>
      </c>
      <c r="V323" s="21">
        <f t="shared" si="17"/>
        <v>99412.456133529995</v>
      </c>
    </row>
    <row r="324" spans="1:22" x14ac:dyDescent="0.3">
      <c r="A324" s="3" t="s">
        <v>144</v>
      </c>
      <c r="B324" s="3">
        <v>5</v>
      </c>
      <c r="C324" s="4" t="s">
        <v>186</v>
      </c>
      <c r="D324" s="3" t="s">
        <v>227</v>
      </c>
      <c r="E324" s="3" t="s">
        <v>113</v>
      </c>
      <c r="F324" s="4" t="s">
        <v>114</v>
      </c>
      <c r="G324" s="3" t="s">
        <v>30</v>
      </c>
      <c r="H324" s="5">
        <v>693.14639999999997</v>
      </c>
      <c r="I324" s="5">
        <v>1.8931</v>
      </c>
      <c r="J324" s="5">
        <v>1.8203</v>
      </c>
      <c r="K324" s="6">
        <v>0.96154455654746185</v>
      </c>
      <c r="L324" s="5">
        <v>23.1</v>
      </c>
      <c r="M324" s="19">
        <f>H324*INDEX('Pliegos Tarifarios (Quilicura)'!$B:$B,MATCH($B324,'Pliegos Tarifarios (Quilicura)'!$A:$A,0))</f>
        <v>82372.131883199996</v>
      </c>
      <c r="N324" s="19">
        <f>I324*INDEX('Pliegos Tarifarios (Quilicura)'!$C:$C,MATCH($B324,'Pliegos Tarifarios (Quilicura)'!$A:$A,0))</f>
        <v>6437.4316501000003</v>
      </c>
      <c r="O324" s="19">
        <f>J324*INDEX('Pliegos Tarifarios (Quilicura)'!$D:$D,MATCH($B324,'Pliegos Tarifarios (Quilicura)'!$A:$A,0))</f>
        <v>25665.709394199999</v>
      </c>
      <c r="P324" s="19">
        <f>H324*INDEX('Pliegos Tarifarios (Quilicura)'!$E:$E,MATCH($B324,'Pliegos Tarifarios (Quilicura)'!$A:$A,0))</f>
        <v>8963.7692447999998</v>
      </c>
      <c r="Q324" s="19" cm="1">
        <f t="array" ref="Q324">H324*_xlfn.IFS(H324&lt;=350,INDEX('Pliegos Tarifarios (Quilicura)'!$F:$F,MATCH($B324,'Pliegos Tarifarios (Quilicura)'!$A:$A,0)),H324&lt;=500,INDEX('Pliegos Tarifarios (Quilicura)'!$G:$G,MATCH($B324,'Pliegos Tarifarios (Quilicura)'!$A:$A,0)),H324&lt;=1000,INDEX('Pliegos Tarifarios (Quilicura)'!$H:$H,MATCH($B324,'Pliegos Tarifarios (Quilicura)'!$A:$A,0)),H324&lt;=5000,INDEX('Pliegos Tarifarios (Quilicura)'!$I:$I,MATCH($B324,'Pliegos Tarifarios (Quilicura)'!$A:$A,0)),H324&gt;5000,INDEX('Pliegos Tarifarios (Quilicura)'!$J:$J,MATCH($B324,'Pliegos Tarifarios (Quilicura)'!$A:$A,0)))/1.19</f>
        <v>1625.690422184874</v>
      </c>
      <c r="R324" s="19">
        <f>INDEX('Pliegos Tarifarios (Quilicura)'!$K:$K,MATCH($B324,'Pliegos Tarifarios (Quilicura)'!$A:$A,0))</f>
        <v>723.32799999999997</v>
      </c>
      <c r="S324" s="21">
        <f t="shared" si="15"/>
        <v>125788.06059448485</v>
      </c>
      <c r="T324" s="21">
        <f t="shared" si="16"/>
        <v>23899.731512952123</v>
      </c>
      <c r="U324" s="19">
        <v>0</v>
      </c>
      <c r="V324" s="21">
        <f t="shared" si="17"/>
        <v>149687.79210743698</v>
      </c>
    </row>
    <row r="325" spans="1:22" x14ac:dyDescent="0.3">
      <c r="A325" s="3" t="s">
        <v>144</v>
      </c>
      <c r="B325" s="3">
        <v>5</v>
      </c>
      <c r="C325" s="4" t="s">
        <v>186</v>
      </c>
      <c r="D325" s="3" t="s">
        <v>228</v>
      </c>
      <c r="E325" s="3" t="s">
        <v>116</v>
      </c>
      <c r="F325" s="4" t="s">
        <v>117</v>
      </c>
      <c r="G325" s="3" t="s">
        <v>30</v>
      </c>
      <c r="H325" s="5">
        <v>115.5087</v>
      </c>
      <c r="I325" s="5">
        <v>0.31580000000000003</v>
      </c>
      <c r="J325" s="5">
        <v>0.31469999999999998</v>
      </c>
      <c r="K325" s="6">
        <v>0.99651678277390743</v>
      </c>
      <c r="L325" s="5">
        <v>3.85</v>
      </c>
      <c r="M325" s="19">
        <f>H325*INDEX('Pliegos Tarifarios (Quilicura)'!$B:$B,MATCH($B325,'Pliegos Tarifarios (Quilicura)'!$A:$A,0))</f>
        <v>13726.8228906</v>
      </c>
      <c r="N325" s="19">
        <f>I325*INDEX('Pliegos Tarifarios (Quilicura)'!$C:$C,MATCH($B325,'Pliegos Tarifarios (Quilicura)'!$A:$A,0))</f>
        <v>1073.8687418000002</v>
      </c>
      <c r="O325" s="19">
        <f>J325*INDEX('Pliegos Tarifarios (Quilicura)'!$D:$D,MATCH($B325,'Pliegos Tarifarios (Quilicura)'!$A:$A,0))</f>
        <v>4437.1799958000001</v>
      </c>
      <c r="P325" s="19">
        <f>H325*INDEX('Pliegos Tarifarios (Quilicura)'!$E:$E,MATCH($B325,'Pliegos Tarifarios (Quilicura)'!$A:$A,0))</f>
        <v>1493.7585084000002</v>
      </c>
      <c r="Q325" s="19" cm="1">
        <f t="array" ref="Q325">H325*_xlfn.IFS(H325&lt;=350,INDEX('Pliegos Tarifarios (Quilicura)'!$F:$F,MATCH($B325,'Pliegos Tarifarios (Quilicura)'!$A:$A,0)),H325&lt;=500,INDEX('Pliegos Tarifarios (Quilicura)'!$G:$G,MATCH($B325,'Pliegos Tarifarios (Quilicura)'!$A:$A,0)),H325&lt;=1000,INDEX('Pliegos Tarifarios (Quilicura)'!$H:$H,MATCH($B325,'Pliegos Tarifarios (Quilicura)'!$A:$A,0)),H325&lt;=5000,INDEX('Pliegos Tarifarios (Quilicura)'!$I:$I,MATCH($B325,'Pliegos Tarifarios (Quilicura)'!$A:$A,0)),H325&gt;5000,INDEX('Pliegos Tarifarios (Quilicura)'!$J:$J,MATCH($B325,'Pliegos Tarifarios (Quilicura)'!$A:$A,0)))/1.19</f>
        <v>76.099849411764708</v>
      </c>
      <c r="R325" s="19">
        <f>INDEX('Pliegos Tarifarios (Quilicura)'!$K:$K,MATCH($B325,'Pliegos Tarifarios (Quilicura)'!$A:$A,0))</f>
        <v>723.32799999999997</v>
      </c>
      <c r="S325" s="21">
        <f t="shared" si="15"/>
        <v>21531.057986011769</v>
      </c>
      <c r="T325" s="21">
        <f t="shared" si="16"/>
        <v>4090.9010173422362</v>
      </c>
      <c r="U325" s="19">
        <v>0</v>
      </c>
      <c r="V325" s="21">
        <f t="shared" si="17"/>
        <v>25621.959003354004</v>
      </c>
    </row>
    <row r="326" spans="1:22" x14ac:dyDescent="0.3">
      <c r="A326" s="3" t="s">
        <v>144</v>
      </c>
      <c r="B326" s="3">
        <v>5</v>
      </c>
      <c r="C326" s="4" t="s">
        <v>186</v>
      </c>
      <c r="D326" s="3" t="s">
        <v>229</v>
      </c>
      <c r="E326" s="3" t="s">
        <v>116</v>
      </c>
      <c r="F326" s="4" t="s">
        <v>119</v>
      </c>
      <c r="G326" s="3" t="s">
        <v>30</v>
      </c>
      <c r="H326" s="5">
        <v>115.4387</v>
      </c>
      <c r="I326" s="5">
        <v>0.30940000000000001</v>
      </c>
      <c r="J326" s="5">
        <v>0.30769999999999997</v>
      </c>
      <c r="K326" s="6">
        <v>0.99450549450549441</v>
      </c>
      <c r="L326" s="5">
        <v>3.85</v>
      </c>
      <c r="M326" s="19">
        <f>H326*INDEX('Pliegos Tarifarios (Quilicura)'!$B:$B,MATCH($B326,'Pliegos Tarifarios (Quilicura)'!$A:$A,0))</f>
        <v>13718.5042306</v>
      </c>
      <c r="N326" s="19">
        <f>I326*INDEX('Pliegos Tarifarios (Quilicura)'!$C:$C,MATCH($B326,'Pliegos Tarifarios (Quilicura)'!$A:$A,0))</f>
        <v>1052.1057274</v>
      </c>
      <c r="O326" s="19">
        <f>J326*INDEX('Pliegos Tarifarios (Quilicura)'!$D:$D,MATCH($B326,'Pliegos Tarifarios (Quilicura)'!$A:$A,0))</f>
        <v>4338.4819977999996</v>
      </c>
      <c r="P326" s="19">
        <f>H326*INDEX('Pliegos Tarifarios (Quilicura)'!$E:$E,MATCH($B326,'Pliegos Tarifarios (Quilicura)'!$A:$A,0))</f>
        <v>1492.8532683999999</v>
      </c>
      <c r="Q326" s="19" cm="1">
        <f t="array" ref="Q326">H326*_xlfn.IFS(H326&lt;=350,INDEX('Pliegos Tarifarios (Quilicura)'!$F:$F,MATCH($B326,'Pliegos Tarifarios (Quilicura)'!$A:$A,0)),H326&lt;=500,INDEX('Pliegos Tarifarios (Quilicura)'!$G:$G,MATCH($B326,'Pliegos Tarifarios (Quilicura)'!$A:$A,0)),H326&lt;=1000,INDEX('Pliegos Tarifarios (Quilicura)'!$H:$H,MATCH($B326,'Pliegos Tarifarios (Quilicura)'!$A:$A,0)),H326&lt;=5000,INDEX('Pliegos Tarifarios (Quilicura)'!$I:$I,MATCH($B326,'Pliegos Tarifarios (Quilicura)'!$A:$A,0)),H326&gt;5000,INDEX('Pliegos Tarifarios (Quilicura)'!$J:$J,MATCH($B326,'Pliegos Tarifarios (Quilicura)'!$A:$A,0)))/1.19</f>
        <v>76.053731764705887</v>
      </c>
      <c r="R326" s="19">
        <f>INDEX('Pliegos Tarifarios (Quilicura)'!$K:$K,MATCH($B326,'Pliegos Tarifarios (Quilicura)'!$A:$A,0))</f>
        <v>723.32799999999997</v>
      </c>
      <c r="S326" s="21">
        <f t="shared" si="15"/>
        <v>21401.326955964705</v>
      </c>
      <c r="T326" s="21">
        <f t="shared" si="16"/>
        <v>4066.2521216332939</v>
      </c>
      <c r="U326" s="19">
        <v>0</v>
      </c>
      <c r="V326" s="21">
        <f t="shared" si="17"/>
        <v>25467.579077597999</v>
      </c>
    </row>
    <row r="327" spans="1:22" x14ac:dyDescent="0.3">
      <c r="A327" s="3" t="s">
        <v>144</v>
      </c>
      <c r="B327" s="3">
        <v>5</v>
      </c>
      <c r="C327" s="4" t="s">
        <v>186</v>
      </c>
      <c r="D327" s="3" t="s">
        <v>230</v>
      </c>
      <c r="E327" s="3" t="s">
        <v>121</v>
      </c>
      <c r="F327" s="4" t="s">
        <v>122</v>
      </c>
      <c r="G327" s="3" t="s">
        <v>30</v>
      </c>
      <c r="H327" s="5">
        <v>115.7961</v>
      </c>
      <c r="I327" s="5">
        <v>0.31290000000000001</v>
      </c>
      <c r="J327" s="5">
        <v>0.31290000000000001</v>
      </c>
      <c r="K327" s="6">
        <v>1</v>
      </c>
      <c r="L327" s="5">
        <v>3.86</v>
      </c>
      <c r="M327" s="19">
        <f>H327*INDEX('Pliegos Tarifarios (Quilicura)'!$B:$B,MATCH($B327,'Pliegos Tarifarios (Quilicura)'!$A:$A,0))</f>
        <v>13760.976931799998</v>
      </c>
      <c r="N327" s="19">
        <f>I327*INDEX('Pliegos Tarifarios (Quilicura)'!$C:$C,MATCH($B327,'Pliegos Tarifarios (Quilicura)'!$A:$A,0))</f>
        <v>1064.0073758999999</v>
      </c>
      <c r="O327" s="19">
        <f>J327*INDEX('Pliegos Tarifarios (Quilicura)'!$D:$D,MATCH($B327,'Pliegos Tarifarios (Quilicura)'!$A:$A,0))</f>
        <v>4411.8005106000001</v>
      </c>
      <c r="P327" s="19">
        <f>H327*INDEX('Pliegos Tarifarios (Quilicura)'!$E:$E,MATCH($B327,'Pliegos Tarifarios (Quilicura)'!$A:$A,0))</f>
        <v>1497.4751652</v>
      </c>
      <c r="Q327" s="19" cm="1">
        <f t="array" ref="Q327">H327*_xlfn.IFS(H327&lt;=350,INDEX('Pliegos Tarifarios (Quilicura)'!$F:$F,MATCH($B327,'Pliegos Tarifarios (Quilicura)'!$A:$A,0)),H327&lt;=500,INDEX('Pliegos Tarifarios (Quilicura)'!$G:$G,MATCH($B327,'Pliegos Tarifarios (Quilicura)'!$A:$A,0)),H327&lt;=1000,INDEX('Pliegos Tarifarios (Quilicura)'!$H:$H,MATCH($B327,'Pliegos Tarifarios (Quilicura)'!$A:$A,0)),H327&lt;=5000,INDEX('Pliegos Tarifarios (Quilicura)'!$I:$I,MATCH($B327,'Pliegos Tarifarios (Quilicura)'!$A:$A,0)),H327&gt;5000,INDEX('Pliegos Tarifarios (Quilicura)'!$J:$J,MATCH($B327,'Pliegos Tarifarios (Quilicura)'!$A:$A,0)))/1.19</f>
        <v>76.289195294117647</v>
      </c>
      <c r="R327" s="19">
        <f>INDEX('Pliegos Tarifarios (Quilicura)'!$K:$K,MATCH($B327,'Pliegos Tarifarios (Quilicura)'!$A:$A,0))</f>
        <v>723.32799999999997</v>
      </c>
      <c r="S327" s="21">
        <f t="shared" si="15"/>
        <v>21533.877178794119</v>
      </c>
      <c r="T327" s="21">
        <f t="shared" si="16"/>
        <v>4091.4366639708828</v>
      </c>
      <c r="U327" s="19">
        <v>0</v>
      </c>
      <c r="V327" s="21">
        <f t="shared" si="17"/>
        <v>25625.313842765001</v>
      </c>
    </row>
    <row r="328" spans="1:22" x14ac:dyDescent="0.3">
      <c r="A328" s="3" t="s">
        <v>144</v>
      </c>
      <c r="B328" s="3">
        <v>5</v>
      </c>
      <c r="C328" s="4" t="s">
        <v>186</v>
      </c>
      <c r="D328" s="3" t="s">
        <v>231</v>
      </c>
      <c r="E328" s="3" t="s">
        <v>121</v>
      </c>
      <c r="F328" s="4" t="s">
        <v>124</v>
      </c>
      <c r="G328" s="3" t="s">
        <v>30</v>
      </c>
      <c r="H328" s="5">
        <v>115.5192</v>
      </c>
      <c r="I328" s="5">
        <v>0.31580000000000003</v>
      </c>
      <c r="J328" s="5">
        <v>0.30969999999999998</v>
      </c>
      <c r="K328" s="6">
        <v>0.98068397720075984</v>
      </c>
      <c r="L328" s="5">
        <v>3.85</v>
      </c>
      <c r="M328" s="19">
        <f>H328*INDEX('Pliegos Tarifarios (Quilicura)'!$B:$B,MATCH($B328,'Pliegos Tarifarios (Quilicura)'!$A:$A,0))</f>
        <v>13728.070689599999</v>
      </c>
      <c r="N328" s="19">
        <f>I328*INDEX('Pliegos Tarifarios (Quilicura)'!$C:$C,MATCH($B328,'Pliegos Tarifarios (Quilicura)'!$A:$A,0))</f>
        <v>1073.8687418000002</v>
      </c>
      <c r="O328" s="19">
        <f>J328*INDEX('Pliegos Tarifarios (Quilicura)'!$D:$D,MATCH($B328,'Pliegos Tarifarios (Quilicura)'!$A:$A,0))</f>
        <v>4366.6814257999995</v>
      </c>
      <c r="P328" s="19">
        <f>H328*INDEX('Pliegos Tarifarios (Quilicura)'!$E:$E,MATCH($B328,'Pliegos Tarifarios (Quilicura)'!$A:$A,0))</f>
        <v>1493.8942944</v>
      </c>
      <c r="Q328" s="19" cm="1">
        <f t="array" ref="Q328">H328*_xlfn.IFS(H328&lt;=350,INDEX('Pliegos Tarifarios (Quilicura)'!$F:$F,MATCH($B328,'Pliegos Tarifarios (Quilicura)'!$A:$A,0)),H328&lt;=500,INDEX('Pliegos Tarifarios (Quilicura)'!$G:$G,MATCH($B328,'Pliegos Tarifarios (Quilicura)'!$A:$A,0)),H328&lt;=1000,INDEX('Pliegos Tarifarios (Quilicura)'!$H:$H,MATCH($B328,'Pliegos Tarifarios (Quilicura)'!$A:$A,0)),H328&lt;=5000,INDEX('Pliegos Tarifarios (Quilicura)'!$I:$I,MATCH($B328,'Pliegos Tarifarios (Quilicura)'!$A:$A,0)),H328&gt;5000,INDEX('Pliegos Tarifarios (Quilicura)'!$J:$J,MATCH($B328,'Pliegos Tarifarios (Quilicura)'!$A:$A,0)))/1.19</f>
        <v>76.106767058823536</v>
      </c>
      <c r="R328" s="19">
        <f>INDEX('Pliegos Tarifarios (Quilicura)'!$K:$K,MATCH($B328,'Pliegos Tarifarios (Quilicura)'!$A:$A,0))</f>
        <v>723.32799999999997</v>
      </c>
      <c r="S328" s="21">
        <f t="shared" si="15"/>
        <v>21461.949918658825</v>
      </c>
      <c r="T328" s="21">
        <f t="shared" si="16"/>
        <v>4077.7704845451767</v>
      </c>
      <c r="U328" s="19">
        <v>0</v>
      </c>
      <c r="V328" s="21">
        <f t="shared" si="17"/>
        <v>25539.720403204003</v>
      </c>
    </row>
    <row r="329" spans="1:22" x14ac:dyDescent="0.3">
      <c r="A329" s="3" t="s">
        <v>144</v>
      </c>
      <c r="B329" s="3">
        <v>5</v>
      </c>
      <c r="C329" s="4" t="s">
        <v>186</v>
      </c>
      <c r="D329" s="3" t="s">
        <v>232</v>
      </c>
      <c r="E329" s="3" t="s">
        <v>121</v>
      </c>
      <c r="F329" s="4" t="s">
        <v>126</v>
      </c>
      <c r="G329" s="3" t="s">
        <v>30</v>
      </c>
      <c r="H329" s="5">
        <v>115.49460000000001</v>
      </c>
      <c r="I329" s="5">
        <v>0.30890000000000001</v>
      </c>
      <c r="J329" s="5">
        <v>0.2999</v>
      </c>
      <c r="K329" s="6">
        <v>0.97086435739721588</v>
      </c>
      <c r="L329" s="5">
        <v>3.85</v>
      </c>
      <c r="M329" s="19">
        <f>H329*INDEX('Pliegos Tarifarios (Quilicura)'!$B:$B,MATCH($B329,'Pliegos Tarifarios (Quilicura)'!$A:$A,0))</f>
        <v>13725.1472748</v>
      </c>
      <c r="N329" s="19">
        <f>I329*INDEX('Pliegos Tarifarios (Quilicura)'!$C:$C,MATCH($B329,'Pliegos Tarifarios (Quilicura)'!$A:$A,0))</f>
        <v>1050.4054919</v>
      </c>
      <c r="O329" s="19">
        <f>J329*INDEX('Pliegos Tarifarios (Quilicura)'!$D:$D,MATCH($B329,'Pliegos Tarifarios (Quilicura)'!$A:$A,0))</f>
        <v>4228.5042285999998</v>
      </c>
      <c r="P329" s="19">
        <f>H329*INDEX('Pliegos Tarifarios (Quilicura)'!$E:$E,MATCH($B329,'Pliegos Tarifarios (Quilicura)'!$A:$A,0))</f>
        <v>1493.5761672000001</v>
      </c>
      <c r="Q329" s="19" cm="1">
        <f t="array" ref="Q329">H329*_xlfn.IFS(H329&lt;=350,INDEX('Pliegos Tarifarios (Quilicura)'!$F:$F,MATCH($B329,'Pliegos Tarifarios (Quilicura)'!$A:$A,0)),H329&lt;=500,INDEX('Pliegos Tarifarios (Quilicura)'!$G:$G,MATCH($B329,'Pliegos Tarifarios (Quilicura)'!$A:$A,0)),H329&lt;=1000,INDEX('Pliegos Tarifarios (Quilicura)'!$H:$H,MATCH($B329,'Pliegos Tarifarios (Quilicura)'!$A:$A,0)),H329&lt;=5000,INDEX('Pliegos Tarifarios (Quilicura)'!$I:$I,MATCH($B329,'Pliegos Tarifarios (Quilicura)'!$A:$A,0)),H329&gt;5000,INDEX('Pliegos Tarifarios (Quilicura)'!$J:$J,MATCH($B329,'Pliegos Tarifarios (Quilicura)'!$A:$A,0)))/1.19</f>
        <v>76.090560000000011</v>
      </c>
      <c r="R329" s="19">
        <f>INDEX('Pliegos Tarifarios (Quilicura)'!$K:$K,MATCH($B329,'Pliegos Tarifarios (Quilicura)'!$A:$A,0))</f>
        <v>723.32799999999997</v>
      </c>
      <c r="S329" s="21">
        <f t="shared" si="15"/>
        <v>21297.0517225</v>
      </c>
      <c r="T329" s="21">
        <f t="shared" si="16"/>
        <v>4046.439827275</v>
      </c>
      <c r="U329" s="19">
        <v>0</v>
      </c>
      <c r="V329" s="21">
        <f t="shared" si="17"/>
        <v>25343.491549775001</v>
      </c>
    </row>
    <row r="330" spans="1:22" x14ac:dyDescent="0.3">
      <c r="A330" s="3" t="s">
        <v>144</v>
      </c>
      <c r="B330" s="3">
        <v>5</v>
      </c>
      <c r="C330" s="4" t="s">
        <v>186</v>
      </c>
      <c r="D330" s="3" t="s">
        <v>233</v>
      </c>
      <c r="E330" s="3" t="s">
        <v>121</v>
      </c>
      <c r="F330" s="4" t="s">
        <v>128</v>
      </c>
      <c r="G330" s="3" t="s">
        <v>30</v>
      </c>
      <c r="H330" s="5">
        <v>115.3884</v>
      </c>
      <c r="I330" s="5">
        <v>0.32369999999999999</v>
      </c>
      <c r="J330" s="5">
        <v>0.30459999999999998</v>
      </c>
      <c r="K330" s="6">
        <v>0.94099474822366391</v>
      </c>
      <c r="L330" s="5">
        <v>3.85</v>
      </c>
      <c r="M330" s="19">
        <f>H330*INDEX('Pliegos Tarifarios (Quilicura)'!$B:$B,MATCH($B330,'Pliegos Tarifarios (Quilicura)'!$A:$A,0))</f>
        <v>13712.5266792</v>
      </c>
      <c r="N330" s="19">
        <f>I330*INDEX('Pliegos Tarifarios (Quilicura)'!$C:$C,MATCH($B330,'Pliegos Tarifarios (Quilicura)'!$A:$A,0))</f>
        <v>1100.7324627</v>
      </c>
      <c r="O330" s="19">
        <f>J330*INDEX('Pliegos Tarifarios (Quilicura)'!$D:$D,MATCH($B330,'Pliegos Tarifarios (Quilicura)'!$A:$A,0))</f>
        <v>4294.7728843999994</v>
      </c>
      <c r="P330" s="19">
        <f>H330*INDEX('Pliegos Tarifarios (Quilicura)'!$E:$E,MATCH($B330,'Pliegos Tarifarios (Quilicura)'!$A:$A,0))</f>
        <v>1492.2027888</v>
      </c>
      <c r="Q330" s="19" cm="1">
        <f t="array" ref="Q330">H330*_xlfn.IFS(H330&lt;=350,INDEX('Pliegos Tarifarios (Quilicura)'!$F:$F,MATCH($B330,'Pliegos Tarifarios (Quilicura)'!$A:$A,0)),H330&lt;=500,INDEX('Pliegos Tarifarios (Quilicura)'!$G:$G,MATCH($B330,'Pliegos Tarifarios (Quilicura)'!$A:$A,0)),H330&lt;=1000,INDEX('Pliegos Tarifarios (Quilicura)'!$H:$H,MATCH($B330,'Pliegos Tarifarios (Quilicura)'!$A:$A,0)),H330&lt;=5000,INDEX('Pliegos Tarifarios (Quilicura)'!$I:$I,MATCH($B330,'Pliegos Tarifarios (Quilicura)'!$A:$A,0)),H330&gt;5000,INDEX('Pliegos Tarifarios (Quilicura)'!$J:$J,MATCH($B330,'Pliegos Tarifarios (Quilicura)'!$A:$A,0)))/1.19</f>
        <v>76.020592941176488</v>
      </c>
      <c r="R330" s="19">
        <f>INDEX('Pliegos Tarifarios (Quilicura)'!$K:$K,MATCH($B330,'Pliegos Tarifarios (Quilicura)'!$A:$A,0))</f>
        <v>723.32799999999997</v>
      </c>
      <c r="S330" s="21">
        <f t="shared" si="15"/>
        <v>21399.583408041177</v>
      </c>
      <c r="T330" s="21">
        <f t="shared" si="16"/>
        <v>4065.9208475278238</v>
      </c>
      <c r="U330" s="19">
        <v>0</v>
      </c>
      <c r="V330" s="21">
        <f t="shared" si="17"/>
        <v>25465.504255569002</v>
      </c>
    </row>
    <row r="331" spans="1:22" x14ac:dyDescent="0.3">
      <c r="A331" s="3" t="s">
        <v>144</v>
      </c>
      <c r="B331" s="3">
        <v>5</v>
      </c>
      <c r="C331" s="4" t="s">
        <v>186</v>
      </c>
      <c r="D331" s="3" t="s">
        <v>234</v>
      </c>
      <c r="E331" s="3" t="s">
        <v>121</v>
      </c>
      <c r="F331" s="4" t="s">
        <v>130</v>
      </c>
      <c r="G331" s="3" t="s">
        <v>30</v>
      </c>
      <c r="H331" s="5">
        <v>115.39570000000001</v>
      </c>
      <c r="I331" s="5">
        <v>0.31430000000000002</v>
      </c>
      <c r="J331" s="5">
        <v>0.30649999999999999</v>
      </c>
      <c r="K331" s="6">
        <v>0.97518294622971669</v>
      </c>
      <c r="L331" s="5">
        <v>3.85</v>
      </c>
      <c r="M331" s="19">
        <f>H331*INDEX('Pliegos Tarifarios (Quilicura)'!$B:$B,MATCH($B331,'Pliegos Tarifarios (Quilicura)'!$A:$A,0))</f>
        <v>13713.3941966</v>
      </c>
      <c r="N331" s="19">
        <f>I331*INDEX('Pliegos Tarifarios (Quilicura)'!$C:$C,MATCH($B331,'Pliegos Tarifarios (Quilicura)'!$A:$A,0))</f>
        <v>1068.7680353000001</v>
      </c>
      <c r="O331" s="19">
        <f>J331*INDEX('Pliegos Tarifarios (Quilicura)'!$D:$D,MATCH($B331,'Pliegos Tarifarios (Quilicura)'!$A:$A,0))</f>
        <v>4321.5623409999998</v>
      </c>
      <c r="P331" s="19">
        <f>H331*INDEX('Pliegos Tarifarios (Quilicura)'!$E:$E,MATCH($B331,'Pliegos Tarifarios (Quilicura)'!$A:$A,0))</f>
        <v>1492.2971924000001</v>
      </c>
      <c r="Q331" s="19" cm="1">
        <f t="array" ref="Q331">H331*_xlfn.IFS(H331&lt;=350,INDEX('Pliegos Tarifarios (Quilicura)'!$F:$F,MATCH($B331,'Pliegos Tarifarios (Quilicura)'!$A:$A,0)),H331&lt;=500,INDEX('Pliegos Tarifarios (Quilicura)'!$G:$G,MATCH($B331,'Pliegos Tarifarios (Quilicura)'!$A:$A,0)),H331&lt;=1000,INDEX('Pliegos Tarifarios (Quilicura)'!$H:$H,MATCH($B331,'Pliegos Tarifarios (Quilicura)'!$A:$A,0)),H331&lt;=5000,INDEX('Pliegos Tarifarios (Quilicura)'!$I:$I,MATCH($B331,'Pliegos Tarifarios (Quilicura)'!$A:$A,0)),H331&gt;5000,INDEX('Pliegos Tarifarios (Quilicura)'!$J:$J,MATCH($B331,'Pliegos Tarifarios (Quilicura)'!$A:$A,0)))/1.19</f>
        <v>76.025402352941185</v>
      </c>
      <c r="R331" s="19">
        <f>INDEX('Pliegos Tarifarios (Quilicura)'!$K:$K,MATCH($B331,'Pliegos Tarifarios (Quilicura)'!$A:$A,0))</f>
        <v>723.32799999999997</v>
      </c>
      <c r="S331" s="21">
        <f t="shared" ref="S331:S394" si="18">SUM(M331:R331)</f>
        <v>21395.375167652943</v>
      </c>
      <c r="T331" s="21">
        <f t="shared" ref="T331:T394" si="19">S331*0.19</f>
        <v>4065.1212818540594</v>
      </c>
      <c r="U331" s="19">
        <v>0</v>
      </c>
      <c r="V331" s="21">
        <f t="shared" ref="V331:V394" si="20">SUM(S331:T331)</f>
        <v>25460.496449507002</v>
      </c>
    </row>
    <row r="332" spans="1:22" x14ac:dyDescent="0.3">
      <c r="A332" s="3" t="s">
        <v>144</v>
      </c>
      <c r="B332" s="3">
        <v>5</v>
      </c>
      <c r="C332" s="4" t="s">
        <v>186</v>
      </c>
      <c r="D332" s="3" t="s">
        <v>235</v>
      </c>
      <c r="E332" s="3" t="s">
        <v>121</v>
      </c>
      <c r="F332" s="4" t="s">
        <v>132</v>
      </c>
      <c r="G332" s="3" t="s">
        <v>30</v>
      </c>
      <c r="H332" s="5">
        <v>115.4581</v>
      </c>
      <c r="I332" s="5">
        <v>0.30990000000000001</v>
      </c>
      <c r="J332" s="5">
        <v>0.30990000000000001</v>
      </c>
      <c r="K332" s="6">
        <v>1</v>
      </c>
      <c r="L332" s="5">
        <v>3.85</v>
      </c>
      <c r="M332" s="19">
        <f>H332*INDEX('Pliegos Tarifarios (Quilicura)'!$B:$B,MATCH($B332,'Pliegos Tarifarios (Quilicura)'!$A:$A,0))</f>
        <v>13720.8096878</v>
      </c>
      <c r="N332" s="19">
        <f>I332*INDEX('Pliegos Tarifarios (Quilicura)'!$C:$C,MATCH($B332,'Pliegos Tarifarios (Quilicura)'!$A:$A,0))</f>
        <v>1053.8059628999999</v>
      </c>
      <c r="O332" s="19">
        <f>J332*INDEX('Pliegos Tarifarios (Quilicura)'!$D:$D,MATCH($B332,'Pliegos Tarifarios (Quilicura)'!$A:$A,0))</f>
        <v>4369.5013686000002</v>
      </c>
      <c r="P332" s="19">
        <f>H332*INDEX('Pliegos Tarifarios (Quilicura)'!$E:$E,MATCH($B332,'Pliegos Tarifarios (Quilicura)'!$A:$A,0))</f>
        <v>1493.1041492000002</v>
      </c>
      <c r="Q332" s="19" cm="1">
        <f t="array" ref="Q332">H332*_xlfn.IFS(H332&lt;=350,INDEX('Pliegos Tarifarios (Quilicura)'!$F:$F,MATCH($B332,'Pliegos Tarifarios (Quilicura)'!$A:$A,0)),H332&lt;=500,INDEX('Pliegos Tarifarios (Quilicura)'!$G:$G,MATCH($B332,'Pliegos Tarifarios (Quilicura)'!$A:$A,0)),H332&lt;=1000,INDEX('Pliegos Tarifarios (Quilicura)'!$H:$H,MATCH($B332,'Pliegos Tarifarios (Quilicura)'!$A:$A,0)),H332&lt;=5000,INDEX('Pliegos Tarifarios (Quilicura)'!$I:$I,MATCH($B332,'Pliegos Tarifarios (Quilicura)'!$A:$A,0)),H332&gt;5000,INDEX('Pliegos Tarifarios (Quilicura)'!$J:$J,MATCH($B332,'Pliegos Tarifarios (Quilicura)'!$A:$A,0)))/1.19</f>
        <v>76.06651294117647</v>
      </c>
      <c r="R332" s="19">
        <f>INDEX('Pliegos Tarifarios (Quilicura)'!$K:$K,MATCH($B332,'Pliegos Tarifarios (Quilicura)'!$A:$A,0))</f>
        <v>723.32799999999997</v>
      </c>
      <c r="S332" s="21">
        <f t="shared" si="18"/>
        <v>21436.615681441177</v>
      </c>
      <c r="T332" s="21">
        <f t="shared" si="19"/>
        <v>4072.9569794738236</v>
      </c>
      <c r="U332" s="19">
        <v>0</v>
      </c>
      <c r="V332" s="21">
        <f t="shared" si="20"/>
        <v>25509.572660915001</v>
      </c>
    </row>
    <row r="333" spans="1:22" x14ac:dyDescent="0.3">
      <c r="A333" s="3" t="s">
        <v>144</v>
      </c>
      <c r="B333" s="3">
        <v>5</v>
      </c>
      <c r="C333" s="4" t="s">
        <v>186</v>
      </c>
      <c r="D333" s="3" t="s">
        <v>236</v>
      </c>
      <c r="E333" s="3" t="s">
        <v>121</v>
      </c>
      <c r="F333" s="4" t="s">
        <v>134</v>
      </c>
      <c r="G333" s="3" t="s">
        <v>30</v>
      </c>
      <c r="H333" s="5">
        <v>115.6331</v>
      </c>
      <c r="I333" s="5">
        <v>0.32079999999999997</v>
      </c>
      <c r="J333" s="5">
        <v>0.3049</v>
      </c>
      <c r="K333" s="6">
        <v>0.95043640897755621</v>
      </c>
      <c r="L333" s="5">
        <v>3.85</v>
      </c>
      <c r="M333" s="19">
        <f>H333*INDEX('Pliegos Tarifarios (Quilicura)'!$B:$B,MATCH($B333,'Pliegos Tarifarios (Quilicura)'!$A:$A,0))</f>
        <v>13741.6063378</v>
      </c>
      <c r="N333" s="19">
        <f>I333*INDEX('Pliegos Tarifarios (Quilicura)'!$C:$C,MATCH($B333,'Pliegos Tarifarios (Quilicura)'!$A:$A,0))</f>
        <v>1090.8710967999998</v>
      </c>
      <c r="O333" s="19">
        <f>J333*INDEX('Pliegos Tarifarios (Quilicura)'!$D:$D,MATCH($B333,'Pliegos Tarifarios (Quilicura)'!$A:$A,0))</f>
        <v>4299.0027986000005</v>
      </c>
      <c r="P333" s="19">
        <f>H333*INDEX('Pliegos Tarifarios (Quilicura)'!$E:$E,MATCH($B333,'Pliegos Tarifarios (Quilicura)'!$A:$A,0))</f>
        <v>1495.3672492000001</v>
      </c>
      <c r="Q333" s="19" cm="1">
        <f t="array" ref="Q333">H333*_xlfn.IFS(H333&lt;=350,INDEX('Pliegos Tarifarios (Quilicura)'!$F:$F,MATCH($B333,'Pliegos Tarifarios (Quilicura)'!$A:$A,0)),H333&lt;=500,INDEX('Pliegos Tarifarios (Quilicura)'!$G:$G,MATCH($B333,'Pliegos Tarifarios (Quilicura)'!$A:$A,0)),H333&lt;=1000,INDEX('Pliegos Tarifarios (Quilicura)'!$H:$H,MATCH($B333,'Pliegos Tarifarios (Quilicura)'!$A:$A,0)),H333&lt;=5000,INDEX('Pliegos Tarifarios (Quilicura)'!$I:$I,MATCH($B333,'Pliegos Tarifarios (Quilicura)'!$A:$A,0)),H333&gt;5000,INDEX('Pliegos Tarifarios (Quilicura)'!$J:$J,MATCH($B333,'Pliegos Tarifarios (Quilicura)'!$A:$A,0)))/1.19</f>
        <v>76.181807058823537</v>
      </c>
      <c r="R333" s="19">
        <f>INDEX('Pliegos Tarifarios (Quilicura)'!$K:$K,MATCH($B333,'Pliegos Tarifarios (Quilicura)'!$A:$A,0))</f>
        <v>723.32799999999997</v>
      </c>
      <c r="S333" s="21">
        <f t="shared" si="18"/>
        <v>21426.357289458825</v>
      </c>
      <c r="T333" s="21">
        <f t="shared" si="19"/>
        <v>4071.0078849971769</v>
      </c>
      <c r="U333" s="19">
        <v>0</v>
      </c>
      <c r="V333" s="21">
        <f t="shared" si="20"/>
        <v>25497.365174456001</v>
      </c>
    </row>
    <row r="334" spans="1:22" x14ac:dyDescent="0.3">
      <c r="A334" s="3" t="s">
        <v>144</v>
      </c>
      <c r="B334" s="3">
        <v>5</v>
      </c>
      <c r="C334" s="4" t="s">
        <v>186</v>
      </c>
      <c r="D334" s="3" t="s">
        <v>237</v>
      </c>
      <c r="E334" s="3" t="s">
        <v>121</v>
      </c>
      <c r="F334" s="4" t="s">
        <v>136</v>
      </c>
      <c r="G334" s="3" t="s">
        <v>30</v>
      </c>
      <c r="H334" s="5">
        <v>115.5872</v>
      </c>
      <c r="I334" s="5">
        <v>0.31469999999999998</v>
      </c>
      <c r="J334" s="5">
        <v>0.30819999999999997</v>
      </c>
      <c r="K334" s="6">
        <v>0.97934540832538919</v>
      </c>
      <c r="L334" s="5">
        <v>3.85</v>
      </c>
      <c r="M334" s="19">
        <f>H334*INDEX('Pliegos Tarifarios (Quilicura)'!$B:$B,MATCH($B334,'Pliegos Tarifarios (Quilicura)'!$A:$A,0))</f>
        <v>13736.151673599999</v>
      </c>
      <c r="N334" s="19">
        <f>I334*INDEX('Pliegos Tarifarios (Quilicura)'!$C:$C,MATCH($B334,'Pliegos Tarifarios (Quilicura)'!$A:$A,0))</f>
        <v>1070.1282237</v>
      </c>
      <c r="O334" s="19">
        <f>J334*INDEX('Pliegos Tarifarios (Quilicura)'!$D:$D,MATCH($B334,'Pliegos Tarifarios (Quilicura)'!$A:$A,0))</f>
        <v>4345.5318547999996</v>
      </c>
      <c r="P334" s="19">
        <f>H334*INDEX('Pliegos Tarifarios (Quilicura)'!$E:$E,MATCH($B334,'Pliegos Tarifarios (Quilicura)'!$A:$A,0))</f>
        <v>1494.7736703999999</v>
      </c>
      <c r="Q334" s="19" cm="1">
        <f t="array" ref="Q334">H334*_xlfn.IFS(H334&lt;=350,INDEX('Pliegos Tarifarios (Quilicura)'!$F:$F,MATCH($B334,'Pliegos Tarifarios (Quilicura)'!$A:$A,0)),H334&lt;=500,INDEX('Pliegos Tarifarios (Quilicura)'!$G:$G,MATCH($B334,'Pliegos Tarifarios (Quilicura)'!$A:$A,0)),H334&lt;=1000,INDEX('Pliegos Tarifarios (Quilicura)'!$H:$H,MATCH($B334,'Pliegos Tarifarios (Quilicura)'!$A:$A,0)),H334&lt;=5000,INDEX('Pliegos Tarifarios (Quilicura)'!$I:$I,MATCH($B334,'Pliegos Tarifarios (Quilicura)'!$A:$A,0)),H334&gt;5000,INDEX('Pliegos Tarifarios (Quilicura)'!$J:$J,MATCH($B334,'Pliegos Tarifarios (Quilicura)'!$A:$A,0)))/1.19</f>
        <v>76.151567058823531</v>
      </c>
      <c r="R334" s="19">
        <f>INDEX('Pliegos Tarifarios (Quilicura)'!$K:$K,MATCH($B334,'Pliegos Tarifarios (Quilicura)'!$A:$A,0))</f>
        <v>723.32799999999997</v>
      </c>
      <c r="S334" s="21">
        <f t="shared" si="18"/>
        <v>21446.064989558825</v>
      </c>
      <c r="T334" s="21">
        <f t="shared" si="19"/>
        <v>4074.7523480161767</v>
      </c>
      <c r="U334" s="19">
        <v>0</v>
      </c>
      <c r="V334" s="21">
        <f t="shared" si="20"/>
        <v>25520.817337575001</v>
      </c>
    </row>
    <row r="335" spans="1:22" x14ac:dyDescent="0.3">
      <c r="A335" s="3" t="s">
        <v>144</v>
      </c>
      <c r="B335" s="3">
        <v>5</v>
      </c>
      <c r="C335" s="4" t="s">
        <v>186</v>
      </c>
      <c r="D335" s="3" t="s">
        <v>238</v>
      </c>
      <c r="E335" s="3" t="s">
        <v>121</v>
      </c>
      <c r="F335" s="4" t="s">
        <v>138</v>
      </c>
      <c r="G335" s="3" t="s">
        <v>30</v>
      </c>
      <c r="H335" s="5">
        <v>115.4409</v>
      </c>
      <c r="I335" s="5">
        <v>0.31530000000000002</v>
      </c>
      <c r="J335" s="5">
        <v>0.31530000000000002</v>
      </c>
      <c r="K335" s="6">
        <v>1</v>
      </c>
      <c r="L335" s="5">
        <v>3.85</v>
      </c>
      <c r="M335" s="19">
        <f>H335*INDEX('Pliegos Tarifarios (Quilicura)'!$B:$B,MATCH($B335,'Pliegos Tarifarios (Quilicura)'!$A:$A,0))</f>
        <v>13718.7656742</v>
      </c>
      <c r="N335" s="19">
        <f>I335*INDEX('Pliegos Tarifarios (Quilicura)'!$C:$C,MATCH($B335,'Pliegos Tarifarios (Quilicura)'!$A:$A,0))</f>
        <v>1072.1685063</v>
      </c>
      <c r="O335" s="19">
        <f>J335*INDEX('Pliegos Tarifarios (Quilicura)'!$D:$D,MATCH($B335,'Pliegos Tarifarios (Quilicura)'!$A:$A,0))</f>
        <v>4445.6398242000005</v>
      </c>
      <c r="P335" s="19">
        <f>H335*INDEX('Pliegos Tarifarios (Quilicura)'!$E:$E,MATCH($B335,'Pliegos Tarifarios (Quilicura)'!$A:$A,0))</f>
        <v>1492.8817188</v>
      </c>
      <c r="Q335" s="19" cm="1">
        <f t="array" ref="Q335">H335*_xlfn.IFS(H335&lt;=350,INDEX('Pliegos Tarifarios (Quilicura)'!$F:$F,MATCH($B335,'Pliegos Tarifarios (Quilicura)'!$A:$A,0)),H335&lt;=500,INDEX('Pliegos Tarifarios (Quilicura)'!$G:$G,MATCH($B335,'Pliegos Tarifarios (Quilicura)'!$A:$A,0)),H335&lt;=1000,INDEX('Pliegos Tarifarios (Quilicura)'!$H:$H,MATCH($B335,'Pliegos Tarifarios (Quilicura)'!$A:$A,0)),H335&lt;=5000,INDEX('Pliegos Tarifarios (Quilicura)'!$I:$I,MATCH($B335,'Pliegos Tarifarios (Quilicura)'!$A:$A,0)),H335&gt;5000,INDEX('Pliegos Tarifarios (Quilicura)'!$J:$J,MATCH($B335,'Pliegos Tarifarios (Quilicura)'!$A:$A,0)))/1.19</f>
        <v>76.055181176470597</v>
      </c>
      <c r="R335" s="19">
        <f>INDEX('Pliegos Tarifarios (Quilicura)'!$K:$K,MATCH($B335,'Pliegos Tarifarios (Quilicura)'!$A:$A,0))</f>
        <v>723.32799999999997</v>
      </c>
      <c r="S335" s="21">
        <f t="shared" si="18"/>
        <v>21528.838904676471</v>
      </c>
      <c r="T335" s="21">
        <f t="shared" si="19"/>
        <v>4090.4793918885298</v>
      </c>
      <c r="U335" s="19">
        <v>0</v>
      </c>
      <c r="V335" s="21">
        <f t="shared" si="20"/>
        <v>25619.318296565001</v>
      </c>
    </row>
    <row r="336" spans="1:22" x14ac:dyDescent="0.3">
      <c r="A336" s="3" t="s">
        <v>144</v>
      </c>
      <c r="B336" s="3">
        <v>5</v>
      </c>
      <c r="C336" s="4" t="s">
        <v>186</v>
      </c>
      <c r="D336" s="3" t="s">
        <v>239</v>
      </c>
      <c r="E336" s="3" t="s">
        <v>121</v>
      </c>
      <c r="F336" s="4" t="s">
        <v>140</v>
      </c>
      <c r="G336" s="3" t="s">
        <v>30</v>
      </c>
      <c r="H336" s="5">
        <v>115.2931</v>
      </c>
      <c r="I336" s="5">
        <v>0.31419999999999998</v>
      </c>
      <c r="J336" s="5">
        <v>0.30730000000000002</v>
      </c>
      <c r="K336" s="6">
        <v>0.97803946530872066</v>
      </c>
      <c r="L336" s="5">
        <v>3.84</v>
      </c>
      <c r="M336" s="19">
        <f>H336*INDEX('Pliegos Tarifarios (Quilicura)'!$B:$B,MATCH($B336,'Pliegos Tarifarios (Quilicura)'!$A:$A,0))</f>
        <v>13701.201417799999</v>
      </c>
      <c r="N336" s="19">
        <f>I336*INDEX('Pliegos Tarifarios (Quilicura)'!$C:$C,MATCH($B336,'Pliegos Tarifarios (Quilicura)'!$A:$A,0))</f>
        <v>1068.4279881999998</v>
      </c>
      <c r="O336" s="19">
        <f>J336*INDEX('Pliegos Tarifarios (Quilicura)'!$D:$D,MATCH($B336,'Pliegos Tarifarios (Quilicura)'!$A:$A,0))</f>
        <v>4332.8421122</v>
      </c>
      <c r="P336" s="19">
        <f>H336*INDEX('Pliegos Tarifarios (Quilicura)'!$E:$E,MATCH($B336,'Pliegos Tarifarios (Quilicura)'!$A:$A,0))</f>
        <v>1490.9703692000001</v>
      </c>
      <c r="Q336" s="19" cm="1">
        <f t="array" ref="Q336">H336*_xlfn.IFS(H336&lt;=350,INDEX('Pliegos Tarifarios (Quilicura)'!$F:$F,MATCH($B336,'Pliegos Tarifarios (Quilicura)'!$A:$A,0)),H336&lt;=500,INDEX('Pliegos Tarifarios (Quilicura)'!$G:$G,MATCH($B336,'Pliegos Tarifarios (Quilicura)'!$A:$A,0)),H336&lt;=1000,INDEX('Pliegos Tarifarios (Quilicura)'!$H:$H,MATCH($B336,'Pliegos Tarifarios (Quilicura)'!$A:$A,0)),H336&lt;=5000,INDEX('Pliegos Tarifarios (Quilicura)'!$I:$I,MATCH($B336,'Pliegos Tarifarios (Quilicura)'!$A:$A,0)),H336&gt;5000,INDEX('Pliegos Tarifarios (Quilicura)'!$J:$J,MATCH($B336,'Pliegos Tarifarios (Quilicura)'!$A:$A,0)))/1.19</f>
        <v>75.957807058823533</v>
      </c>
      <c r="R336" s="19">
        <f>INDEX('Pliegos Tarifarios (Quilicura)'!$K:$K,MATCH($B336,'Pliegos Tarifarios (Quilicura)'!$A:$A,0))</f>
        <v>723.32799999999997</v>
      </c>
      <c r="S336" s="21">
        <f t="shared" si="18"/>
        <v>21392.727694458827</v>
      </c>
      <c r="T336" s="21">
        <f t="shared" si="19"/>
        <v>4064.618261947177</v>
      </c>
      <c r="U336" s="19">
        <v>0</v>
      </c>
      <c r="V336" s="21">
        <f t="shared" si="20"/>
        <v>25457.345956406003</v>
      </c>
    </row>
    <row r="337" spans="1:22" x14ac:dyDescent="0.3">
      <c r="A337" s="3" t="s">
        <v>144</v>
      </c>
      <c r="B337" s="3">
        <v>5</v>
      </c>
      <c r="C337" s="4" t="s">
        <v>186</v>
      </c>
      <c r="D337" s="3" t="s">
        <v>240</v>
      </c>
      <c r="E337" s="3" t="s">
        <v>121</v>
      </c>
      <c r="F337" s="4" t="s">
        <v>241</v>
      </c>
      <c r="G337" s="3" t="s">
        <v>30</v>
      </c>
      <c r="H337" s="5">
        <v>115.273</v>
      </c>
      <c r="I337" s="5">
        <v>0.3049</v>
      </c>
      <c r="J337" s="5">
        <v>0.30080000000000001</v>
      </c>
      <c r="K337" s="6">
        <v>0.98655296818629057</v>
      </c>
      <c r="L337" s="5">
        <v>3.84</v>
      </c>
      <c r="M337" s="19">
        <f>H337*INDEX('Pliegos Tarifarios (Quilicura)'!$B:$B,MATCH($B337,'Pliegos Tarifarios (Quilicura)'!$A:$A,0))</f>
        <v>13698.812773999998</v>
      </c>
      <c r="N337" s="19">
        <f>I337*INDEX('Pliegos Tarifarios (Quilicura)'!$C:$C,MATCH($B337,'Pliegos Tarifarios (Quilicura)'!$A:$A,0))</f>
        <v>1036.8036079000001</v>
      </c>
      <c r="O337" s="19">
        <f>J337*INDEX('Pliegos Tarifarios (Quilicura)'!$D:$D,MATCH($B337,'Pliegos Tarifarios (Quilicura)'!$A:$A,0))</f>
        <v>4241.1939712000003</v>
      </c>
      <c r="P337" s="19">
        <f>H337*INDEX('Pliegos Tarifarios (Quilicura)'!$E:$E,MATCH($B337,'Pliegos Tarifarios (Quilicura)'!$A:$A,0))</f>
        <v>1490.7104360000001</v>
      </c>
      <c r="Q337" s="19" cm="1">
        <f t="array" ref="Q337">H337*_xlfn.IFS(H337&lt;=350,INDEX('Pliegos Tarifarios (Quilicura)'!$F:$F,MATCH($B337,'Pliegos Tarifarios (Quilicura)'!$A:$A,0)),H337&lt;=500,INDEX('Pliegos Tarifarios (Quilicura)'!$G:$G,MATCH($B337,'Pliegos Tarifarios (Quilicura)'!$A:$A,0)),H337&lt;=1000,INDEX('Pliegos Tarifarios (Quilicura)'!$H:$H,MATCH($B337,'Pliegos Tarifarios (Quilicura)'!$A:$A,0)),H337&lt;=5000,INDEX('Pliegos Tarifarios (Quilicura)'!$I:$I,MATCH($B337,'Pliegos Tarifarios (Quilicura)'!$A:$A,0)),H337&gt;5000,INDEX('Pliegos Tarifarios (Quilicura)'!$J:$J,MATCH($B337,'Pliegos Tarifarios (Quilicura)'!$A:$A,0)))/1.19</f>
        <v>75.944564705882357</v>
      </c>
      <c r="R337" s="19">
        <f>INDEX('Pliegos Tarifarios (Quilicura)'!$K:$K,MATCH($B337,'Pliegos Tarifarios (Quilicura)'!$A:$A,0))</f>
        <v>723.32799999999997</v>
      </c>
      <c r="S337" s="21">
        <f t="shared" si="18"/>
        <v>21266.793353805882</v>
      </c>
      <c r="T337" s="21">
        <f t="shared" si="19"/>
        <v>4040.6907372231176</v>
      </c>
      <c r="U337" s="19">
        <v>0</v>
      </c>
      <c r="V337" s="21">
        <f t="shared" si="20"/>
        <v>25307.484091029</v>
      </c>
    </row>
    <row r="338" spans="1:22" x14ac:dyDescent="0.3">
      <c r="A338" s="3" t="s">
        <v>144</v>
      </c>
      <c r="B338" s="3">
        <v>5</v>
      </c>
      <c r="C338" s="4" t="s">
        <v>186</v>
      </c>
      <c r="D338" s="3" t="s">
        <v>242</v>
      </c>
      <c r="E338" s="3" t="s">
        <v>121</v>
      </c>
      <c r="F338" s="4" t="s">
        <v>243</v>
      </c>
      <c r="G338" s="3" t="s">
        <v>30</v>
      </c>
      <c r="H338" s="5">
        <v>115.4405</v>
      </c>
      <c r="I338" s="5">
        <v>0.30719999999999997</v>
      </c>
      <c r="J338" s="5">
        <v>0.30719999999999997</v>
      </c>
      <c r="K338" s="6">
        <v>1</v>
      </c>
      <c r="L338" s="5">
        <v>3.85</v>
      </c>
      <c r="M338" s="19">
        <f>H338*INDEX('Pliegos Tarifarios (Quilicura)'!$B:$B,MATCH($B338,'Pliegos Tarifarios (Quilicura)'!$A:$A,0))</f>
        <v>13718.718138999999</v>
      </c>
      <c r="N338" s="19">
        <f>I338*INDEX('Pliegos Tarifarios (Quilicura)'!$C:$C,MATCH($B338,'Pliegos Tarifarios (Quilicura)'!$A:$A,0))</f>
        <v>1044.6246911999999</v>
      </c>
      <c r="O338" s="19">
        <f>J338*INDEX('Pliegos Tarifarios (Quilicura)'!$D:$D,MATCH($B338,'Pliegos Tarifarios (Quilicura)'!$A:$A,0))</f>
        <v>4331.4321407999996</v>
      </c>
      <c r="P338" s="19">
        <f>H338*INDEX('Pliegos Tarifarios (Quilicura)'!$E:$E,MATCH($B338,'Pliegos Tarifarios (Quilicura)'!$A:$A,0))</f>
        <v>1492.876546</v>
      </c>
      <c r="Q338" s="19" cm="1">
        <f t="array" ref="Q338">H338*_xlfn.IFS(H338&lt;=350,INDEX('Pliegos Tarifarios (Quilicura)'!$F:$F,MATCH($B338,'Pliegos Tarifarios (Quilicura)'!$A:$A,0)),H338&lt;=500,INDEX('Pliegos Tarifarios (Quilicura)'!$G:$G,MATCH($B338,'Pliegos Tarifarios (Quilicura)'!$A:$A,0)),H338&lt;=1000,INDEX('Pliegos Tarifarios (Quilicura)'!$H:$H,MATCH($B338,'Pliegos Tarifarios (Quilicura)'!$A:$A,0)),H338&lt;=5000,INDEX('Pliegos Tarifarios (Quilicura)'!$I:$I,MATCH($B338,'Pliegos Tarifarios (Quilicura)'!$A:$A,0)),H338&gt;5000,INDEX('Pliegos Tarifarios (Quilicura)'!$J:$J,MATCH($B338,'Pliegos Tarifarios (Quilicura)'!$A:$A,0)))/1.19</f>
        <v>76.054917647058829</v>
      </c>
      <c r="R338" s="19">
        <f>INDEX('Pliegos Tarifarios (Quilicura)'!$K:$K,MATCH($B338,'Pliegos Tarifarios (Quilicura)'!$A:$A,0))</f>
        <v>723.32799999999997</v>
      </c>
      <c r="S338" s="21">
        <f t="shared" si="18"/>
        <v>21387.034434647059</v>
      </c>
      <c r="T338" s="21">
        <f t="shared" si="19"/>
        <v>4063.5365425829414</v>
      </c>
      <c r="U338" s="19">
        <v>0</v>
      </c>
      <c r="V338" s="21">
        <f t="shared" si="20"/>
        <v>25450.57097723</v>
      </c>
    </row>
    <row r="339" spans="1:22" x14ac:dyDescent="0.3">
      <c r="A339" s="3" t="s">
        <v>144</v>
      </c>
      <c r="B339" s="3">
        <v>5</v>
      </c>
      <c r="C339" s="4" t="s">
        <v>186</v>
      </c>
      <c r="D339" s="3" t="s">
        <v>244</v>
      </c>
      <c r="E339" s="3" t="s">
        <v>121</v>
      </c>
      <c r="F339" s="4" t="s">
        <v>245</v>
      </c>
      <c r="G339" s="3" t="s">
        <v>30</v>
      </c>
      <c r="H339" s="5">
        <v>115.208</v>
      </c>
      <c r="I339" s="5">
        <v>0.30869999999999997</v>
      </c>
      <c r="J339" s="5">
        <v>0.30530000000000002</v>
      </c>
      <c r="K339" s="6">
        <v>0.98898607061872379</v>
      </c>
      <c r="L339" s="5">
        <v>3.84</v>
      </c>
      <c r="M339" s="19">
        <f>H339*INDEX('Pliegos Tarifarios (Quilicura)'!$B:$B,MATCH($B339,'Pliegos Tarifarios (Quilicura)'!$A:$A,0))</f>
        <v>13691.088303999999</v>
      </c>
      <c r="N339" s="19">
        <f>I339*INDEX('Pliegos Tarifarios (Quilicura)'!$C:$C,MATCH($B339,'Pliegos Tarifarios (Quilicura)'!$A:$A,0))</f>
        <v>1049.7253976999998</v>
      </c>
      <c r="O339" s="19">
        <f>J339*INDEX('Pliegos Tarifarios (Quilicura)'!$D:$D,MATCH($B339,'Pliegos Tarifarios (Quilicura)'!$A:$A,0))</f>
        <v>4304.6426842000001</v>
      </c>
      <c r="P339" s="19">
        <f>H339*INDEX('Pliegos Tarifarios (Quilicura)'!$E:$E,MATCH($B339,'Pliegos Tarifarios (Quilicura)'!$A:$A,0))</f>
        <v>1489.869856</v>
      </c>
      <c r="Q339" s="19" cm="1">
        <f t="array" ref="Q339">H339*_xlfn.IFS(H339&lt;=350,INDEX('Pliegos Tarifarios (Quilicura)'!$F:$F,MATCH($B339,'Pliegos Tarifarios (Quilicura)'!$A:$A,0)),H339&lt;=500,INDEX('Pliegos Tarifarios (Quilicura)'!$G:$G,MATCH($B339,'Pliegos Tarifarios (Quilicura)'!$A:$A,0)),H339&lt;=1000,INDEX('Pliegos Tarifarios (Quilicura)'!$H:$H,MATCH($B339,'Pliegos Tarifarios (Quilicura)'!$A:$A,0)),H339&lt;=5000,INDEX('Pliegos Tarifarios (Quilicura)'!$I:$I,MATCH($B339,'Pliegos Tarifarios (Quilicura)'!$A:$A,0)),H339&gt;5000,INDEX('Pliegos Tarifarios (Quilicura)'!$J:$J,MATCH($B339,'Pliegos Tarifarios (Quilicura)'!$A:$A,0)))/1.19</f>
        <v>75.901741176470594</v>
      </c>
      <c r="R339" s="19">
        <f>INDEX('Pliegos Tarifarios (Quilicura)'!$K:$K,MATCH($B339,'Pliegos Tarifarios (Quilicura)'!$A:$A,0))</f>
        <v>723.32799999999997</v>
      </c>
      <c r="S339" s="21">
        <f t="shared" si="18"/>
        <v>21334.555983076469</v>
      </c>
      <c r="T339" s="21">
        <f t="shared" si="19"/>
        <v>4053.565636784529</v>
      </c>
      <c r="U339" s="19">
        <v>0</v>
      </c>
      <c r="V339" s="21">
        <f t="shared" si="20"/>
        <v>25388.121619860998</v>
      </c>
    </row>
    <row r="340" spans="1:22" x14ac:dyDescent="0.3">
      <c r="A340" s="3" t="s">
        <v>144</v>
      </c>
      <c r="B340" s="3">
        <v>5</v>
      </c>
      <c r="C340" s="4" t="s">
        <v>186</v>
      </c>
      <c r="D340" s="3" t="s">
        <v>246</v>
      </c>
      <c r="E340" s="3" t="s">
        <v>121</v>
      </c>
      <c r="F340" s="4" t="s">
        <v>247</v>
      </c>
      <c r="G340" s="3" t="s">
        <v>30</v>
      </c>
      <c r="H340" s="5">
        <v>115.3981</v>
      </c>
      <c r="I340" s="5">
        <v>0.31069999999999998</v>
      </c>
      <c r="J340" s="5">
        <v>0.31069999999999998</v>
      </c>
      <c r="K340" s="6">
        <v>1</v>
      </c>
      <c r="L340" s="5">
        <v>3.85</v>
      </c>
      <c r="M340" s="19">
        <f>H340*INDEX('Pliegos Tarifarios (Quilicura)'!$B:$B,MATCH($B340,'Pliegos Tarifarios (Quilicura)'!$A:$A,0))</f>
        <v>13713.679407799998</v>
      </c>
      <c r="N340" s="19">
        <f>I340*INDEX('Pliegos Tarifarios (Quilicura)'!$C:$C,MATCH($B340,'Pliegos Tarifarios (Quilicura)'!$A:$A,0))</f>
        <v>1056.5263396999999</v>
      </c>
      <c r="O340" s="19">
        <f>J340*INDEX('Pliegos Tarifarios (Quilicura)'!$D:$D,MATCH($B340,'Pliegos Tarifarios (Quilicura)'!$A:$A,0))</f>
        <v>4380.7811397999994</v>
      </c>
      <c r="P340" s="19">
        <f>H340*INDEX('Pliegos Tarifarios (Quilicura)'!$E:$E,MATCH($B340,'Pliegos Tarifarios (Quilicura)'!$A:$A,0))</f>
        <v>1492.3282292000001</v>
      </c>
      <c r="Q340" s="19" cm="1">
        <f t="array" ref="Q340">H340*_xlfn.IFS(H340&lt;=350,INDEX('Pliegos Tarifarios (Quilicura)'!$F:$F,MATCH($B340,'Pliegos Tarifarios (Quilicura)'!$A:$A,0)),H340&lt;=500,INDEX('Pliegos Tarifarios (Quilicura)'!$G:$G,MATCH($B340,'Pliegos Tarifarios (Quilicura)'!$A:$A,0)),H340&lt;=1000,INDEX('Pliegos Tarifarios (Quilicura)'!$H:$H,MATCH($B340,'Pliegos Tarifarios (Quilicura)'!$A:$A,0)),H340&lt;=5000,INDEX('Pliegos Tarifarios (Quilicura)'!$I:$I,MATCH($B340,'Pliegos Tarifarios (Quilicura)'!$A:$A,0)),H340&gt;5000,INDEX('Pliegos Tarifarios (Quilicura)'!$J:$J,MATCH($B340,'Pliegos Tarifarios (Quilicura)'!$A:$A,0)))/1.19</f>
        <v>76.02698352941178</v>
      </c>
      <c r="R340" s="19">
        <f>INDEX('Pliegos Tarifarios (Quilicura)'!$K:$K,MATCH($B340,'Pliegos Tarifarios (Quilicura)'!$A:$A,0))</f>
        <v>723.32799999999997</v>
      </c>
      <c r="S340" s="21">
        <f t="shared" si="18"/>
        <v>21442.670100029412</v>
      </c>
      <c r="T340" s="21">
        <f t="shared" si="19"/>
        <v>4074.1073190055886</v>
      </c>
      <c r="U340" s="19">
        <v>0</v>
      </c>
      <c r="V340" s="21">
        <f t="shared" si="20"/>
        <v>25516.777419035003</v>
      </c>
    </row>
    <row r="341" spans="1:22" x14ac:dyDescent="0.3">
      <c r="A341" s="3" t="s">
        <v>144</v>
      </c>
      <c r="B341" s="3">
        <v>5</v>
      </c>
      <c r="C341" s="4" t="s">
        <v>186</v>
      </c>
      <c r="D341" s="3" t="s">
        <v>248</v>
      </c>
      <c r="E341" s="3" t="s">
        <v>121</v>
      </c>
      <c r="F341" s="4" t="s">
        <v>249</v>
      </c>
      <c r="G341" s="3" t="s">
        <v>30</v>
      </c>
      <c r="H341" s="5">
        <v>115.449</v>
      </c>
      <c r="I341" s="5">
        <v>0.30790000000000001</v>
      </c>
      <c r="J341" s="5">
        <v>0.3054</v>
      </c>
      <c r="K341" s="6">
        <v>0.99188048067554402</v>
      </c>
      <c r="L341" s="5">
        <v>3.85</v>
      </c>
      <c r="M341" s="19">
        <f>H341*INDEX('Pliegos Tarifarios (Quilicura)'!$B:$B,MATCH($B341,'Pliegos Tarifarios (Quilicura)'!$A:$A,0))</f>
        <v>13719.728261999999</v>
      </c>
      <c r="N341" s="19">
        <f>I341*INDEX('Pliegos Tarifarios (Quilicura)'!$C:$C,MATCH($B341,'Pliegos Tarifarios (Quilicura)'!$A:$A,0))</f>
        <v>1047.0050209000001</v>
      </c>
      <c r="O341" s="19">
        <f>J341*INDEX('Pliegos Tarifarios (Quilicura)'!$D:$D,MATCH($B341,'Pliegos Tarifarios (Quilicura)'!$A:$A,0))</f>
        <v>4306.0526556000004</v>
      </c>
      <c r="P341" s="19">
        <f>H341*INDEX('Pliegos Tarifarios (Quilicura)'!$E:$E,MATCH($B341,'Pliegos Tarifarios (Quilicura)'!$A:$A,0))</f>
        <v>1492.9864680000001</v>
      </c>
      <c r="Q341" s="19" cm="1">
        <f t="array" ref="Q341">H341*_xlfn.IFS(H341&lt;=350,INDEX('Pliegos Tarifarios (Quilicura)'!$F:$F,MATCH($B341,'Pliegos Tarifarios (Quilicura)'!$A:$A,0)),H341&lt;=500,INDEX('Pliegos Tarifarios (Quilicura)'!$G:$G,MATCH($B341,'Pliegos Tarifarios (Quilicura)'!$A:$A,0)),H341&lt;=1000,INDEX('Pliegos Tarifarios (Quilicura)'!$H:$H,MATCH($B341,'Pliegos Tarifarios (Quilicura)'!$A:$A,0)),H341&lt;=5000,INDEX('Pliegos Tarifarios (Quilicura)'!$I:$I,MATCH($B341,'Pliegos Tarifarios (Quilicura)'!$A:$A,0)),H341&gt;5000,INDEX('Pliegos Tarifarios (Quilicura)'!$J:$J,MATCH($B341,'Pliegos Tarifarios (Quilicura)'!$A:$A,0)))/1.19</f>
        <v>76.06051764705883</v>
      </c>
      <c r="R341" s="19">
        <f>INDEX('Pliegos Tarifarios (Quilicura)'!$K:$K,MATCH($B341,'Pliegos Tarifarios (Quilicura)'!$A:$A,0))</f>
        <v>723.32799999999997</v>
      </c>
      <c r="S341" s="21">
        <f t="shared" si="18"/>
        <v>21365.160924147058</v>
      </c>
      <c r="T341" s="21">
        <f t="shared" si="19"/>
        <v>4059.3805755879412</v>
      </c>
      <c r="U341" s="19">
        <v>0</v>
      </c>
      <c r="V341" s="21">
        <f t="shared" si="20"/>
        <v>25424.541499734998</v>
      </c>
    </row>
    <row r="342" spans="1:22" x14ac:dyDescent="0.3">
      <c r="A342" s="3" t="s">
        <v>144</v>
      </c>
      <c r="B342" s="3">
        <v>5</v>
      </c>
      <c r="C342" s="4" t="s">
        <v>186</v>
      </c>
      <c r="D342" s="3" t="s">
        <v>250</v>
      </c>
      <c r="E342" s="3" t="s">
        <v>121</v>
      </c>
      <c r="F342" s="4" t="s">
        <v>251</v>
      </c>
      <c r="G342" s="3" t="s">
        <v>30</v>
      </c>
      <c r="H342" s="5">
        <v>115.6174</v>
      </c>
      <c r="I342" s="5">
        <v>0.31169999999999998</v>
      </c>
      <c r="J342" s="5">
        <v>0.31169999999999998</v>
      </c>
      <c r="K342" s="6">
        <v>1</v>
      </c>
      <c r="L342" s="5">
        <v>3.85</v>
      </c>
      <c r="M342" s="19">
        <f>H342*INDEX('Pliegos Tarifarios (Quilicura)'!$B:$B,MATCH($B342,'Pliegos Tarifarios (Quilicura)'!$A:$A,0))</f>
        <v>13739.7405812</v>
      </c>
      <c r="N342" s="19">
        <f>I342*INDEX('Pliegos Tarifarios (Quilicura)'!$C:$C,MATCH($B342,'Pliegos Tarifarios (Quilicura)'!$A:$A,0))</f>
        <v>1059.9268107</v>
      </c>
      <c r="O342" s="19">
        <f>J342*INDEX('Pliegos Tarifarios (Quilicura)'!$D:$D,MATCH($B342,'Pliegos Tarifarios (Quilicura)'!$A:$A,0))</f>
        <v>4394.8808537999994</v>
      </c>
      <c r="P342" s="19">
        <f>H342*INDEX('Pliegos Tarifarios (Quilicura)'!$E:$E,MATCH($B342,'Pliegos Tarifarios (Quilicura)'!$A:$A,0))</f>
        <v>1495.1642168000001</v>
      </c>
      <c r="Q342" s="19" cm="1">
        <f t="array" ref="Q342">H342*_xlfn.IFS(H342&lt;=350,INDEX('Pliegos Tarifarios (Quilicura)'!$F:$F,MATCH($B342,'Pliegos Tarifarios (Quilicura)'!$A:$A,0)),H342&lt;=500,INDEX('Pliegos Tarifarios (Quilicura)'!$G:$G,MATCH($B342,'Pliegos Tarifarios (Quilicura)'!$A:$A,0)),H342&lt;=1000,INDEX('Pliegos Tarifarios (Quilicura)'!$H:$H,MATCH($B342,'Pliegos Tarifarios (Quilicura)'!$A:$A,0)),H342&lt;=5000,INDEX('Pliegos Tarifarios (Quilicura)'!$I:$I,MATCH($B342,'Pliegos Tarifarios (Quilicura)'!$A:$A,0)),H342&gt;5000,INDEX('Pliegos Tarifarios (Quilicura)'!$J:$J,MATCH($B342,'Pliegos Tarifarios (Quilicura)'!$A:$A,0)))/1.19</f>
        <v>76.171463529411781</v>
      </c>
      <c r="R342" s="19">
        <f>INDEX('Pliegos Tarifarios (Quilicura)'!$K:$K,MATCH($B342,'Pliegos Tarifarios (Quilicura)'!$A:$A,0))</f>
        <v>723.32799999999997</v>
      </c>
      <c r="S342" s="21">
        <f t="shared" si="18"/>
        <v>21489.211926029413</v>
      </c>
      <c r="T342" s="21">
        <f t="shared" si="19"/>
        <v>4082.9502659455884</v>
      </c>
      <c r="U342" s="19">
        <v>0</v>
      </c>
      <c r="V342" s="21">
        <f t="shared" si="20"/>
        <v>25572.162191975003</v>
      </c>
    </row>
    <row r="343" spans="1:22" x14ac:dyDescent="0.3">
      <c r="A343" s="3" t="s">
        <v>144</v>
      </c>
      <c r="B343" s="3">
        <v>5</v>
      </c>
      <c r="C343" s="4" t="s">
        <v>186</v>
      </c>
      <c r="D343" s="3" t="s">
        <v>252</v>
      </c>
      <c r="E343" s="3" t="s">
        <v>121</v>
      </c>
      <c r="F343" s="4" t="s">
        <v>253</v>
      </c>
      <c r="G343" s="3" t="s">
        <v>30</v>
      </c>
      <c r="H343" s="5">
        <v>115.3972</v>
      </c>
      <c r="I343" s="5">
        <v>0.31130000000000002</v>
      </c>
      <c r="J343" s="5">
        <v>0.31130000000000002</v>
      </c>
      <c r="K343" s="6">
        <v>1</v>
      </c>
      <c r="L343" s="5">
        <v>3.85</v>
      </c>
      <c r="M343" s="19">
        <f>H343*INDEX('Pliegos Tarifarios (Quilicura)'!$B:$B,MATCH($B343,'Pliegos Tarifarios (Quilicura)'!$A:$A,0))</f>
        <v>13713.5724536</v>
      </c>
      <c r="N343" s="19">
        <f>I343*INDEX('Pliegos Tarifarios (Quilicura)'!$C:$C,MATCH($B343,'Pliegos Tarifarios (Quilicura)'!$A:$A,0))</f>
        <v>1058.5666223000001</v>
      </c>
      <c r="O343" s="19">
        <f>J343*INDEX('Pliegos Tarifarios (Quilicura)'!$D:$D,MATCH($B343,'Pliegos Tarifarios (Quilicura)'!$A:$A,0))</f>
        <v>4389.2409682000007</v>
      </c>
      <c r="P343" s="19">
        <f>H343*INDEX('Pliegos Tarifarios (Quilicura)'!$E:$E,MATCH($B343,'Pliegos Tarifarios (Quilicura)'!$A:$A,0))</f>
        <v>1492.3165904</v>
      </c>
      <c r="Q343" s="19" cm="1">
        <f t="array" ref="Q343">H343*_xlfn.IFS(H343&lt;=350,INDEX('Pliegos Tarifarios (Quilicura)'!$F:$F,MATCH($B343,'Pliegos Tarifarios (Quilicura)'!$A:$A,0)),H343&lt;=500,INDEX('Pliegos Tarifarios (Quilicura)'!$G:$G,MATCH($B343,'Pliegos Tarifarios (Quilicura)'!$A:$A,0)),H343&lt;=1000,INDEX('Pliegos Tarifarios (Quilicura)'!$H:$H,MATCH($B343,'Pliegos Tarifarios (Quilicura)'!$A:$A,0)),H343&lt;=5000,INDEX('Pliegos Tarifarios (Quilicura)'!$I:$I,MATCH($B343,'Pliegos Tarifarios (Quilicura)'!$A:$A,0)),H343&gt;5000,INDEX('Pliegos Tarifarios (Quilicura)'!$J:$J,MATCH($B343,'Pliegos Tarifarios (Quilicura)'!$A:$A,0)))/1.19</f>
        <v>76.026390588235301</v>
      </c>
      <c r="R343" s="19">
        <f>INDEX('Pliegos Tarifarios (Quilicura)'!$K:$K,MATCH($B343,'Pliegos Tarifarios (Quilicura)'!$A:$A,0))</f>
        <v>723.32799999999997</v>
      </c>
      <c r="S343" s="21">
        <f t="shared" si="18"/>
        <v>21453.05102508824</v>
      </c>
      <c r="T343" s="21">
        <f t="shared" si="19"/>
        <v>4076.0796947667654</v>
      </c>
      <c r="U343" s="19">
        <v>0</v>
      </c>
      <c r="V343" s="21">
        <f t="shared" si="20"/>
        <v>25529.130719855006</v>
      </c>
    </row>
    <row r="344" spans="1:22" x14ac:dyDescent="0.3">
      <c r="A344" s="3" t="s">
        <v>144</v>
      </c>
      <c r="B344" s="3">
        <v>5</v>
      </c>
      <c r="C344" s="4" t="s">
        <v>186</v>
      </c>
      <c r="D344" s="3" t="s">
        <v>254</v>
      </c>
      <c r="E344" s="3" t="s">
        <v>121</v>
      </c>
      <c r="F344" s="4" t="s">
        <v>255</v>
      </c>
      <c r="G344" s="3" t="s">
        <v>30</v>
      </c>
      <c r="H344" s="5">
        <v>115.5363</v>
      </c>
      <c r="I344" s="5">
        <v>0.32050000000000001</v>
      </c>
      <c r="J344" s="5">
        <v>0.31380000000000002</v>
      </c>
      <c r="K344" s="6">
        <v>0.97909516380655226</v>
      </c>
      <c r="L344" s="5">
        <v>3.85</v>
      </c>
      <c r="M344" s="19">
        <f>H344*INDEX('Pliegos Tarifarios (Quilicura)'!$B:$B,MATCH($B344,'Pliegos Tarifarios (Quilicura)'!$A:$A,0))</f>
        <v>13730.102819399999</v>
      </c>
      <c r="N344" s="19">
        <f>I344*INDEX('Pliegos Tarifarios (Quilicura)'!$C:$C,MATCH($B344,'Pliegos Tarifarios (Quilicura)'!$A:$A,0))</f>
        <v>1089.8509555000001</v>
      </c>
      <c r="O344" s="19">
        <f>J344*INDEX('Pliegos Tarifarios (Quilicura)'!$D:$D,MATCH($B344,'Pliegos Tarifarios (Quilicura)'!$A:$A,0))</f>
        <v>4424.4902532000006</v>
      </c>
      <c r="P344" s="19">
        <f>H344*INDEX('Pliegos Tarifarios (Quilicura)'!$E:$E,MATCH($B344,'Pliegos Tarifarios (Quilicura)'!$A:$A,0))</f>
        <v>1494.1154316</v>
      </c>
      <c r="Q344" s="19" cm="1">
        <f t="array" ref="Q344">H344*_xlfn.IFS(H344&lt;=350,INDEX('Pliegos Tarifarios (Quilicura)'!$F:$F,MATCH($B344,'Pliegos Tarifarios (Quilicura)'!$A:$A,0)),H344&lt;=500,INDEX('Pliegos Tarifarios (Quilicura)'!$G:$G,MATCH($B344,'Pliegos Tarifarios (Quilicura)'!$A:$A,0)),H344&lt;=1000,INDEX('Pliegos Tarifarios (Quilicura)'!$H:$H,MATCH($B344,'Pliegos Tarifarios (Quilicura)'!$A:$A,0)),H344&lt;=5000,INDEX('Pliegos Tarifarios (Quilicura)'!$I:$I,MATCH($B344,'Pliegos Tarifarios (Quilicura)'!$A:$A,0)),H344&gt;5000,INDEX('Pliegos Tarifarios (Quilicura)'!$J:$J,MATCH($B344,'Pliegos Tarifarios (Quilicura)'!$A:$A,0)))/1.19</f>
        <v>76.11803294117648</v>
      </c>
      <c r="R344" s="19">
        <f>INDEX('Pliegos Tarifarios (Quilicura)'!$K:$K,MATCH($B344,'Pliegos Tarifarios (Quilicura)'!$A:$A,0))</f>
        <v>723.32799999999997</v>
      </c>
      <c r="S344" s="21">
        <f t="shared" si="18"/>
        <v>21538.005492641176</v>
      </c>
      <c r="T344" s="21">
        <f t="shared" si="19"/>
        <v>4092.2210436018236</v>
      </c>
      <c r="U344" s="19">
        <v>0</v>
      </c>
      <c r="V344" s="21">
        <f t="shared" si="20"/>
        <v>25630.226536243001</v>
      </c>
    </row>
    <row r="345" spans="1:22" x14ac:dyDescent="0.3">
      <c r="A345" s="3" t="s">
        <v>144</v>
      </c>
      <c r="B345" s="3">
        <v>5</v>
      </c>
      <c r="C345" s="4" t="s">
        <v>186</v>
      </c>
      <c r="D345" s="3" t="s">
        <v>256</v>
      </c>
      <c r="E345" s="3" t="s">
        <v>121</v>
      </c>
      <c r="F345" s="4" t="s">
        <v>257</v>
      </c>
      <c r="G345" s="3" t="s">
        <v>30</v>
      </c>
      <c r="H345" s="5">
        <v>115.479</v>
      </c>
      <c r="I345" s="5">
        <v>0.31669999999999998</v>
      </c>
      <c r="J345" s="5">
        <v>0.307</v>
      </c>
      <c r="K345" s="6">
        <v>0.96937164508999052</v>
      </c>
      <c r="L345" s="5">
        <v>3.85</v>
      </c>
      <c r="M345" s="19">
        <f>H345*INDEX('Pliegos Tarifarios (Quilicura)'!$B:$B,MATCH($B345,'Pliegos Tarifarios (Quilicura)'!$A:$A,0))</f>
        <v>13723.293401999999</v>
      </c>
      <c r="N345" s="19">
        <f>I345*INDEX('Pliegos Tarifarios (Quilicura)'!$C:$C,MATCH($B345,'Pliegos Tarifarios (Quilicura)'!$A:$A,0))</f>
        <v>1076.9291656999999</v>
      </c>
      <c r="O345" s="19">
        <f>J345*INDEX('Pliegos Tarifarios (Quilicura)'!$D:$D,MATCH($B345,'Pliegos Tarifarios (Quilicura)'!$A:$A,0))</f>
        <v>4328.6121979999998</v>
      </c>
      <c r="P345" s="19">
        <f>H345*INDEX('Pliegos Tarifarios (Quilicura)'!$E:$E,MATCH($B345,'Pliegos Tarifarios (Quilicura)'!$A:$A,0))</f>
        <v>1493.3744280000001</v>
      </c>
      <c r="Q345" s="19" cm="1">
        <f t="array" ref="Q345">H345*_xlfn.IFS(H345&lt;=350,INDEX('Pliegos Tarifarios (Quilicura)'!$F:$F,MATCH($B345,'Pliegos Tarifarios (Quilicura)'!$A:$A,0)),H345&lt;=500,INDEX('Pliegos Tarifarios (Quilicura)'!$G:$G,MATCH($B345,'Pliegos Tarifarios (Quilicura)'!$A:$A,0)),H345&lt;=1000,INDEX('Pliegos Tarifarios (Quilicura)'!$H:$H,MATCH($B345,'Pliegos Tarifarios (Quilicura)'!$A:$A,0)),H345&lt;=5000,INDEX('Pliegos Tarifarios (Quilicura)'!$I:$I,MATCH($B345,'Pliegos Tarifarios (Quilicura)'!$A:$A,0)),H345&gt;5000,INDEX('Pliegos Tarifarios (Quilicura)'!$J:$J,MATCH($B345,'Pliegos Tarifarios (Quilicura)'!$A:$A,0)))/1.19</f>
        <v>76.080282352941182</v>
      </c>
      <c r="R345" s="19">
        <f>INDEX('Pliegos Tarifarios (Quilicura)'!$K:$K,MATCH($B345,'Pliegos Tarifarios (Quilicura)'!$A:$A,0))</f>
        <v>723.32799999999997</v>
      </c>
      <c r="S345" s="21">
        <f t="shared" si="18"/>
        <v>21421.617476052939</v>
      </c>
      <c r="T345" s="21">
        <f t="shared" si="19"/>
        <v>4070.1073204500585</v>
      </c>
      <c r="U345" s="19">
        <v>0</v>
      </c>
      <c r="V345" s="21">
        <f t="shared" si="20"/>
        <v>25491.724796502996</v>
      </c>
    </row>
    <row r="346" spans="1:22" x14ac:dyDescent="0.3">
      <c r="A346" s="3" t="s">
        <v>144</v>
      </c>
      <c r="B346" s="3">
        <v>5</v>
      </c>
      <c r="C346" s="4" t="s">
        <v>186</v>
      </c>
      <c r="D346" s="3" t="s">
        <v>258</v>
      </c>
      <c r="E346" s="3" t="s">
        <v>121</v>
      </c>
      <c r="F346" s="4" t="s">
        <v>259</v>
      </c>
      <c r="G346" s="3" t="s">
        <v>30</v>
      </c>
      <c r="H346" s="5">
        <v>115.66500000000001</v>
      </c>
      <c r="I346" s="5">
        <v>0.31059999999999999</v>
      </c>
      <c r="J346" s="5">
        <v>0.30180000000000001</v>
      </c>
      <c r="K346" s="6">
        <v>0.97166773985833876</v>
      </c>
      <c r="L346" s="5">
        <v>3.86</v>
      </c>
      <c r="M346" s="19">
        <f>H346*INDEX('Pliegos Tarifarios (Quilicura)'!$B:$B,MATCH($B346,'Pliegos Tarifarios (Quilicura)'!$A:$A,0))</f>
        <v>13745.397269999999</v>
      </c>
      <c r="N346" s="19">
        <f>I346*INDEX('Pliegos Tarifarios (Quilicura)'!$C:$C,MATCH($B346,'Pliegos Tarifarios (Quilicura)'!$A:$A,0))</f>
        <v>1056.1862925999999</v>
      </c>
      <c r="O346" s="19">
        <f>J346*INDEX('Pliegos Tarifarios (Quilicura)'!$D:$D,MATCH($B346,'Pliegos Tarifarios (Quilicura)'!$A:$A,0))</f>
        <v>4255.2936852000003</v>
      </c>
      <c r="P346" s="19">
        <f>H346*INDEX('Pliegos Tarifarios (Quilicura)'!$E:$E,MATCH($B346,'Pliegos Tarifarios (Quilicura)'!$A:$A,0))</f>
        <v>1495.7797800000001</v>
      </c>
      <c r="Q346" s="19" cm="1">
        <f t="array" ref="Q346">H346*_xlfn.IFS(H346&lt;=350,INDEX('Pliegos Tarifarios (Quilicura)'!$F:$F,MATCH($B346,'Pliegos Tarifarios (Quilicura)'!$A:$A,0)),H346&lt;=500,INDEX('Pliegos Tarifarios (Quilicura)'!$G:$G,MATCH($B346,'Pliegos Tarifarios (Quilicura)'!$A:$A,0)),H346&lt;=1000,INDEX('Pliegos Tarifarios (Quilicura)'!$H:$H,MATCH($B346,'Pliegos Tarifarios (Quilicura)'!$A:$A,0)),H346&lt;=5000,INDEX('Pliegos Tarifarios (Quilicura)'!$I:$I,MATCH($B346,'Pliegos Tarifarios (Quilicura)'!$A:$A,0)),H346&gt;5000,INDEX('Pliegos Tarifarios (Quilicura)'!$J:$J,MATCH($B346,'Pliegos Tarifarios (Quilicura)'!$A:$A,0)))/1.19</f>
        <v>76.202823529411774</v>
      </c>
      <c r="R346" s="19">
        <f>INDEX('Pliegos Tarifarios (Quilicura)'!$K:$K,MATCH($B346,'Pliegos Tarifarios (Quilicura)'!$A:$A,0))</f>
        <v>723.32799999999997</v>
      </c>
      <c r="S346" s="21">
        <f t="shared" si="18"/>
        <v>21352.187851329414</v>
      </c>
      <c r="T346" s="21">
        <f t="shared" si="19"/>
        <v>4056.9156917525888</v>
      </c>
      <c r="U346" s="19">
        <v>0</v>
      </c>
      <c r="V346" s="21">
        <f t="shared" si="20"/>
        <v>25409.103543082005</v>
      </c>
    </row>
    <row r="347" spans="1:22" x14ac:dyDescent="0.3">
      <c r="A347" s="3" t="s">
        <v>144</v>
      </c>
      <c r="B347" s="3">
        <v>5</v>
      </c>
      <c r="C347" s="4" t="s">
        <v>186</v>
      </c>
      <c r="D347" s="3" t="s">
        <v>260</v>
      </c>
      <c r="E347" s="3" t="s">
        <v>121</v>
      </c>
      <c r="F347" s="4" t="s">
        <v>261</v>
      </c>
      <c r="G347" s="3" t="s">
        <v>16</v>
      </c>
      <c r="H347" s="5">
        <v>947.54549999999995</v>
      </c>
      <c r="I347" s="5">
        <v>2.5617000000000001</v>
      </c>
      <c r="J347" s="5">
        <v>2.4727999999999999</v>
      </c>
      <c r="K347" s="6">
        <v>0.96529648280438762</v>
      </c>
      <c r="L347" s="5">
        <v>31.58</v>
      </c>
      <c r="M347" s="19">
        <f>H347*INDEX('Pliegos Tarifarios (Quilicura)'!$B:$B,MATCH($B347,'Pliegos Tarifarios (Quilicura)'!$A:$A,0))</f>
        <v>112604.41212899999</v>
      </c>
      <c r="N347" s="19">
        <f>I347*INDEX('Pliegos Tarifarios (Quilicura)'!$C:$C,MATCH($B347,'Pliegos Tarifarios (Quilicura)'!$A:$A,0))</f>
        <v>8710.9865607000011</v>
      </c>
      <c r="O347" s="19">
        <f>J347*INDEX('Pliegos Tarifarios (Quilicura)'!$D:$D,MATCH($B347,'Pliegos Tarifarios (Quilicura)'!$A:$A,0))</f>
        <v>34865.772779200001</v>
      </c>
      <c r="P347" s="19">
        <f>H347*INDEX('Pliegos Tarifarios (Quilicura)'!$E:$E,MATCH($B347,'Pliegos Tarifarios (Quilicura)'!$A:$A,0))</f>
        <v>12253.658406</v>
      </c>
      <c r="Q347" s="19" cm="1">
        <f t="array" ref="Q347">H347*_xlfn.IFS(H347&lt;=350,INDEX('Pliegos Tarifarios (Quilicura)'!$F:$F,MATCH($B347,'Pliegos Tarifarios (Quilicura)'!$A:$A,0)),H347&lt;=500,INDEX('Pliegos Tarifarios (Quilicura)'!$G:$G,MATCH($B347,'Pliegos Tarifarios (Quilicura)'!$A:$A,0)),H347&lt;=1000,INDEX('Pliegos Tarifarios (Quilicura)'!$H:$H,MATCH($B347,'Pliegos Tarifarios (Quilicura)'!$A:$A,0)),H347&lt;=5000,INDEX('Pliegos Tarifarios (Quilicura)'!$I:$I,MATCH($B347,'Pliegos Tarifarios (Quilicura)'!$A:$A,0)),H347&gt;5000,INDEX('Pliegos Tarifarios (Quilicura)'!$J:$J,MATCH($B347,'Pliegos Tarifarios (Quilicura)'!$A:$A,0)))/1.19</f>
        <v>2222.3525130252106</v>
      </c>
      <c r="R347" s="19">
        <f>INDEX('Pliegos Tarifarios (Quilicura)'!$K:$K,MATCH($B347,'Pliegos Tarifarios (Quilicura)'!$A:$A,0))</f>
        <v>723.32799999999997</v>
      </c>
      <c r="S347" s="21">
        <f t="shared" si="18"/>
        <v>171380.51038792523</v>
      </c>
      <c r="T347" s="21">
        <f t="shared" si="19"/>
        <v>32562.296973705794</v>
      </c>
      <c r="U347" s="19">
        <v>0</v>
      </c>
      <c r="V347" s="21">
        <f t="shared" si="20"/>
        <v>203942.80736163101</v>
      </c>
    </row>
    <row r="348" spans="1:22" x14ac:dyDescent="0.3">
      <c r="A348" s="3" t="s">
        <v>144</v>
      </c>
      <c r="B348" s="3">
        <v>5</v>
      </c>
      <c r="C348" s="4" t="s">
        <v>186</v>
      </c>
      <c r="D348" s="3" t="s">
        <v>262</v>
      </c>
      <c r="E348" s="3" t="s">
        <v>121</v>
      </c>
      <c r="F348" s="4" t="s">
        <v>263</v>
      </c>
      <c r="G348" s="3" t="s">
        <v>16</v>
      </c>
      <c r="H348" s="5">
        <v>949.49519999999995</v>
      </c>
      <c r="I348" s="5">
        <v>2.5764999999999998</v>
      </c>
      <c r="J348" s="5">
        <v>2.5261</v>
      </c>
      <c r="K348" s="6">
        <v>0.98043857946827095</v>
      </c>
      <c r="L348" s="5">
        <v>31.65</v>
      </c>
      <c r="M348" s="19">
        <f>H348*INDEX('Pliegos Tarifarios (Quilicura)'!$B:$B,MATCH($B348,'Pliegos Tarifarios (Quilicura)'!$A:$A,0))</f>
        <v>112836.11057759999</v>
      </c>
      <c r="N348" s="19">
        <f>I348*INDEX('Pliegos Tarifarios (Quilicura)'!$C:$C,MATCH($B348,'Pliegos Tarifarios (Quilicura)'!$A:$A,0))</f>
        <v>8761.3135315</v>
      </c>
      <c r="O348" s="19">
        <f>J348*INDEX('Pliegos Tarifarios (Quilicura)'!$D:$D,MATCH($B348,'Pliegos Tarifarios (Quilicura)'!$A:$A,0))</f>
        <v>35617.287535399999</v>
      </c>
      <c r="P348" s="19">
        <f>H348*INDEX('Pliegos Tarifarios (Quilicura)'!$E:$E,MATCH($B348,'Pliegos Tarifarios (Quilicura)'!$A:$A,0))</f>
        <v>12278.871926399999</v>
      </c>
      <c r="Q348" s="19" cm="1">
        <f t="array" ref="Q348">H348*_xlfn.IFS(H348&lt;=350,INDEX('Pliegos Tarifarios (Quilicura)'!$F:$F,MATCH($B348,'Pliegos Tarifarios (Quilicura)'!$A:$A,0)),H348&lt;=500,INDEX('Pliegos Tarifarios (Quilicura)'!$G:$G,MATCH($B348,'Pliegos Tarifarios (Quilicura)'!$A:$A,0)),H348&lt;=1000,INDEX('Pliegos Tarifarios (Quilicura)'!$H:$H,MATCH($B348,'Pliegos Tarifarios (Quilicura)'!$A:$A,0)),H348&lt;=5000,INDEX('Pliegos Tarifarios (Quilicura)'!$I:$I,MATCH($B348,'Pliegos Tarifarios (Quilicura)'!$A:$A,0)),H348&gt;5000,INDEX('Pliegos Tarifarios (Quilicura)'!$J:$J,MATCH($B348,'Pliegos Tarifarios (Quilicura)'!$A:$A,0)))/1.19</f>
        <v>2226.9252968067231</v>
      </c>
      <c r="R348" s="19">
        <f>INDEX('Pliegos Tarifarios (Quilicura)'!$K:$K,MATCH($B348,'Pliegos Tarifarios (Quilicura)'!$A:$A,0))</f>
        <v>723.32799999999997</v>
      </c>
      <c r="S348" s="21">
        <f t="shared" si="18"/>
        <v>172443.8368677067</v>
      </c>
      <c r="T348" s="21">
        <f t="shared" si="19"/>
        <v>32764.329004864274</v>
      </c>
      <c r="U348" s="19">
        <v>0</v>
      </c>
      <c r="V348" s="21">
        <f t="shared" si="20"/>
        <v>205208.16587257097</v>
      </c>
    </row>
    <row r="349" spans="1:22" x14ac:dyDescent="0.3">
      <c r="A349" s="3" t="s">
        <v>144</v>
      </c>
      <c r="B349" s="3">
        <v>5</v>
      </c>
      <c r="C349" s="4" t="s">
        <v>186</v>
      </c>
      <c r="D349" s="3" t="s">
        <v>264</v>
      </c>
      <c r="E349" s="3" t="s">
        <v>121</v>
      </c>
      <c r="F349" s="4" t="s">
        <v>265</v>
      </c>
      <c r="G349" s="3" t="s">
        <v>16</v>
      </c>
      <c r="H349" s="5">
        <v>769.43380000000002</v>
      </c>
      <c r="I349" s="5">
        <v>2.0989</v>
      </c>
      <c r="J349" s="5">
        <v>2.0630000000000002</v>
      </c>
      <c r="K349" s="6">
        <v>0.98289580256324749</v>
      </c>
      <c r="L349" s="5">
        <v>25.65</v>
      </c>
      <c r="M349" s="19">
        <f>H349*INDEX('Pliegos Tarifarios (Quilicura)'!$B:$B,MATCH($B349,'Pliegos Tarifarios (Quilicura)'!$A:$A,0))</f>
        <v>91437.973924399994</v>
      </c>
      <c r="N349" s="19">
        <f>I349*INDEX('Pliegos Tarifarios (Quilicura)'!$C:$C,MATCH($B349,'Pliegos Tarifarios (Quilicura)'!$A:$A,0))</f>
        <v>7137.2485819000003</v>
      </c>
      <c r="O349" s="19">
        <f>J349*INDEX('Pliegos Tarifarios (Quilicura)'!$D:$D,MATCH($B349,'Pliegos Tarifarios (Quilicura)'!$A:$A,0))</f>
        <v>29087.709982000004</v>
      </c>
      <c r="P349" s="19">
        <f>H349*INDEX('Pliegos Tarifarios (Quilicura)'!$E:$E,MATCH($B349,'Pliegos Tarifarios (Quilicura)'!$A:$A,0))</f>
        <v>9950.3179016000013</v>
      </c>
      <c r="Q349" s="19" cm="1">
        <f t="array" ref="Q349">H349*_xlfn.IFS(H349&lt;=350,INDEX('Pliegos Tarifarios (Quilicura)'!$F:$F,MATCH($B349,'Pliegos Tarifarios (Quilicura)'!$A:$A,0)),H349&lt;=500,INDEX('Pliegos Tarifarios (Quilicura)'!$G:$G,MATCH($B349,'Pliegos Tarifarios (Quilicura)'!$A:$A,0)),H349&lt;=1000,INDEX('Pliegos Tarifarios (Quilicura)'!$H:$H,MATCH($B349,'Pliegos Tarifarios (Quilicura)'!$A:$A,0)),H349&lt;=5000,INDEX('Pliegos Tarifarios (Quilicura)'!$I:$I,MATCH($B349,'Pliegos Tarifarios (Quilicura)'!$A:$A,0)),H349&gt;5000,INDEX('Pliegos Tarifarios (Quilicura)'!$J:$J,MATCH($B349,'Pliegos Tarifarios (Quilicura)'!$A:$A,0)))/1.19</f>
        <v>1804.6132233613448</v>
      </c>
      <c r="R349" s="19">
        <f>INDEX('Pliegos Tarifarios (Quilicura)'!$K:$K,MATCH($B349,'Pliegos Tarifarios (Quilicura)'!$A:$A,0))</f>
        <v>723.32799999999997</v>
      </c>
      <c r="S349" s="21">
        <f t="shared" si="18"/>
        <v>140141.19161326136</v>
      </c>
      <c r="T349" s="21">
        <f t="shared" si="19"/>
        <v>26626.826406519656</v>
      </c>
      <c r="U349" s="19">
        <v>0</v>
      </c>
      <c r="V349" s="21">
        <f t="shared" si="20"/>
        <v>166768.01801978101</v>
      </c>
    </row>
    <row r="350" spans="1:22" x14ac:dyDescent="0.3">
      <c r="A350" s="3" t="s">
        <v>144</v>
      </c>
      <c r="B350" s="3">
        <v>5</v>
      </c>
      <c r="C350" s="4" t="s">
        <v>186</v>
      </c>
      <c r="D350" s="3" t="s">
        <v>266</v>
      </c>
      <c r="E350" s="3" t="s">
        <v>121</v>
      </c>
      <c r="F350" s="4" t="s">
        <v>267</v>
      </c>
      <c r="G350" s="3" t="s">
        <v>16</v>
      </c>
      <c r="H350" s="5">
        <v>315.73570000000001</v>
      </c>
      <c r="I350" s="5">
        <v>0.86839999999999995</v>
      </c>
      <c r="J350" s="5">
        <v>0.86839999999999995</v>
      </c>
      <c r="K350" s="6">
        <v>1</v>
      </c>
      <c r="L350" s="5">
        <v>10.52</v>
      </c>
      <c r="M350" s="19">
        <f>H350*INDEX('Pliegos Tarifarios (Quilicura)'!$B:$B,MATCH($B350,'Pliegos Tarifarios (Quilicura)'!$A:$A,0))</f>
        <v>37521.399116599998</v>
      </c>
      <c r="N350" s="19">
        <f>I350*INDEX('Pliegos Tarifarios (Quilicura)'!$C:$C,MATCH($B350,'Pliegos Tarifarios (Quilicura)'!$A:$A,0))</f>
        <v>2952.9690163999999</v>
      </c>
      <c r="O350" s="19">
        <f>J350*INDEX('Pliegos Tarifarios (Quilicura)'!$D:$D,MATCH($B350,'Pliegos Tarifarios (Quilicura)'!$A:$A,0))</f>
        <v>12244.191637599999</v>
      </c>
      <c r="P350" s="19">
        <f>H350*INDEX('Pliegos Tarifarios (Quilicura)'!$E:$E,MATCH($B350,'Pliegos Tarifarios (Quilicura)'!$A:$A,0))</f>
        <v>4083.0940724000002</v>
      </c>
      <c r="Q350" s="19" cm="1">
        <f t="array" ref="Q350">H350*_xlfn.IFS(H350&lt;=350,INDEX('Pliegos Tarifarios (Quilicura)'!$F:$F,MATCH($B350,'Pliegos Tarifarios (Quilicura)'!$A:$A,0)),H350&lt;=500,INDEX('Pliegos Tarifarios (Quilicura)'!$G:$G,MATCH($B350,'Pliegos Tarifarios (Quilicura)'!$A:$A,0)),H350&lt;=1000,INDEX('Pliegos Tarifarios (Quilicura)'!$H:$H,MATCH($B350,'Pliegos Tarifarios (Quilicura)'!$A:$A,0)),H350&lt;=5000,INDEX('Pliegos Tarifarios (Quilicura)'!$I:$I,MATCH($B350,'Pliegos Tarifarios (Quilicura)'!$A:$A,0)),H350&gt;5000,INDEX('Pliegos Tarifarios (Quilicura)'!$J:$J,MATCH($B350,'Pliegos Tarifarios (Quilicura)'!$A:$A,0)))/1.19</f>
        <v>208.01410823529415</v>
      </c>
      <c r="R350" s="19">
        <f>INDEX('Pliegos Tarifarios (Quilicura)'!$K:$K,MATCH($B350,'Pliegos Tarifarios (Quilicura)'!$A:$A,0))</f>
        <v>723.32799999999997</v>
      </c>
      <c r="S350" s="21">
        <f t="shared" si="18"/>
        <v>57732.995951235294</v>
      </c>
      <c r="T350" s="21">
        <f t="shared" si="19"/>
        <v>10969.269230734706</v>
      </c>
      <c r="U350" s="19">
        <v>0</v>
      </c>
      <c r="V350" s="21">
        <f t="shared" si="20"/>
        <v>68702.265181969997</v>
      </c>
    </row>
    <row r="351" spans="1:22" x14ac:dyDescent="0.3">
      <c r="A351" s="3" t="s">
        <v>144</v>
      </c>
      <c r="B351" s="3">
        <v>5</v>
      </c>
      <c r="C351" s="4" t="s">
        <v>186</v>
      </c>
      <c r="D351" s="3" t="s">
        <v>268</v>
      </c>
      <c r="E351" s="3" t="s">
        <v>121</v>
      </c>
      <c r="F351" s="4" t="s">
        <v>269</v>
      </c>
      <c r="G351" s="3" t="s">
        <v>16</v>
      </c>
      <c r="H351" s="5">
        <v>239.2688</v>
      </c>
      <c r="I351" s="5">
        <v>0.64610000000000001</v>
      </c>
      <c r="J351" s="5">
        <v>0.64339999999999997</v>
      </c>
      <c r="K351" s="6">
        <v>0.99582108032812255</v>
      </c>
      <c r="L351" s="5">
        <v>7.98</v>
      </c>
      <c r="M351" s="19">
        <f>H351*INDEX('Pliegos Tarifarios (Quilicura)'!$B:$B,MATCH($B351,'Pliegos Tarifarios (Quilicura)'!$A:$A,0))</f>
        <v>28434.225654399997</v>
      </c>
      <c r="N351" s="19">
        <f>I351*INDEX('Pliegos Tarifarios (Quilicura)'!$C:$C,MATCH($B351,'Pliegos Tarifarios (Quilicura)'!$A:$A,0))</f>
        <v>2197.0443131000002</v>
      </c>
      <c r="O351" s="19">
        <f>J351*INDEX('Pliegos Tarifarios (Quilicura)'!$D:$D,MATCH($B351,'Pliegos Tarifarios (Quilicura)'!$A:$A,0))</f>
        <v>9071.7559875999996</v>
      </c>
      <c r="P351" s="19">
        <f>H351*INDEX('Pliegos Tarifarios (Quilicura)'!$E:$E,MATCH($B351,'Pliegos Tarifarios (Quilicura)'!$A:$A,0))</f>
        <v>3094.2241216000002</v>
      </c>
      <c r="Q351" s="19" cm="1">
        <f t="array" ref="Q351">H351*_xlfn.IFS(H351&lt;=350,INDEX('Pliegos Tarifarios (Quilicura)'!$F:$F,MATCH($B351,'Pliegos Tarifarios (Quilicura)'!$A:$A,0)),H351&lt;=500,INDEX('Pliegos Tarifarios (Quilicura)'!$G:$G,MATCH($B351,'Pliegos Tarifarios (Quilicura)'!$A:$A,0)),H351&lt;=1000,INDEX('Pliegos Tarifarios (Quilicura)'!$H:$H,MATCH($B351,'Pliegos Tarifarios (Quilicura)'!$A:$A,0)),H351&lt;=5000,INDEX('Pliegos Tarifarios (Quilicura)'!$I:$I,MATCH($B351,'Pliegos Tarifarios (Quilicura)'!$A:$A,0)),H351&gt;5000,INDEX('Pliegos Tarifarios (Quilicura)'!$J:$J,MATCH($B351,'Pliegos Tarifarios (Quilicura)'!$A:$A,0)))/1.19</f>
        <v>157.63591529411767</v>
      </c>
      <c r="R351" s="19">
        <f>INDEX('Pliegos Tarifarios (Quilicura)'!$K:$K,MATCH($B351,'Pliegos Tarifarios (Quilicura)'!$A:$A,0))</f>
        <v>723.32799999999997</v>
      </c>
      <c r="S351" s="21">
        <f t="shared" si="18"/>
        <v>43678.213991994118</v>
      </c>
      <c r="T351" s="21">
        <f t="shared" si="19"/>
        <v>8298.8606584788831</v>
      </c>
      <c r="U351" s="19">
        <v>0</v>
      </c>
      <c r="V351" s="21">
        <f t="shared" si="20"/>
        <v>51977.074650473005</v>
      </c>
    </row>
    <row r="352" spans="1:22" x14ac:dyDescent="0.3">
      <c r="A352" s="3" t="s">
        <v>144</v>
      </c>
      <c r="B352" s="3">
        <v>5</v>
      </c>
      <c r="C352" s="4" t="s">
        <v>186</v>
      </c>
      <c r="D352" s="3" t="s">
        <v>270</v>
      </c>
      <c r="E352" s="3" t="s">
        <v>121</v>
      </c>
      <c r="F352" s="4" t="s">
        <v>271</v>
      </c>
      <c r="G352" s="3" t="s">
        <v>16</v>
      </c>
      <c r="H352" s="5">
        <v>105.52800000000001</v>
      </c>
      <c r="I352" s="5">
        <v>0.28770000000000001</v>
      </c>
      <c r="J352" s="5">
        <v>0.27829999999999999</v>
      </c>
      <c r="K352" s="6">
        <v>0.96732707681612784</v>
      </c>
      <c r="L352" s="5">
        <v>3.52</v>
      </c>
      <c r="M352" s="19">
        <f>H352*INDEX('Pliegos Tarifarios (Quilicura)'!$B:$B,MATCH($B352,'Pliegos Tarifarios (Quilicura)'!$A:$A,0))</f>
        <v>12540.736464</v>
      </c>
      <c r="N352" s="19">
        <f>I352*INDEX('Pliegos Tarifarios (Quilicura)'!$C:$C,MATCH($B352,'Pliegos Tarifarios (Quilicura)'!$A:$A,0))</f>
        <v>978.31550670000001</v>
      </c>
      <c r="O352" s="19">
        <f>J352*INDEX('Pliegos Tarifarios (Quilicura)'!$D:$D,MATCH($B352,'Pliegos Tarifarios (Quilicura)'!$A:$A,0))</f>
        <v>3923.9504062000001</v>
      </c>
      <c r="P352" s="19">
        <f>H352*INDEX('Pliegos Tarifarios (Quilicura)'!$E:$E,MATCH($B352,'Pliegos Tarifarios (Quilicura)'!$A:$A,0))</f>
        <v>1364.6880960000001</v>
      </c>
      <c r="Q352" s="19" cm="1">
        <f t="array" ref="Q352">H352*_xlfn.IFS(H352&lt;=350,INDEX('Pliegos Tarifarios (Quilicura)'!$F:$F,MATCH($B352,'Pliegos Tarifarios (Quilicura)'!$A:$A,0)),H352&lt;=500,INDEX('Pliegos Tarifarios (Quilicura)'!$G:$G,MATCH($B352,'Pliegos Tarifarios (Quilicura)'!$A:$A,0)),H352&lt;=1000,INDEX('Pliegos Tarifarios (Quilicura)'!$H:$H,MATCH($B352,'Pliegos Tarifarios (Quilicura)'!$A:$A,0)),H352&lt;=5000,INDEX('Pliegos Tarifarios (Quilicura)'!$I:$I,MATCH($B352,'Pliegos Tarifarios (Quilicura)'!$A:$A,0)),H352&gt;5000,INDEX('Pliegos Tarifarios (Quilicura)'!$J:$J,MATCH($B352,'Pliegos Tarifarios (Quilicura)'!$A:$A,0)))/1.19</f>
        <v>69.524329411764711</v>
      </c>
      <c r="R352" s="19">
        <f>INDEX('Pliegos Tarifarios (Quilicura)'!$K:$K,MATCH($B352,'Pliegos Tarifarios (Quilicura)'!$A:$A,0))</f>
        <v>723.32799999999997</v>
      </c>
      <c r="S352" s="21">
        <f t="shared" si="18"/>
        <v>19600.542802311767</v>
      </c>
      <c r="T352" s="21">
        <f t="shared" si="19"/>
        <v>3724.1031324392357</v>
      </c>
      <c r="U352" s="19">
        <v>0</v>
      </c>
      <c r="V352" s="21">
        <f t="shared" si="20"/>
        <v>23324.645934751003</v>
      </c>
    </row>
    <row r="353" spans="1:22" x14ac:dyDescent="0.3">
      <c r="A353" s="3" t="s">
        <v>144</v>
      </c>
      <c r="B353" s="3">
        <v>5</v>
      </c>
      <c r="C353" s="4" t="s">
        <v>186</v>
      </c>
      <c r="D353" s="3" t="s">
        <v>272</v>
      </c>
      <c r="E353" s="3" t="s">
        <v>121</v>
      </c>
      <c r="F353" s="4" t="s">
        <v>273</v>
      </c>
      <c r="G353" s="3" t="s">
        <v>16</v>
      </c>
      <c r="H353" s="5">
        <v>1751.1928</v>
      </c>
      <c r="I353" s="5">
        <v>4.7060000000000004</v>
      </c>
      <c r="J353" s="5">
        <v>4.6111000000000004</v>
      </c>
      <c r="K353" s="6">
        <v>0.97983425414364644</v>
      </c>
      <c r="L353" s="5">
        <v>58.37</v>
      </c>
      <c r="M353" s="19">
        <f>H353*INDEX('Pliegos Tarifarios (Quilicura)'!$B:$B,MATCH($B353,'Pliegos Tarifarios (Quilicura)'!$A:$A,0))</f>
        <v>208108.24996640001</v>
      </c>
      <c r="N353" s="19">
        <f>I353*INDEX('Pliegos Tarifarios (Quilicura)'!$C:$C,MATCH($B353,'Pliegos Tarifarios (Quilicura)'!$A:$A,0))</f>
        <v>16002.616526000002</v>
      </c>
      <c r="O353" s="19">
        <f>J353*INDEX('Pliegos Tarifarios (Quilicura)'!$D:$D,MATCH($B353,'Pliegos Tarifarios (Quilicura)'!$A:$A,0))</f>
        <v>65015.191225400005</v>
      </c>
      <c r="P353" s="19">
        <f>H353*INDEX('Pliegos Tarifarios (Quilicura)'!$E:$E,MATCH($B353,'Pliegos Tarifarios (Quilicura)'!$A:$A,0))</f>
        <v>22646.4252896</v>
      </c>
      <c r="Q353" s="19" cm="1">
        <f t="array" ref="Q353">H353*_xlfn.IFS(H353&lt;=350,INDEX('Pliegos Tarifarios (Quilicura)'!$F:$F,MATCH($B353,'Pliegos Tarifarios (Quilicura)'!$A:$A,0)),H353&lt;=500,INDEX('Pliegos Tarifarios (Quilicura)'!$G:$G,MATCH($B353,'Pliegos Tarifarios (Quilicura)'!$A:$A,0)),H353&lt;=1000,INDEX('Pliegos Tarifarios (Quilicura)'!$H:$H,MATCH($B353,'Pliegos Tarifarios (Quilicura)'!$A:$A,0)),H353&lt;=5000,INDEX('Pliegos Tarifarios (Quilicura)'!$I:$I,MATCH($B353,'Pliegos Tarifarios (Quilicura)'!$A:$A,0)),H353&gt;5000,INDEX('Pliegos Tarifarios (Quilicura)'!$J:$J,MATCH($B353,'Pliegos Tarifarios (Quilicura)'!$A:$A,0)))/1.19</f>
        <v>5255.0499905882352</v>
      </c>
      <c r="R353" s="19">
        <f>INDEX('Pliegos Tarifarios (Quilicura)'!$K:$K,MATCH($B353,'Pliegos Tarifarios (Quilicura)'!$A:$A,0))</f>
        <v>723.32799999999997</v>
      </c>
      <c r="S353" s="21">
        <f t="shared" si="18"/>
        <v>317750.8609979882</v>
      </c>
      <c r="T353" s="21">
        <f t="shared" si="19"/>
        <v>60372.663589617761</v>
      </c>
      <c r="U353" s="19">
        <v>0</v>
      </c>
      <c r="V353" s="21">
        <f t="shared" si="20"/>
        <v>378123.52458760596</v>
      </c>
    </row>
    <row r="354" spans="1:22" x14ac:dyDescent="0.3">
      <c r="A354" s="7" t="s">
        <v>145</v>
      </c>
      <c r="B354" s="7">
        <v>6</v>
      </c>
      <c r="C354" s="8" t="s">
        <v>186</v>
      </c>
      <c r="D354" s="7" t="s">
        <v>187</v>
      </c>
      <c r="E354" s="7" t="s">
        <v>14</v>
      </c>
      <c r="F354" s="8" t="s">
        <v>15</v>
      </c>
      <c r="G354" s="7" t="s">
        <v>16</v>
      </c>
      <c r="H354" s="9">
        <v>10600.5772</v>
      </c>
      <c r="I354" s="9">
        <v>29.913799999999998</v>
      </c>
      <c r="J354" s="9">
        <v>29.913799999999998</v>
      </c>
      <c r="K354" s="10">
        <v>1</v>
      </c>
      <c r="L354" s="9">
        <v>341.95</v>
      </c>
      <c r="M354" s="19">
        <f>H354*INDEX('Pliegos Tarifarios (Quilicura)'!$B:$B,MATCH($B354,'Pliegos Tarifarios (Quilicura)'!$A:$A,0))</f>
        <v>1259751.3932935998</v>
      </c>
      <c r="N354" s="19">
        <f>I354*INDEX('Pliegos Tarifarios (Quilicura)'!$C:$C,MATCH($B354,'Pliegos Tarifarios (Quilicura)'!$A:$A,0))</f>
        <v>103518.35015899999</v>
      </c>
      <c r="O354" s="19">
        <f>J354*INDEX('Pliegos Tarifarios (Quilicura)'!$D:$D,MATCH($B354,'Pliegos Tarifarios (Quilicura)'!$A:$A,0))</f>
        <v>423714.88760020002</v>
      </c>
      <c r="P354" s="19">
        <f>H354*INDEX('Pliegos Tarifarios (Quilicura)'!$E:$E,MATCH($B354,'Pliegos Tarifarios (Quilicura)'!$A:$A,0))</f>
        <v>137086.66435040001</v>
      </c>
      <c r="Q354" s="19" cm="1">
        <f t="array" ref="Q354">H354*_xlfn.IFS(H354&lt;=350,INDEX('Pliegos Tarifarios (Quilicura)'!$F:$F,MATCH($B354,'Pliegos Tarifarios (Quilicura)'!$A:$A,0)),H354&lt;=500,INDEX('Pliegos Tarifarios (Quilicura)'!$G:$G,MATCH($B354,'Pliegos Tarifarios (Quilicura)'!$A:$A,0)),H354&lt;=1000,INDEX('Pliegos Tarifarios (Quilicura)'!$H:$H,MATCH($B354,'Pliegos Tarifarios (Quilicura)'!$A:$A,0)),H354&lt;=5000,INDEX('Pliegos Tarifarios (Quilicura)'!$I:$I,MATCH($B354,'Pliegos Tarifarios (Quilicura)'!$A:$A,0)),H354&gt;5000,INDEX('Pliegos Tarifarios (Quilicura)'!$J:$J,MATCH($B354,'Pliegos Tarifarios (Quilicura)'!$A:$A,0)))/1.19</f>
        <v>34785.92770252101</v>
      </c>
      <c r="R354" s="19">
        <f>INDEX('Pliegos Tarifarios (Quilicura)'!$K:$K,MATCH($B354,'Pliegos Tarifarios (Quilicura)'!$A:$A,0))</f>
        <v>724.74800000000005</v>
      </c>
      <c r="S354" s="21">
        <f t="shared" si="18"/>
        <v>1959581.9711057206</v>
      </c>
      <c r="T354" s="21">
        <f t="shared" si="19"/>
        <v>372320.57451008691</v>
      </c>
      <c r="U354" s="19">
        <v>0</v>
      </c>
      <c r="V354" s="21">
        <f t="shared" si="20"/>
        <v>2331902.5456158076</v>
      </c>
    </row>
    <row r="355" spans="1:22" x14ac:dyDescent="0.3">
      <c r="A355" s="7" t="s">
        <v>145</v>
      </c>
      <c r="B355" s="7">
        <v>6</v>
      </c>
      <c r="C355" s="8" t="s">
        <v>186</v>
      </c>
      <c r="D355" s="7" t="s">
        <v>188</v>
      </c>
      <c r="E355" s="7" t="s">
        <v>18</v>
      </c>
      <c r="F355" s="8" t="s">
        <v>19</v>
      </c>
      <c r="G355" s="7" t="s">
        <v>16</v>
      </c>
      <c r="H355" s="9">
        <v>5298.9071000000004</v>
      </c>
      <c r="I355" s="9">
        <v>15.400600000000001</v>
      </c>
      <c r="J355" s="9">
        <v>15.400600000000001</v>
      </c>
      <c r="K355" s="10">
        <v>1</v>
      </c>
      <c r="L355" s="9">
        <v>170.93</v>
      </c>
      <c r="M355" s="19">
        <f>H355*INDEX('Pliegos Tarifarios (Quilicura)'!$B:$B,MATCH($B355,'Pliegos Tarifarios (Quilicura)'!$A:$A,0))</f>
        <v>629711.52194979996</v>
      </c>
      <c r="N355" s="19">
        <f>I355*INDEX('Pliegos Tarifarios (Quilicura)'!$C:$C,MATCH($B355,'Pliegos Tarifarios (Quilicura)'!$A:$A,0))</f>
        <v>53294.623333000003</v>
      </c>
      <c r="O355" s="19">
        <f>J355*INDEX('Pliegos Tarifarios (Quilicura)'!$D:$D,MATCH($B355,'Pliegos Tarifarios (Quilicura)'!$A:$A,0))</f>
        <v>218142.24531740003</v>
      </c>
      <c r="P355" s="19">
        <f>H355*INDEX('Pliegos Tarifarios (Quilicura)'!$E:$E,MATCH($B355,'Pliegos Tarifarios (Quilicura)'!$A:$A,0))</f>
        <v>68525.4666172</v>
      </c>
      <c r="Q355" s="19" cm="1">
        <f t="array" ref="Q355">H355*_xlfn.IFS(H355&lt;=350,INDEX('Pliegos Tarifarios (Quilicura)'!$F:$F,MATCH($B355,'Pliegos Tarifarios (Quilicura)'!$A:$A,0)),H355&lt;=500,INDEX('Pliegos Tarifarios (Quilicura)'!$G:$G,MATCH($B355,'Pliegos Tarifarios (Quilicura)'!$A:$A,0)),H355&lt;=1000,INDEX('Pliegos Tarifarios (Quilicura)'!$H:$H,MATCH($B355,'Pliegos Tarifarios (Quilicura)'!$A:$A,0)),H355&lt;=5000,INDEX('Pliegos Tarifarios (Quilicura)'!$I:$I,MATCH($B355,'Pliegos Tarifarios (Quilicura)'!$A:$A,0)),H355&gt;5000,INDEX('Pliegos Tarifarios (Quilicura)'!$J:$J,MATCH($B355,'Pliegos Tarifarios (Quilicura)'!$A:$A,0)))/1.19</f>
        <v>17388.430441596644</v>
      </c>
      <c r="R355" s="19">
        <f>INDEX('Pliegos Tarifarios (Quilicura)'!$K:$K,MATCH($B355,'Pliegos Tarifarios (Quilicura)'!$A:$A,0))</f>
        <v>724.74800000000005</v>
      </c>
      <c r="S355" s="21">
        <f t="shared" si="18"/>
        <v>987787.03565899679</v>
      </c>
      <c r="T355" s="21">
        <f t="shared" si="19"/>
        <v>187679.53677520939</v>
      </c>
      <c r="U355" s="19">
        <v>0</v>
      </c>
      <c r="V355" s="21">
        <f t="shared" si="20"/>
        <v>1175466.5724342063</v>
      </c>
    </row>
    <row r="356" spans="1:22" x14ac:dyDescent="0.3">
      <c r="A356" s="7" t="s">
        <v>145</v>
      </c>
      <c r="B356" s="7">
        <v>6</v>
      </c>
      <c r="C356" s="8" t="s">
        <v>186</v>
      </c>
      <c r="D356" s="7" t="s">
        <v>189</v>
      </c>
      <c r="E356" s="7" t="s">
        <v>18</v>
      </c>
      <c r="F356" s="8" t="s">
        <v>21</v>
      </c>
      <c r="G356" s="7" t="s">
        <v>16</v>
      </c>
      <c r="H356" s="9">
        <v>4237.75</v>
      </c>
      <c r="I356" s="9">
        <v>11.9033</v>
      </c>
      <c r="J356" s="9">
        <v>11.9033</v>
      </c>
      <c r="K356" s="10">
        <v>1</v>
      </c>
      <c r="L356" s="9">
        <v>136.69999999999999</v>
      </c>
      <c r="M356" s="19">
        <f>H356*INDEX('Pliegos Tarifarios (Quilicura)'!$B:$B,MATCH($B356,'Pliegos Tarifarios (Quilicura)'!$A:$A,0))</f>
        <v>503605.73449999996</v>
      </c>
      <c r="N356" s="19">
        <f>I356*INDEX('Pliegos Tarifarios (Quilicura)'!$C:$C,MATCH($B356,'Pliegos Tarifarios (Quilicura)'!$A:$A,0))</f>
        <v>41192.024331499997</v>
      </c>
      <c r="O356" s="19">
        <f>J356*INDEX('Pliegos Tarifarios (Quilicura)'!$D:$D,MATCH($B356,'Pliegos Tarifarios (Quilicura)'!$A:$A,0))</f>
        <v>168604.63804570001</v>
      </c>
      <c r="P356" s="19">
        <f>H356*INDEX('Pliegos Tarifarios (Quilicura)'!$E:$E,MATCH($B356,'Pliegos Tarifarios (Quilicura)'!$A:$A,0))</f>
        <v>54802.582999999999</v>
      </c>
      <c r="Q356" s="19" cm="1">
        <f t="array" ref="Q356">H356*_xlfn.IFS(H356&lt;=350,INDEX('Pliegos Tarifarios (Quilicura)'!$F:$F,MATCH($B356,'Pliegos Tarifarios (Quilicura)'!$A:$A,0)),H356&lt;=500,INDEX('Pliegos Tarifarios (Quilicura)'!$G:$G,MATCH($B356,'Pliegos Tarifarios (Quilicura)'!$A:$A,0)),H356&lt;=1000,INDEX('Pliegos Tarifarios (Quilicura)'!$H:$H,MATCH($B356,'Pliegos Tarifarios (Quilicura)'!$A:$A,0)),H356&lt;=5000,INDEX('Pliegos Tarifarios (Quilicura)'!$I:$I,MATCH($B356,'Pliegos Tarifarios (Quilicura)'!$A:$A,0)),H356&gt;5000,INDEX('Pliegos Tarifarios (Quilicura)'!$J:$J,MATCH($B356,'Pliegos Tarifarios (Quilicura)'!$A:$A,0)))/1.19</f>
        <v>12716.811134453781</v>
      </c>
      <c r="R356" s="19">
        <f>INDEX('Pliegos Tarifarios (Quilicura)'!$K:$K,MATCH($B356,'Pliegos Tarifarios (Quilicura)'!$A:$A,0))</f>
        <v>724.74800000000005</v>
      </c>
      <c r="S356" s="21">
        <f t="shared" si="18"/>
        <v>781646.53901165375</v>
      </c>
      <c r="T356" s="21">
        <f t="shared" si="19"/>
        <v>148512.8424122142</v>
      </c>
      <c r="U356" s="19">
        <v>0</v>
      </c>
      <c r="V356" s="21">
        <f t="shared" si="20"/>
        <v>930159.38142386801</v>
      </c>
    </row>
    <row r="357" spans="1:22" x14ac:dyDescent="0.3">
      <c r="A357" s="7" t="s">
        <v>145</v>
      </c>
      <c r="B357" s="7">
        <v>6</v>
      </c>
      <c r="C357" s="8" t="s">
        <v>186</v>
      </c>
      <c r="D357" s="7" t="s">
        <v>190</v>
      </c>
      <c r="E357" s="7" t="s">
        <v>18</v>
      </c>
      <c r="F357" s="8" t="s">
        <v>23</v>
      </c>
      <c r="G357" s="7" t="s">
        <v>16</v>
      </c>
      <c r="H357" s="9">
        <v>3525.6689000000001</v>
      </c>
      <c r="I357" s="9">
        <v>9.8131000000000004</v>
      </c>
      <c r="J357" s="9">
        <v>9.8131000000000004</v>
      </c>
      <c r="K357" s="10">
        <v>1</v>
      </c>
      <c r="L357" s="9">
        <v>113.73</v>
      </c>
      <c r="M357" s="19">
        <f>H357*INDEX('Pliegos Tarifarios (Quilicura)'!$B:$B,MATCH($B357,'Pliegos Tarifarios (Quilicura)'!$A:$A,0))</f>
        <v>418983.44073819998</v>
      </c>
      <c r="N357" s="19">
        <f>I357*INDEX('Pliegos Tarifarios (Quilicura)'!$C:$C,MATCH($B357,'Pliegos Tarifarios (Quilicura)'!$A:$A,0))</f>
        <v>33958.772270499998</v>
      </c>
      <c r="O357" s="19">
        <f>J357*INDEX('Pliegos Tarifarios (Quilicura)'!$D:$D,MATCH($B357,'Pliegos Tarifarios (Quilicura)'!$A:$A,0))</f>
        <v>138997.9395299</v>
      </c>
      <c r="P357" s="19">
        <f>H357*INDEX('Pliegos Tarifarios (Quilicura)'!$E:$E,MATCH($B357,'Pliegos Tarifarios (Quilicura)'!$A:$A,0))</f>
        <v>45593.950214800003</v>
      </c>
      <c r="Q357" s="19" cm="1">
        <f t="array" ref="Q357">H357*_xlfn.IFS(H357&lt;=350,INDEX('Pliegos Tarifarios (Quilicura)'!$F:$F,MATCH($B357,'Pliegos Tarifarios (Quilicura)'!$A:$A,0)),H357&lt;=500,INDEX('Pliegos Tarifarios (Quilicura)'!$G:$G,MATCH($B357,'Pliegos Tarifarios (Quilicura)'!$A:$A,0)),H357&lt;=1000,INDEX('Pliegos Tarifarios (Quilicura)'!$H:$H,MATCH($B357,'Pliegos Tarifarios (Quilicura)'!$A:$A,0)),H357&lt;=5000,INDEX('Pliegos Tarifarios (Quilicura)'!$I:$I,MATCH($B357,'Pliegos Tarifarios (Quilicura)'!$A:$A,0)),H357&gt;5000,INDEX('Pliegos Tarifarios (Quilicura)'!$J:$J,MATCH($B357,'Pliegos Tarifarios (Quilicura)'!$A:$A,0)))/1.19</f>
        <v>10579.96944697479</v>
      </c>
      <c r="R357" s="19">
        <f>INDEX('Pliegos Tarifarios (Quilicura)'!$K:$K,MATCH($B357,'Pliegos Tarifarios (Quilicura)'!$A:$A,0))</f>
        <v>724.74800000000005</v>
      </c>
      <c r="S357" s="21">
        <f t="shared" si="18"/>
        <v>648838.82020037482</v>
      </c>
      <c r="T357" s="21">
        <f t="shared" si="19"/>
        <v>123279.37583807121</v>
      </c>
      <c r="U357" s="19">
        <v>0</v>
      </c>
      <c r="V357" s="21">
        <f t="shared" si="20"/>
        <v>772118.19603844604</v>
      </c>
    </row>
    <row r="358" spans="1:22" x14ac:dyDescent="0.3">
      <c r="A358" s="7" t="s">
        <v>145</v>
      </c>
      <c r="B358" s="7">
        <v>6</v>
      </c>
      <c r="C358" s="8" t="s">
        <v>186</v>
      </c>
      <c r="D358" s="7" t="s">
        <v>191</v>
      </c>
      <c r="E358" s="7" t="s">
        <v>18</v>
      </c>
      <c r="F358" s="8" t="s">
        <v>25</v>
      </c>
      <c r="G358" s="7" t="s">
        <v>16</v>
      </c>
      <c r="H358" s="9">
        <v>3813.6761999999999</v>
      </c>
      <c r="I358" s="9">
        <v>10.763400000000001</v>
      </c>
      <c r="J358" s="9">
        <v>10.5524</v>
      </c>
      <c r="K358" s="10">
        <v>0.98039652897783225</v>
      </c>
      <c r="L358" s="9">
        <v>123.02</v>
      </c>
      <c r="M358" s="19">
        <f>H358*INDEX('Pliegos Tarifarios (Quilicura)'!$B:$B,MATCH($B358,'Pliegos Tarifarios (Quilicura)'!$A:$A,0))</f>
        <v>453209.65225559997</v>
      </c>
      <c r="N358" s="19">
        <f>I358*INDEX('Pliegos Tarifarios (Quilicura)'!$C:$C,MATCH($B358,'Pliegos Tarifarios (Quilicura)'!$A:$A,0))</f>
        <v>37247.337686999999</v>
      </c>
      <c r="O358" s="19">
        <f>J358*INDEX('Pliegos Tarifarios (Quilicura)'!$D:$D,MATCH($B358,'Pliegos Tarifarios (Quilicura)'!$A:$A,0))</f>
        <v>149469.77581960001</v>
      </c>
      <c r="P358" s="19">
        <f>H358*INDEX('Pliegos Tarifarios (Quilicura)'!$E:$E,MATCH($B358,'Pliegos Tarifarios (Quilicura)'!$A:$A,0))</f>
        <v>49318.4606184</v>
      </c>
      <c r="Q358" s="19" cm="1">
        <f t="array" ref="Q358">H358*_xlfn.IFS(H358&lt;=350,INDEX('Pliegos Tarifarios (Quilicura)'!$F:$F,MATCH($B358,'Pliegos Tarifarios (Quilicura)'!$A:$A,0)),H358&lt;=500,INDEX('Pliegos Tarifarios (Quilicura)'!$G:$G,MATCH($B358,'Pliegos Tarifarios (Quilicura)'!$A:$A,0)),H358&lt;=1000,INDEX('Pliegos Tarifarios (Quilicura)'!$H:$H,MATCH($B358,'Pliegos Tarifarios (Quilicura)'!$A:$A,0)),H358&lt;=5000,INDEX('Pliegos Tarifarios (Quilicura)'!$I:$I,MATCH($B358,'Pliegos Tarifarios (Quilicura)'!$A:$A,0)),H358&gt;5000,INDEX('Pliegos Tarifarios (Quilicura)'!$J:$J,MATCH($B358,'Pliegos Tarifarios (Quilicura)'!$A:$A,0)))/1.19</f>
        <v>11444.233369915966</v>
      </c>
      <c r="R358" s="19">
        <f>INDEX('Pliegos Tarifarios (Quilicura)'!$K:$K,MATCH($B358,'Pliegos Tarifarios (Quilicura)'!$A:$A,0))</f>
        <v>724.74800000000005</v>
      </c>
      <c r="S358" s="21">
        <f t="shared" si="18"/>
        <v>701414.20775051601</v>
      </c>
      <c r="T358" s="21">
        <f t="shared" si="19"/>
        <v>133268.69947259803</v>
      </c>
      <c r="U358" s="19">
        <v>0</v>
      </c>
      <c r="V358" s="21">
        <f t="shared" si="20"/>
        <v>834682.90722311405</v>
      </c>
    </row>
    <row r="359" spans="1:22" x14ac:dyDescent="0.3">
      <c r="A359" s="7" t="s">
        <v>145</v>
      </c>
      <c r="B359" s="7">
        <v>6</v>
      </c>
      <c r="C359" s="8" t="s">
        <v>186</v>
      </c>
      <c r="D359" s="7" t="s">
        <v>192</v>
      </c>
      <c r="E359" s="7" t="s">
        <v>18</v>
      </c>
      <c r="F359" s="8" t="s">
        <v>27</v>
      </c>
      <c r="G359" s="7" t="s">
        <v>16</v>
      </c>
      <c r="H359" s="9">
        <v>2544.3422999999998</v>
      </c>
      <c r="I359" s="9">
        <v>7.0987999999999998</v>
      </c>
      <c r="J359" s="9">
        <v>6.9812000000000003</v>
      </c>
      <c r="K359" s="10">
        <v>0.98343381980052968</v>
      </c>
      <c r="L359" s="9">
        <v>82.08</v>
      </c>
      <c r="M359" s="19">
        <f>H359*INDEX('Pliegos Tarifarios (Quilicura)'!$B:$B,MATCH($B359,'Pliegos Tarifarios (Quilicura)'!$A:$A,0))</f>
        <v>302364.55024739995</v>
      </c>
      <c r="N359" s="19">
        <f>I359*INDEX('Pliegos Tarifarios (Quilicura)'!$C:$C,MATCH($B359,'Pliegos Tarifarios (Quilicura)'!$A:$A,0))</f>
        <v>24565.787833999999</v>
      </c>
      <c r="O359" s="19">
        <f>J359*INDEX('Pliegos Tarifarios (Quilicura)'!$D:$D,MATCH($B359,'Pliegos Tarifarios (Quilicura)'!$A:$A,0))</f>
        <v>98885.409854800004</v>
      </c>
      <c r="P359" s="19">
        <f>H359*INDEX('Pliegos Tarifarios (Quilicura)'!$E:$E,MATCH($B359,'Pliegos Tarifarios (Quilicura)'!$A:$A,0))</f>
        <v>32903.434623599998</v>
      </c>
      <c r="Q359" s="19" cm="1">
        <f t="array" ref="Q359">H359*_xlfn.IFS(H359&lt;=350,INDEX('Pliegos Tarifarios (Quilicura)'!$F:$F,MATCH($B359,'Pliegos Tarifarios (Quilicura)'!$A:$A,0)),H359&lt;=500,INDEX('Pliegos Tarifarios (Quilicura)'!$G:$G,MATCH($B359,'Pliegos Tarifarios (Quilicura)'!$A:$A,0)),H359&lt;=1000,INDEX('Pliegos Tarifarios (Quilicura)'!$H:$H,MATCH($B359,'Pliegos Tarifarios (Quilicura)'!$A:$A,0)),H359&lt;=5000,INDEX('Pliegos Tarifarios (Quilicura)'!$I:$I,MATCH($B359,'Pliegos Tarifarios (Quilicura)'!$A:$A,0)),H359&gt;5000,INDEX('Pliegos Tarifarios (Quilicura)'!$J:$J,MATCH($B359,'Pliegos Tarifarios (Quilicura)'!$A:$A,0)))/1.19</f>
        <v>7635.1650027731093</v>
      </c>
      <c r="R359" s="19">
        <f>INDEX('Pliegos Tarifarios (Quilicura)'!$K:$K,MATCH($B359,'Pliegos Tarifarios (Quilicura)'!$A:$A,0))</f>
        <v>724.74800000000005</v>
      </c>
      <c r="S359" s="21">
        <f t="shared" si="18"/>
        <v>467079.09556257311</v>
      </c>
      <c r="T359" s="21">
        <f t="shared" si="19"/>
        <v>88745.028156888889</v>
      </c>
      <c r="U359" s="19">
        <v>0</v>
      </c>
      <c r="V359" s="21">
        <f t="shared" si="20"/>
        <v>555824.12371946196</v>
      </c>
    </row>
    <row r="360" spans="1:22" x14ac:dyDescent="0.3">
      <c r="A360" s="7" t="s">
        <v>145</v>
      </c>
      <c r="B360" s="7">
        <v>6</v>
      </c>
      <c r="C360" s="8" t="s">
        <v>186</v>
      </c>
      <c r="D360" s="7" t="s">
        <v>193</v>
      </c>
      <c r="E360" s="7" t="s">
        <v>18</v>
      </c>
      <c r="F360" s="8" t="s">
        <v>29</v>
      </c>
      <c r="G360" s="7" t="s">
        <v>30</v>
      </c>
      <c r="H360" s="9">
        <v>847.93359999999996</v>
      </c>
      <c r="I360" s="9">
        <v>2.3938999999999999</v>
      </c>
      <c r="J360" s="9">
        <v>2.3938999999999999</v>
      </c>
      <c r="K360" s="10">
        <v>1</v>
      </c>
      <c r="L360" s="9">
        <v>27.35</v>
      </c>
      <c r="M360" s="19">
        <f>H360*INDEX('Pliegos Tarifarios (Quilicura)'!$B:$B,MATCH($B360,'Pliegos Tarifarios (Quilicura)'!$A:$A,0))</f>
        <v>100766.73315679999</v>
      </c>
      <c r="N360" s="19">
        <f>I360*INDEX('Pliegos Tarifarios (Quilicura)'!$C:$C,MATCH($B360,'Pliegos Tarifarios (Quilicura)'!$A:$A,0))</f>
        <v>8284.2226144999986</v>
      </c>
      <c r="O360" s="19">
        <f>J360*INDEX('Pliegos Tarifarios (Quilicura)'!$D:$D,MATCH($B360,'Pliegos Tarifarios (Quilicura)'!$A:$A,0))</f>
        <v>33908.465973099999</v>
      </c>
      <c r="P360" s="19">
        <f>H360*INDEX('Pliegos Tarifarios (Quilicura)'!$E:$E,MATCH($B360,'Pliegos Tarifarios (Quilicura)'!$A:$A,0))</f>
        <v>10965.4773152</v>
      </c>
      <c r="Q360" s="19" cm="1">
        <f t="array" ref="Q360">H360*_xlfn.IFS(H360&lt;=350,INDEX('Pliegos Tarifarios (Quilicura)'!$F:$F,MATCH($B360,'Pliegos Tarifarios (Quilicura)'!$A:$A,0)),H360&lt;=500,INDEX('Pliegos Tarifarios (Quilicura)'!$G:$G,MATCH($B360,'Pliegos Tarifarios (Quilicura)'!$A:$A,0)),H360&lt;=1000,INDEX('Pliegos Tarifarios (Quilicura)'!$H:$H,MATCH($B360,'Pliegos Tarifarios (Quilicura)'!$A:$A,0)),H360&lt;=5000,INDEX('Pliegos Tarifarios (Quilicura)'!$I:$I,MATCH($B360,'Pliegos Tarifarios (Quilicura)'!$A:$A,0)),H360&gt;5000,INDEX('Pliegos Tarifarios (Quilicura)'!$J:$J,MATCH($B360,'Pliegos Tarifarios (Quilicura)'!$A:$A,0)))/1.19</f>
        <v>1988.7249391596642</v>
      </c>
      <c r="R360" s="19">
        <f>INDEX('Pliegos Tarifarios (Quilicura)'!$K:$K,MATCH($B360,'Pliegos Tarifarios (Quilicura)'!$A:$A,0))</f>
        <v>724.74800000000005</v>
      </c>
      <c r="S360" s="21">
        <f t="shared" si="18"/>
        <v>156638.37199875966</v>
      </c>
      <c r="T360" s="21">
        <f t="shared" si="19"/>
        <v>29761.290679764334</v>
      </c>
      <c r="U360" s="19">
        <v>0</v>
      </c>
      <c r="V360" s="21">
        <f t="shared" si="20"/>
        <v>186399.66267852398</v>
      </c>
    </row>
    <row r="361" spans="1:22" x14ac:dyDescent="0.3">
      <c r="A361" s="7" t="s">
        <v>145</v>
      </c>
      <c r="B361" s="7">
        <v>6</v>
      </c>
      <c r="C361" s="8" t="s">
        <v>186</v>
      </c>
      <c r="D361" s="7" t="s">
        <v>194</v>
      </c>
      <c r="E361" s="7" t="s">
        <v>18</v>
      </c>
      <c r="F361" s="8" t="s">
        <v>32</v>
      </c>
      <c r="G361" s="7" t="s">
        <v>16</v>
      </c>
      <c r="H361" s="9">
        <v>2541.4575</v>
      </c>
      <c r="I361" s="9">
        <v>7.1505000000000001</v>
      </c>
      <c r="J361" s="9">
        <v>6.8731999999999998</v>
      </c>
      <c r="K361" s="10">
        <v>0.96121949514019989</v>
      </c>
      <c r="L361" s="9">
        <v>81.98</v>
      </c>
      <c r="M361" s="19">
        <f>H361*INDEX('Pliegos Tarifarios (Quilicura)'!$B:$B,MATCH($B361,'Pliegos Tarifarios (Quilicura)'!$A:$A,0))</f>
        <v>302021.72638499999</v>
      </c>
      <c r="N361" s="19">
        <f>I361*INDEX('Pliegos Tarifarios (Quilicura)'!$C:$C,MATCH($B361,'Pliegos Tarifarios (Quilicura)'!$A:$A,0))</f>
        <v>24744.698527500001</v>
      </c>
      <c r="O361" s="19">
        <f>J361*INDEX('Pliegos Tarifarios (Quilicura)'!$D:$D,MATCH($B361,'Pliegos Tarifarios (Quilicura)'!$A:$A,0))</f>
        <v>97355.640722800003</v>
      </c>
      <c r="P361" s="19">
        <f>H361*INDEX('Pliegos Tarifarios (Quilicura)'!$E:$E,MATCH($B361,'Pliegos Tarifarios (Quilicura)'!$A:$A,0))</f>
        <v>32866.128389999998</v>
      </c>
      <c r="Q361" s="19" cm="1">
        <f t="array" ref="Q361">H361*_xlfn.IFS(H361&lt;=350,INDEX('Pliegos Tarifarios (Quilicura)'!$F:$F,MATCH($B361,'Pliegos Tarifarios (Quilicura)'!$A:$A,0)),H361&lt;=500,INDEX('Pliegos Tarifarios (Quilicura)'!$G:$G,MATCH($B361,'Pliegos Tarifarios (Quilicura)'!$A:$A,0)),H361&lt;=1000,INDEX('Pliegos Tarifarios (Quilicura)'!$H:$H,MATCH($B361,'Pliegos Tarifarios (Quilicura)'!$A:$A,0)),H361&lt;=5000,INDEX('Pliegos Tarifarios (Quilicura)'!$I:$I,MATCH($B361,'Pliegos Tarifarios (Quilicura)'!$A:$A,0)),H361&gt;5000,INDEX('Pliegos Tarifarios (Quilicura)'!$J:$J,MATCH($B361,'Pliegos Tarifarios (Quilicura)'!$A:$A,0)))/1.19</f>
        <v>7626.5081785714274</v>
      </c>
      <c r="R361" s="19">
        <f>INDEX('Pliegos Tarifarios (Quilicura)'!$K:$K,MATCH($B361,'Pliegos Tarifarios (Quilicura)'!$A:$A,0))</f>
        <v>724.74800000000005</v>
      </c>
      <c r="S361" s="21">
        <f t="shared" si="18"/>
        <v>465339.45020387141</v>
      </c>
      <c r="T361" s="21">
        <f t="shared" si="19"/>
        <v>88414.495538735573</v>
      </c>
      <c r="U361" s="19">
        <v>0</v>
      </c>
      <c r="V361" s="21">
        <f t="shared" si="20"/>
        <v>553753.945742607</v>
      </c>
    </row>
    <row r="362" spans="1:22" x14ac:dyDescent="0.3">
      <c r="A362" s="7" t="s">
        <v>145</v>
      </c>
      <c r="B362" s="7">
        <v>6</v>
      </c>
      <c r="C362" s="8" t="s">
        <v>186</v>
      </c>
      <c r="D362" s="7" t="s">
        <v>195</v>
      </c>
      <c r="E362" s="7" t="s">
        <v>34</v>
      </c>
      <c r="F362" s="8" t="s">
        <v>35</v>
      </c>
      <c r="G362" s="7" t="s">
        <v>30</v>
      </c>
      <c r="H362" s="9">
        <v>1058.5441000000001</v>
      </c>
      <c r="I362" s="9">
        <v>2.9239000000000002</v>
      </c>
      <c r="J362" s="9">
        <v>2.9041000000000001</v>
      </c>
      <c r="K362" s="10">
        <v>0.99322822257943155</v>
      </c>
      <c r="L362" s="9">
        <v>34.15</v>
      </c>
      <c r="M362" s="19">
        <f>H362*INDEX('Pliegos Tarifarios (Quilicura)'!$B:$B,MATCH($B362,'Pliegos Tarifarios (Quilicura)'!$A:$A,0))</f>
        <v>125795.2637558</v>
      </c>
      <c r="N362" s="19">
        <f>I362*INDEX('Pliegos Tarifarios (Quilicura)'!$C:$C,MATCH($B362,'Pliegos Tarifarios (Quilicura)'!$A:$A,0))</f>
        <v>10118.316764499999</v>
      </c>
      <c r="O362" s="19">
        <f>J362*INDEX('Pliegos Tarifarios (Quilicura)'!$D:$D,MATCH($B362,'Pliegos Tarifarios (Quilicura)'!$A:$A,0))</f>
        <v>41135.208668900006</v>
      </c>
      <c r="P362" s="19">
        <f>H362*INDEX('Pliegos Tarifarios (Quilicura)'!$E:$E,MATCH($B362,'Pliegos Tarifarios (Quilicura)'!$A:$A,0))</f>
        <v>13689.092301200002</v>
      </c>
      <c r="Q362" s="19" cm="1">
        <f t="array" ref="Q362">H362*_xlfn.IFS(H362&lt;=350,INDEX('Pliegos Tarifarios (Quilicura)'!$F:$F,MATCH($B362,'Pliegos Tarifarios (Quilicura)'!$A:$A,0)),H362&lt;=500,INDEX('Pliegos Tarifarios (Quilicura)'!$G:$G,MATCH($B362,'Pliegos Tarifarios (Quilicura)'!$A:$A,0)),H362&lt;=1000,INDEX('Pliegos Tarifarios (Quilicura)'!$H:$H,MATCH($B362,'Pliegos Tarifarios (Quilicura)'!$A:$A,0)),H362&lt;=5000,INDEX('Pliegos Tarifarios (Quilicura)'!$I:$I,MATCH($B362,'Pliegos Tarifarios (Quilicura)'!$A:$A,0)),H362&gt;5000,INDEX('Pliegos Tarifarios (Quilicura)'!$J:$J,MATCH($B362,'Pliegos Tarifarios (Quilicura)'!$A:$A,0)))/1.19</f>
        <v>3176.5218328571427</v>
      </c>
      <c r="R362" s="19">
        <f>INDEX('Pliegos Tarifarios (Quilicura)'!$K:$K,MATCH($B362,'Pliegos Tarifarios (Quilicura)'!$A:$A,0))</f>
        <v>724.74800000000005</v>
      </c>
      <c r="S362" s="21">
        <f t="shared" si="18"/>
        <v>194639.15132325713</v>
      </c>
      <c r="T362" s="21">
        <f t="shared" si="19"/>
        <v>36981.438751418857</v>
      </c>
      <c r="U362" s="19">
        <v>0</v>
      </c>
      <c r="V362" s="21">
        <f t="shared" si="20"/>
        <v>231620.59007467597</v>
      </c>
    </row>
    <row r="363" spans="1:22" x14ac:dyDescent="0.3">
      <c r="A363" s="7" t="s">
        <v>145</v>
      </c>
      <c r="B363" s="7">
        <v>6</v>
      </c>
      <c r="C363" s="8" t="s">
        <v>186</v>
      </c>
      <c r="D363" s="7" t="s">
        <v>196</v>
      </c>
      <c r="E363" s="7" t="s">
        <v>34</v>
      </c>
      <c r="F363" s="8" t="s">
        <v>37</v>
      </c>
      <c r="G363" s="7" t="s">
        <v>30</v>
      </c>
      <c r="H363" s="9">
        <v>850.68889999999999</v>
      </c>
      <c r="I363" s="9">
        <v>2.3763000000000001</v>
      </c>
      <c r="J363" s="9">
        <v>2.3500999999999999</v>
      </c>
      <c r="K363" s="10">
        <v>0.98897445608719425</v>
      </c>
      <c r="L363" s="9">
        <v>27.44</v>
      </c>
      <c r="M363" s="19">
        <f>H363*INDEX('Pliegos Tarifarios (Quilicura)'!$B:$B,MATCH($B363,'Pliegos Tarifarios (Quilicura)'!$A:$A,0))</f>
        <v>101094.1674982</v>
      </c>
      <c r="N363" s="19">
        <f>I363*INDEX('Pliegos Tarifarios (Quilicura)'!$C:$C,MATCH($B363,'Pliegos Tarifarios (Quilicura)'!$A:$A,0))</f>
        <v>8223.3168464999999</v>
      </c>
      <c r="O363" s="19">
        <f>J363*INDEX('Pliegos Tarifarios (Quilicura)'!$D:$D,MATCH($B363,'Pliegos Tarifarios (Quilicura)'!$A:$A,0))</f>
        <v>33288.059602900001</v>
      </c>
      <c r="P363" s="19">
        <f>H363*INDEX('Pliegos Tarifarios (Quilicura)'!$E:$E,MATCH($B363,'Pliegos Tarifarios (Quilicura)'!$A:$A,0))</f>
        <v>11001.108854800001</v>
      </c>
      <c r="Q363" s="19" cm="1">
        <f t="array" ref="Q363">H363*_xlfn.IFS(H363&lt;=350,INDEX('Pliegos Tarifarios (Quilicura)'!$F:$F,MATCH($B363,'Pliegos Tarifarios (Quilicura)'!$A:$A,0)),H363&lt;=500,INDEX('Pliegos Tarifarios (Quilicura)'!$G:$G,MATCH($B363,'Pliegos Tarifarios (Quilicura)'!$A:$A,0)),H363&lt;=1000,INDEX('Pliegos Tarifarios (Quilicura)'!$H:$H,MATCH($B363,'Pliegos Tarifarios (Quilicura)'!$A:$A,0)),H363&lt;=5000,INDEX('Pliegos Tarifarios (Quilicura)'!$I:$I,MATCH($B363,'Pliegos Tarifarios (Quilicura)'!$A:$A,0)),H363&gt;5000,INDEX('Pliegos Tarifarios (Quilicura)'!$J:$J,MATCH($B363,'Pliegos Tarifarios (Quilicura)'!$A:$A,0)))/1.19</f>
        <v>1995.187159579832</v>
      </c>
      <c r="R363" s="19">
        <f>INDEX('Pliegos Tarifarios (Quilicura)'!$K:$K,MATCH($B363,'Pliegos Tarifarios (Quilicura)'!$A:$A,0))</f>
        <v>724.74800000000005</v>
      </c>
      <c r="S363" s="21">
        <f t="shared" si="18"/>
        <v>156326.58796197982</v>
      </c>
      <c r="T363" s="21">
        <f t="shared" si="19"/>
        <v>29702.051712776167</v>
      </c>
      <c r="U363" s="19">
        <v>0</v>
      </c>
      <c r="V363" s="21">
        <f t="shared" si="20"/>
        <v>186028.63967475598</v>
      </c>
    </row>
    <row r="364" spans="1:22" x14ac:dyDescent="0.3">
      <c r="A364" s="7" t="s">
        <v>145</v>
      </c>
      <c r="B364" s="7">
        <v>6</v>
      </c>
      <c r="C364" s="8" t="s">
        <v>186</v>
      </c>
      <c r="D364" s="7" t="s">
        <v>197</v>
      </c>
      <c r="E364" s="7" t="s">
        <v>34</v>
      </c>
      <c r="F364" s="8" t="s">
        <v>39</v>
      </c>
      <c r="G364" s="7" t="s">
        <v>30</v>
      </c>
      <c r="H364" s="9">
        <v>847.60540000000003</v>
      </c>
      <c r="I364" s="9">
        <v>2.4013</v>
      </c>
      <c r="J364" s="9">
        <v>2.3822999999999999</v>
      </c>
      <c r="K364" s="10">
        <v>0.9920876192062632</v>
      </c>
      <c r="L364" s="9">
        <v>27.34</v>
      </c>
      <c r="M364" s="19">
        <f>H364*INDEX('Pliegos Tarifarios (Quilicura)'!$B:$B,MATCH($B364,'Pliegos Tarifarios (Quilicura)'!$A:$A,0))</f>
        <v>100727.73052519999</v>
      </c>
      <c r="N364" s="19">
        <f>I364*INDEX('Pliegos Tarifarios (Quilicura)'!$C:$C,MATCH($B364,'Pliegos Tarifarios (Quilicura)'!$A:$A,0))</f>
        <v>8309.8307215000004</v>
      </c>
      <c r="O364" s="19">
        <f>J364*INDEX('Pliegos Tarifarios (Quilicura)'!$D:$D,MATCH($B364,'Pliegos Tarifarios (Quilicura)'!$A:$A,0))</f>
        <v>33744.157436699999</v>
      </c>
      <c r="P364" s="19">
        <f>H364*INDEX('Pliegos Tarifarios (Quilicura)'!$E:$E,MATCH($B364,'Pliegos Tarifarios (Quilicura)'!$A:$A,0))</f>
        <v>10961.233032800001</v>
      </c>
      <c r="Q364" s="19" cm="1">
        <f t="array" ref="Q364">H364*_xlfn.IFS(H364&lt;=350,INDEX('Pliegos Tarifarios (Quilicura)'!$F:$F,MATCH($B364,'Pliegos Tarifarios (Quilicura)'!$A:$A,0)),H364&lt;=500,INDEX('Pliegos Tarifarios (Quilicura)'!$G:$G,MATCH($B364,'Pliegos Tarifarios (Quilicura)'!$A:$A,0)),H364&lt;=1000,INDEX('Pliegos Tarifarios (Quilicura)'!$H:$H,MATCH($B364,'Pliegos Tarifarios (Quilicura)'!$A:$A,0)),H364&lt;=5000,INDEX('Pliegos Tarifarios (Quilicura)'!$I:$I,MATCH($B364,'Pliegos Tarifarios (Quilicura)'!$A:$A,0)),H364&gt;5000,INDEX('Pliegos Tarifarios (Quilicura)'!$J:$J,MATCH($B364,'Pliegos Tarifarios (Quilicura)'!$A:$A,0)))/1.19</f>
        <v>1987.9551860504205</v>
      </c>
      <c r="R364" s="19">
        <f>INDEX('Pliegos Tarifarios (Quilicura)'!$K:$K,MATCH($B364,'Pliegos Tarifarios (Quilicura)'!$A:$A,0))</f>
        <v>724.74800000000005</v>
      </c>
      <c r="S364" s="21">
        <f t="shared" si="18"/>
        <v>156455.65490225039</v>
      </c>
      <c r="T364" s="21">
        <f t="shared" si="19"/>
        <v>29726.574431427573</v>
      </c>
      <c r="U364" s="19">
        <v>0</v>
      </c>
      <c r="V364" s="21">
        <f t="shared" si="20"/>
        <v>186182.22933367797</v>
      </c>
    </row>
    <row r="365" spans="1:22" x14ac:dyDescent="0.3">
      <c r="A365" s="7" t="s">
        <v>145</v>
      </c>
      <c r="B365" s="7">
        <v>6</v>
      </c>
      <c r="C365" s="8" t="s">
        <v>186</v>
      </c>
      <c r="D365" s="7" t="s">
        <v>198</v>
      </c>
      <c r="E365" s="7" t="s">
        <v>34</v>
      </c>
      <c r="F365" s="8" t="s">
        <v>41</v>
      </c>
      <c r="G365" s="7" t="s">
        <v>30</v>
      </c>
      <c r="H365" s="9">
        <v>635.0915</v>
      </c>
      <c r="I365" s="9">
        <v>1.7796000000000001</v>
      </c>
      <c r="J365" s="9">
        <v>1.7796000000000001</v>
      </c>
      <c r="K365" s="10">
        <v>1</v>
      </c>
      <c r="L365" s="9">
        <v>20.49</v>
      </c>
      <c r="M365" s="19">
        <f>H365*INDEX('Pliegos Tarifarios (Quilicura)'!$B:$B,MATCH($B365,'Pliegos Tarifarios (Quilicura)'!$A:$A,0))</f>
        <v>75473.003677000001</v>
      </c>
      <c r="N365" s="19">
        <f>I365*INDEX('Pliegos Tarifarios (Quilicura)'!$C:$C,MATCH($B365,'Pliegos Tarifarios (Quilicura)'!$A:$A,0))</f>
        <v>6158.4036779999997</v>
      </c>
      <c r="O365" s="19">
        <f>J365*INDEX('Pliegos Tarifarios (Quilicura)'!$D:$D,MATCH($B365,'Pliegos Tarifarios (Quilicura)'!$A:$A,0))</f>
        <v>25207.195808400003</v>
      </c>
      <c r="P365" s="19">
        <f>H365*INDEX('Pliegos Tarifarios (Quilicura)'!$E:$E,MATCH($B365,'Pliegos Tarifarios (Quilicura)'!$A:$A,0))</f>
        <v>8213.0032780000001</v>
      </c>
      <c r="Q365" s="19" cm="1">
        <f t="array" ref="Q365">H365*_xlfn.IFS(H365&lt;=350,INDEX('Pliegos Tarifarios (Quilicura)'!$F:$F,MATCH($B365,'Pliegos Tarifarios (Quilicura)'!$A:$A,0)),H365&lt;=500,INDEX('Pliegos Tarifarios (Quilicura)'!$G:$G,MATCH($B365,'Pliegos Tarifarios (Quilicura)'!$A:$A,0)),H365&lt;=1000,INDEX('Pliegos Tarifarios (Quilicura)'!$H:$H,MATCH($B365,'Pliegos Tarifarios (Quilicura)'!$A:$A,0)),H365&lt;=5000,INDEX('Pliegos Tarifarios (Quilicura)'!$I:$I,MATCH($B365,'Pliegos Tarifarios (Quilicura)'!$A:$A,0)),H365&gt;5000,INDEX('Pliegos Tarifarios (Quilicura)'!$J:$J,MATCH($B365,'Pliegos Tarifarios (Quilicura)'!$A:$A,0)))/1.19</f>
        <v>1489.5297281512608</v>
      </c>
      <c r="R365" s="19">
        <f>INDEX('Pliegos Tarifarios (Quilicura)'!$K:$K,MATCH($B365,'Pliegos Tarifarios (Quilicura)'!$A:$A,0))</f>
        <v>724.74800000000005</v>
      </c>
      <c r="S365" s="21">
        <f t="shared" si="18"/>
        <v>117265.88416955128</v>
      </c>
      <c r="T365" s="21">
        <f t="shared" si="19"/>
        <v>22280.517992214744</v>
      </c>
      <c r="U365" s="19">
        <v>0</v>
      </c>
      <c r="V365" s="21">
        <f t="shared" si="20"/>
        <v>139546.40216176602</v>
      </c>
    </row>
    <row r="366" spans="1:22" x14ac:dyDescent="0.3">
      <c r="A366" s="7" t="s">
        <v>145</v>
      </c>
      <c r="B366" s="7">
        <v>6</v>
      </c>
      <c r="C366" s="8" t="s">
        <v>186</v>
      </c>
      <c r="D366" s="7" t="s">
        <v>199</v>
      </c>
      <c r="E366" s="7" t="s">
        <v>34</v>
      </c>
      <c r="F366" s="8" t="s">
        <v>43</v>
      </c>
      <c r="G366" s="7" t="s">
        <v>30</v>
      </c>
      <c r="H366" s="9">
        <v>635.29579999999999</v>
      </c>
      <c r="I366" s="9">
        <v>1.7791999999999999</v>
      </c>
      <c r="J366" s="9">
        <v>1.7791999999999999</v>
      </c>
      <c r="K366" s="10">
        <v>1</v>
      </c>
      <c r="L366" s="9">
        <v>20.49</v>
      </c>
      <c r="M366" s="19">
        <f>H366*INDEX('Pliegos Tarifarios (Quilicura)'!$B:$B,MATCH($B366,'Pliegos Tarifarios (Quilicura)'!$A:$A,0))</f>
        <v>75497.282280399988</v>
      </c>
      <c r="N366" s="19">
        <f>I366*INDEX('Pliegos Tarifarios (Quilicura)'!$C:$C,MATCH($B366,'Pliegos Tarifarios (Quilicura)'!$A:$A,0))</f>
        <v>6157.0194559999991</v>
      </c>
      <c r="O366" s="19">
        <f>J366*INDEX('Pliegos Tarifarios (Quilicura)'!$D:$D,MATCH($B366,'Pliegos Tarifarios (Quilicura)'!$A:$A,0))</f>
        <v>25201.5299968</v>
      </c>
      <c r="P366" s="19">
        <f>H366*INDEX('Pliegos Tarifarios (Quilicura)'!$E:$E,MATCH($B366,'Pliegos Tarifarios (Quilicura)'!$A:$A,0))</f>
        <v>8215.6452855999996</v>
      </c>
      <c r="Q366" s="19" cm="1">
        <f t="array" ref="Q366">H366*_xlfn.IFS(H366&lt;=350,INDEX('Pliegos Tarifarios (Quilicura)'!$F:$F,MATCH($B366,'Pliegos Tarifarios (Quilicura)'!$A:$A,0)),H366&lt;=500,INDEX('Pliegos Tarifarios (Quilicura)'!$G:$G,MATCH($B366,'Pliegos Tarifarios (Quilicura)'!$A:$A,0)),H366&lt;=1000,INDEX('Pliegos Tarifarios (Quilicura)'!$H:$H,MATCH($B366,'Pliegos Tarifarios (Quilicura)'!$A:$A,0)),H366&lt;=5000,INDEX('Pliegos Tarifarios (Quilicura)'!$I:$I,MATCH($B366,'Pliegos Tarifarios (Quilicura)'!$A:$A,0)),H366&gt;5000,INDEX('Pliegos Tarifarios (Quilicura)'!$J:$J,MATCH($B366,'Pliegos Tarifarios (Quilicura)'!$A:$A,0)))/1.19</f>
        <v>1490.0088889075632</v>
      </c>
      <c r="R366" s="19">
        <f>INDEX('Pliegos Tarifarios (Quilicura)'!$K:$K,MATCH($B366,'Pliegos Tarifarios (Quilicura)'!$A:$A,0))</f>
        <v>724.74800000000005</v>
      </c>
      <c r="S366" s="21">
        <f t="shared" si="18"/>
        <v>117286.23390770754</v>
      </c>
      <c r="T366" s="21">
        <f t="shared" si="19"/>
        <v>22284.384442464434</v>
      </c>
      <c r="U366" s="19">
        <v>0</v>
      </c>
      <c r="V366" s="21">
        <f t="shared" si="20"/>
        <v>139570.61835017198</v>
      </c>
    </row>
    <row r="367" spans="1:22" x14ac:dyDescent="0.3">
      <c r="A367" s="7" t="s">
        <v>145</v>
      </c>
      <c r="B367" s="7">
        <v>6</v>
      </c>
      <c r="C367" s="8" t="s">
        <v>186</v>
      </c>
      <c r="D367" s="7" t="s">
        <v>200</v>
      </c>
      <c r="E367" s="7" t="s">
        <v>34</v>
      </c>
      <c r="F367" s="8" t="s">
        <v>45</v>
      </c>
      <c r="G367" s="7" t="s">
        <v>30</v>
      </c>
      <c r="H367" s="9">
        <v>635.94489999999996</v>
      </c>
      <c r="I367" s="9">
        <v>1.7544999999999999</v>
      </c>
      <c r="J367" s="9">
        <v>1.7544999999999999</v>
      </c>
      <c r="K367" s="10">
        <v>1</v>
      </c>
      <c r="L367" s="9">
        <v>20.51</v>
      </c>
      <c r="M367" s="19">
        <f>H367*INDEX('Pliegos Tarifarios (Quilicura)'!$B:$B,MATCH($B367,'Pliegos Tarifarios (Quilicura)'!$A:$A,0))</f>
        <v>75574.420026199994</v>
      </c>
      <c r="N367" s="19">
        <f>I367*INDEX('Pliegos Tarifarios (Quilicura)'!$C:$C,MATCH($B367,'Pliegos Tarifarios (Quilicura)'!$A:$A,0))</f>
        <v>6071.5437474999999</v>
      </c>
      <c r="O367" s="19">
        <f>J367*INDEX('Pliegos Tarifarios (Quilicura)'!$D:$D,MATCH($B367,'Pliegos Tarifarios (Quilicura)'!$A:$A,0))</f>
        <v>24851.666130500002</v>
      </c>
      <c r="P367" s="19">
        <f>H367*INDEX('Pliegos Tarifarios (Quilicura)'!$E:$E,MATCH($B367,'Pliegos Tarifarios (Quilicura)'!$A:$A,0))</f>
        <v>8224.0394467999995</v>
      </c>
      <c r="Q367" s="19" cm="1">
        <f t="array" ref="Q367">H367*_xlfn.IFS(H367&lt;=350,INDEX('Pliegos Tarifarios (Quilicura)'!$F:$F,MATCH($B367,'Pliegos Tarifarios (Quilicura)'!$A:$A,0)),H367&lt;=500,INDEX('Pliegos Tarifarios (Quilicura)'!$G:$G,MATCH($B367,'Pliegos Tarifarios (Quilicura)'!$A:$A,0)),H367&lt;=1000,INDEX('Pliegos Tarifarios (Quilicura)'!$H:$H,MATCH($B367,'Pliegos Tarifarios (Quilicura)'!$A:$A,0)),H367&lt;=5000,INDEX('Pliegos Tarifarios (Quilicura)'!$I:$I,MATCH($B367,'Pliegos Tarifarios (Quilicura)'!$A:$A,0)),H367&gt;5000,INDEX('Pliegos Tarifarios (Quilicura)'!$J:$J,MATCH($B367,'Pliegos Tarifarios (Quilicura)'!$A:$A,0)))/1.19</f>
        <v>1491.5312738655464</v>
      </c>
      <c r="R367" s="19">
        <f>INDEX('Pliegos Tarifarios (Quilicura)'!$K:$K,MATCH($B367,'Pliegos Tarifarios (Quilicura)'!$A:$A,0))</f>
        <v>724.74800000000005</v>
      </c>
      <c r="S367" s="21">
        <f t="shared" si="18"/>
        <v>116937.94862486556</v>
      </c>
      <c r="T367" s="21">
        <f t="shared" si="19"/>
        <v>22218.210238724456</v>
      </c>
      <c r="U367" s="19">
        <v>0</v>
      </c>
      <c r="V367" s="21">
        <f t="shared" si="20"/>
        <v>139156.15886359001</v>
      </c>
    </row>
    <row r="368" spans="1:22" x14ac:dyDescent="0.3">
      <c r="A368" s="7" t="s">
        <v>145</v>
      </c>
      <c r="B368" s="7">
        <v>6</v>
      </c>
      <c r="C368" s="8" t="s">
        <v>186</v>
      </c>
      <c r="D368" s="7" t="s">
        <v>201</v>
      </c>
      <c r="E368" s="7" t="s">
        <v>47</v>
      </c>
      <c r="F368" s="8" t="s">
        <v>48</v>
      </c>
      <c r="G368" s="7" t="s">
        <v>30</v>
      </c>
      <c r="H368" s="9">
        <v>636.26</v>
      </c>
      <c r="I368" s="9">
        <v>1.7749999999999999</v>
      </c>
      <c r="J368" s="9">
        <v>1.7020999999999999</v>
      </c>
      <c r="K368" s="10">
        <v>0.9589295774647888</v>
      </c>
      <c r="L368" s="9">
        <v>20.52</v>
      </c>
      <c r="M368" s="19">
        <f>H368*INDEX('Pliegos Tarifarios (Quilicura)'!$B:$B,MATCH($B368,'Pliegos Tarifarios (Quilicura)'!$A:$A,0))</f>
        <v>75611.865879999998</v>
      </c>
      <c r="N368" s="19">
        <f>I368*INDEX('Pliegos Tarifarios (Quilicura)'!$C:$C,MATCH($B368,'Pliegos Tarifarios (Quilicura)'!$A:$A,0))</f>
        <v>6142.4851249999992</v>
      </c>
      <c r="O368" s="19">
        <f>J368*INDEX('Pliegos Tarifarios (Quilicura)'!$D:$D,MATCH($B368,'Pliegos Tarifarios (Quilicura)'!$A:$A,0))</f>
        <v>24109.4448109</v>
      </c>
      <c r="P368" s="19">
        <f>H368*INDEX('Pliegos Tarifarios (Quilicura)'!$E:$E,MATCH($B368,'Pliegos Tarifarios (Quilicura)'!$A:$A,0))</f>
        <v>8228.1143200000006</v>
      </c>
      <c r="Q368" s="19" cm="1">
        <f t="array" ref="Q368">H368*_xlfn.IFS(H368&lt;=350,INDEX('Pliegos Tarifarios (Quilicura)'!$F:$F,MATCH($B368,'Pliegos Tarifarios (Quilicura)'!$A:$A,0)),H368&lt;=500,INDEX('Pliegos Tarifarios (Quilicura)'!$G:$G,MATCH($B368,'Pliegos Tarifarios (Quilicura)'!$A:$A,0)),H368&lt;=1000,INDEX('Pliegos Tarifarios (Quilicura)'!$H:$H,MATCH($B368,'Pliegos Tarifarios (Quilicura)'!$A:$A,0)),H368&lt;=5000,INDEX('Pliegos Tarifarios (Quilicura)'!$I:$I,MATCH($B368,'Pliegos Tarifarios (Quilicura)'!$A:$A,0)),H368&gt;5000,INDEX('Pliegos Tarifarios (Quilicura)'!$J:$J,MATCH($B368,'Pliegos Tarifarios (Quilicura)'!$A:$A,0)))/1.19</f>
        <v>1492.2703025210087</v>
      </c>
      <c r="R368" s="19">
        <f>INDEX('Pliegos Tarifarios (Quilicura)'!$K:$K,MATCH($B368,'Pliegos Tarifarios (Quilicura)'!$A:$A,0))</f>
        <v>724.74800000000005</v>
      </c>
      <c r="S368" s="21">
        <f t="shared" si="18"/>
        <v>116308.928438421</v>
      </c>
      <c r="T368" s="21">
        <f t="shared" si="19"/>
        <v>22098.696403299989</v>
      </c>
      <c r="U368" s="19">
        <v>0</v>
      </c>
      <c r="V368" s="21">
        <f t="shared" si="20"/>
        <v>138407.624841721</v>
      </c>
    </row>
    <row r="369" spans="1:22" x14ac:dyDescent="0.3">
      <c r="A369" s="7" t="s">
        <v>145</v>
      </c>
      <c r="B369" s="7">
        <v>6</v>
      </c>
      <c r="C369" s="8" t="s">
        <v>186</v>
      </c>
      <c r="D369" s="7" t="s">
        <v>202</v>
      </c>
      <c r="E369" s="7" t="s">
        <v>47</v>
      </c>
      <c r="F369" s="8" t="s">
        <v>50</v>
      </c>
      <c r="G369" s="7" t="s">
        <v>30</v>
      </c>
      <c r="H369" s="9">
        <v>636.33680000000004</v>
      </c>
      <c r="I369" s="9">
        <v>1.7768999999999999</v>
      </c>
      <c r="J369" s="9">
        <v>1.7477</v>
      </c>
      <c r="K369" s="10">
        <v>0.98356688615003662</v>
      </c>
      <c r="L369" s="9">
        <v>20.53</v>
      </c>
      <c r="M369" s="19">
        <f>H369*INDEX('Pliegos Tarifarios (Quilicura)'!$B:$B,MATCH($B369,'Pliegos Tarifarios (Quilicura)'!$A:$A,0))</f>
        <v>75620.992638399999</v>
      </c>
      <c r="N369" s="19">
        <f>I369*INDEX('Pliegos Tarifarios (Quilicura)'!$C:$C,MATCH($B369,'Pliegos Tarifarios (Quilicura)'!$A:$A,0))</f>
        <v>6149.0601794999993</v>
      </c>
      <c r="O369" s="19">
        <f>J369*INDEX('Pliegos Tarifarios (Quilicura)'!$D:$D,MATCH($B369,'Pliegos Tarifarios (Quilicura)'!$A:$A,0))</f>
        <v>24755.3473333</v>
      </c>
      <c r="P369" s="19">
        <f>H369*INDEX('Pliegos Tarifarios (Quilicura)'!$E:$E,MATCH($B369,'Pliegos Tarifarios (Quilicura)'!$A:$A,0))</f>
        <v>8229.1074976</v>
      </c>
      <c r="Q369" s="19" cm="1">
        <f t="array" ref="Q369">H369*_xlfn.IFS(H369&lt;=350,INDEX('Pliegos Tarifarios (Quilicura)'!$F:$F,MATCH($B369,'Pliegos Tarifarios (Quilicura)'!$A:$A,0)),H369&lt;=500,INDEX('Pliegos Tarifarios (Quilicura)'!$G:$G,MATCH($B369,'Pliegos Tarifarios (Quilicura)'!$A:$A,0)),H369&lt;=1000,INDEX('Pliegos Tarifarios (Quilicura)'!$H:$H,MATCH($B369,'Pliegos Tarifarios (Quilicura)'!$A:$A,0)),H369&lt;=5000,INDEX('Pliegos Tarifarios (Quilicura)'!$I:$I,MATCH($B369,'Pliegos Tarifarios (Quilicura)'!$A:$A,0)),H369&gt;5000,INDEX('Pliegos Tarifarios (Quilicura)'!$J:$J,MATCH($B369,'Pliegos Tarifarios (Quilicura)'!$A:$A,0)))/1.19</f>
        <v>1492.4504275630254</v>
      </c>
      <c r="R369" s="19">
        <f>INDEX('Pliegos Tarifarios (Quilicura)'!$K:$K,MATCH($B369,'Pliegos Tarifarios (Quilicura)'!$A:$A,0))</f>
        <v>724.74800000000005</v>
      </c>
      <c r="S369" s="21">
        <f t="shared" si="18"/>
        <v>116971.70607636303</v>
      </c>
      <c r="T369" s="21">
        <f t="shared" si="19"/>
        <v>22224.624154508976</v>
      </c>
      <c r="U369" s="19">
        <v>0</v>
      </c>
      <c r="V369" s="21">
        <f t="shared" si="20"/>
        <v>139196.330230872</v>
      </c>
    </row>
    <row r="370" spans="1:22" x14ac:dyDescent="0.3">
      <c r="A370" s="7" t="s">
        <v>145</v>
      </c>
      <c r="B370" s="7">
        <v>6</v>
      </c>
      <c r="C370" s="8" t="s">
        <v>186</v>
      </c>
      <c r="D370" s="7" t="s">
        <v>203</v>
      </c>
      <c r="E370" s="7" t="s">
        <v>52</v>
      </c>
      <c r="F370" s="8" t="s">
        <v>53</v>
      </c>
      <c r="G370" s="7" t="s">
        <v>30</v>
      </c>
      <c r="H370" s="9">
        <v>635.14940000000001</v>
      </c>
      <c r="I370" s="9">
        <v>1.7612000000000001</v>
      </c>
      <c r="J370" s="9">
        <v>1.7502</v>
      </c>
      <c r="K370" s="10">
        <v>0.99375425846014076</v>
      </c>
      <c r="L370" s="9">
        <v>20.49</v>
      </c>
      <c r="M370" s="19">
        <f>H370*INDEX('Pliegos Tarifarios (Quilicura)'!$B:$B,MATCH($B370,'Pliegos Tarifarios (Quilicura)'!$A:$A,0))</f>
        <v>75479.884397200003</v>
      </c>
      <c r="N370" s="19">
        <f>I370*INDEX('Pliegos Tarifarios (Quilicura)'!$C:$C,MATCH($B370,'Pliegos Tarifarios (Quilicura)'!$A:$A,0))</f>
        <v>6094.7294659999998</v>
      </c>
      <c r="O370" s="19">
        <f>J370*INDEX('Pliegos Tarifarios (Quilicura)'!$D:$D,MATCH($B370,'Pliegos Tarifarios (Quilicura)'!$A:$A,0))</f>
        <v>24790.7586558</v>
      </c>
      <c r="P370" s="19">
        <f>H370*INDEX('Pliegos Tarifarios (Quilicura)'!$E:$E,MATCH($B370,'Pliegos Tarifarios (Quilicura)'!$A:$A,0))</f>
        <v>8213.7520408</v>
      </c>
      <c r="Q370" s="19" cm="1">
        <f t="array" ref="Q370">H370*_xlfn.IFS(H370&lt;=350,INDEX('Pliegos Tarifarios (Quilicura)'!$F:$F,MATCH($B370,'Pliegos Tarifarios (Quilicura)'!$A:$A,0)),H370&lt;=500,INDEX('Pliegos Tarifarios (Quilicura)'!$G:$G,MATCH($B370,'Pliegos Tarifarios (Quilicura)'!$A:$A,0)),H370&lt;=1000,INDEX('Pliegos Tarifarios (Quilicura)'!$H:$H,MATCH($B370,'Pliegos Tarifarios (Quilicura)'!$A:$A,0)),H370&lt;=5000,INDEX('Pliegos Tarifarios (Quilicura)'!$I:$I,MATCH($B370,'Pliegos Tarifarios (Quilicura)'!$A:$A,0)),H370&gt;5000,INDEX('Pliegos Tarifarios (Quilicura)'!$J:$J,MATCH($B370,'Pliegos Tarifarios (Quilicura)'!$A:$A,0)))/1.19</f>
        <v>1489.6655255462188</v>
      </c>
      <c r="R370" s="19">
        <f>INDEX('Pliegos Tarifarios (Quilicura)'!$K:$K,MATCH($B370,'Pliegos Tarifarios (Quilicura)'!$A:$A,0))</f>
        <v>724.74800000000005</v>
      </c>
      <c r="S370" s="21">
        <f t="shared" si="18"/>
        <v>116793.53808534624</v>
      </c>
      <c r="T370" s="21">
        <f t="shared" si="19"/>
        <v>22190.772236215787</v>
      </c>
      <c r="U370" s="19">
        <v>0</v>
      </c>
      <c r="V370" s="21">
        <f t="shared" si="20"/>
        <v>138984.31032156202</v>
      </c>
    </row>
    <row r="371" spans="1:22" x14ac:dyDescent="0.3">
      <c r="A371" s="7" t="s">
        <v>145</v>
      </c>
      <c r="B371" s="7">
        <v>6</v>
      </c>
      <c r="C371" s="8" t="s">
        <v>186</v>
      </c>
      <c r="D371" s="7" t="s">
        <v>204</v>
      </c>
      <c r="E371" s="7" t="s">
        <v>55</v>
      </c>
      <c r="F371" s="8" t="s">
        <v>56</v>
      </c>
      <c r="G371" s="7" t="s">
        <v>30</v>
      </c>
      <c r="H371" s="9">
        <v>423.54840000000002</v>
      </c>
      <c r="I371" s="9">
        <v>1.2049000000000001</v>
      </c>
      <c r="J371" s="9">
        <v>1.1768000000000001</v>
      </c>
      <c r="K371" s="10">
        <v>0.97667856253631002</v>
      </c>
      <c r="L371" s="9">
        <v>13.66</v>
      </c>
      <c r="M371" s="19">
        <f>H371*INDEX('Pliegos Tarifarios (Quilicura)'!$B:$B,MATCH($B371,'Pliegos Tarifarios (Quilicura)'!$A:$A,0))</f>
        <v>50333.644759199997</v>
      </c>
      <c r="N371" s="19">
        <f>I371*INDEX('Pliegos Tarifarios (Quilicura)'!$C:$C,MATCH($B371,'Pliegos Tarifarios (Quilicura)'!$A:$A,0))</f>
        <v>4169.6227195000001</v>
      </c>
      <c r="O371" s="19">
        <f>J371*INDEX('Pliegos Tarifarios (Quilicura)'!$D:$D,MATCH($B371,'Pliegos Tarifarios (Quilicura)'!$A:$A,0))</f>
        <v>16668.817727200003</v>
      </c>
      <c r="P371" s="19">
        <f>H371*INDEX('Pliegos Tarifarios (Quilicura)'!$E:$E,MATCH($B371,'Pliegos Tarifarios (Quilicura)'!$A:$A,0))</f>
        <v>5477.3279087999999</v>
      </c>
      <c r="Q371" s="19" cm="1">
        <f t="array" ref="Q371">H371*_xlfn.IFS(H371&lt;=350,INDEX('Pliegos Tarifarios (Quilicura)'!$F:$F,MATCH($B371,'Pliegos Tarifarios (Quilicura)'!$A:$A,0)),H371&lt;=500,INDEX('Pliegos Tarifarios (Quilicura)'!$G:$G,MATCH($B371,'Pliegos Tarifarios (Quilicura)'!$A:$A,0)),H371&lt;=1000,INDEX('Pliegos Tarifarios (Quilicura)'!$H:$H,MATCH($B371,'Pliegos Tarifarios (Quilicura)'!$A:$A,0)),H371&lt;=5000,INDEX('Pliegos Tarifarios (Quilicura)'!$I:$I,MATCH($B371,'Pliegos Tarifarios (Quilicura)'!$A:$A,0)),H371&gt;5000,INDEX('Pliegos Tarifarios (Quilicura)'!$J:$J,MATCH($B371,'Pliegos Tarifarios (Quilicura)'!$A:$A,0)))/1.19</f>
        <v>596.52699025210097</v>
      </c>
      <c r="R371" s="19">
        <f>INDEX('Pliegos Tarifarios (Quilicura)'!$K:$K,MATCH($B371,'Pliegos Tarifarios (Quilicura)'!$A:$A,0))</f>
        <v>724.74800000000005</v>
      </c>
      <c r="S371" s="21">
        <f t="shared" si="18"/>
        <v>77970.688104952103</v>
      </c>
      <c r="T371" s="21">
        <f t="shared" si="19"/>
        <v>14814.430739940899</v>
      </c>
      <c r="U371" s="19">
        <v>0</v>
      </c>
      <c r="V371" s="21">
        <f t="shared" si="20"/>
        <v>92785.118844893004</v>
      </c>
    </row>
    <row r="372" spans="1:22" x14ac:dyDescent="0.3">
      <c r="A372" s="7" t="s">
        <v>145</v>
      </c>
      <c r="B372" s="7">
        <v>6</v>
      </c>
      <c r="C372" s="8" t="s">
        <v>186</v>
      </c>
      <c r="D372" s="7" t="s">
        <v>205</v>
      </c>
      <c r="E372" s="7" t="s">
        <v>58</v>
      </c>
      <c r="F372" s="8" t="s">
        <v>59</v>
      </c>
      <c r="G372" s="7" t="s">
        <v>30</v>
      </c>
      <c r="H372" s="9">
        <v>423.46420000000001</v>
      </c>
      <c r="I372" s="9">
        <v>1.1685000000000001</v>
      </c>
      <c r="J372" s="9">
        <v>1.1626000000000001</v>
      </c>
      <c r="K372" s="10">
        <v>0.99495079161317923</v>
      </c>
      <c r="L372" s="9">
        <v>13.66</v>
      </c>
      <c r="M372" s="19">
        <f>H372*INDEX('Pliegos Tarifarios (Quilicura)'!$B:$B,MATCH($B372,'Pliegos Tarifarios (Quilicura)'!$A:$A,0))</f>
        <v>50323.638599599995</v>
      </c>
      <c r="N372" s="19">
        <f>I372*INDEX('Pliegos Tarifarios (Quilicura)'!$C:$C,MATCH($B372,'Pliegos Tarifarios (Quilicura)'!$A:$A,0))</f>
        <v>4043.6585175</v>
      </c>
      <c r="O372" s="19">
        <f>J372*INDEX('Pliegos Tarifarios (Quilicura)'!$D:$D,MATCH($B372,'Pliegos Tarifarios (Quilicura)'!$A:$A,0))</f>
        <v>16467.681415400002</v>
      </c>
      <c r="P372" s="19">
        <f>H372*INDEX('Pliegos Tarifarios (Quilicura)'!$E:$E,MATCH($B372,'Pliegos Tarifarios (Quilicura)'!$A:$A,0))</f>
        <v>5476.2390344000005</v>
      </c>
      <c r="Q372" s="19" cm="1">
        <f t="array" ref="Q372">H372*_xlfn.IFS(H372&lt;=350,INDEX('Pliegos Tarifarios (Quilicura)'!$F:$F,MATCH($B372,'Pliegos Tarifarios (Quilicura)'!$A:$A,0)),H372&lt;=500,INDEX('Pliegos Tarifarios (Quilicura)'!$G:$G,MATCH($B372,'Pliegos Tarifarios (Quilicura)'!$A:$A,0)),H372&lt;=1000,INDEX('Pliegos Tarifarios (Quilicura)'!$H:$H,MATCH($B372,'Pliegos Tarifarios (Quilicura)'!$A:$A,0)),H372&lt;=5000,INDEX('Pliegos Tarifarios (Quilicura)'!$I:$I,MATCH($B372,'Pliegos Tarifarios (Quilicura)'!$A:$A,0)),H372&gt;5000,INDEX('Pliegos Tarifarios (Quilicura)'!$J:$J,MATCH($B372,'Pliegos Tarifarios (Quilicura)'!$A:$A,0)))/1.19</f>
        <v>596.40840268907573</v>
      </c>
      <c r="R372" s="19">
        <f>INDEX('Pliegos Tarifarios (Quilicura)'!$K:$K,MATCH($B372,'Pliegos Tarifarios (Quilicura)'!$A:$A,0))</f>
        <v>724.74800000000005</v>
      </c>
      <c r="S372" s="21">
        <f t="shared" si="18"/>
        <v>77632.373969589084</v>
      </c>
      <c r="T372" s="21">
        <f t="shared" si="19"/>
        <v>14750.151054221926</v>
      </c>
      <c r="U372" s="19">
        <v>0</v>
      </c>
      <c r="V372" s="21">
        <f t="shared" si="20"/>
        <v>92382.525023811002</v>
      </c>
    </row>
    <row r="373" spans="1:22" x14ac:dyDescent="0.3">
      <c r="A373" s="7" t="s">
        <v>145</v>
      </c>
      <c r="B373" s="7">
        <v>6</v>
      </c>
      <c r="C373" s="8" t="s">
        <v>186</v>
      </c>
      <c r="D373" s="7" t="s">
        <v>206</v>
      </c>
      <c r="E373" s="7" t="s">
        <v>61</v>
      </c>
      <c r="F373" s="8" t="s">
        <v>62</v>
      </c>
      <c r="G373" s="7" t="s">
        <v>30</v>
      </c>
      <c r="H373" s="9">
        <v>423.40109999999999</v>
      </c>
      <c r="I373" s="9">
        <v>1.1583000000000001</v>
      </c>
      <c r="J373" s="9">
        <v>1.1579999999999999</v>
      </c>
      <c r="K373" s="10">
        <v>0.99974099974099961</v>
      </c>
      <c r="L373" s="9">
        <v>13.66</v>
      </c>
      <c r="M373" s="19">
        <f>H373*INDEX('Pliegos Tarifarios (Quilicura)'!$B:$B,MATCH($B373,'Pliegos Tarifarios (Quilicura)'!$A:$A,0))</f>
        <v>50316.139921799993</v>
      </c>
      <c r="N373" s="19">
        <f>I373*INDEX('Pliegos Tarifarios (Quilicura)'!$C:$C,MATCH($B373,'Pliegos Tarifarios (Quilicura)'!$A:$A,0))</f>
        <v>4008.3608565000004</v>
      </c>
      <c r="O373" s="19">
        <f>J373*INDEX('Pliegos Tarifarios (Quilicura)'!$D:$D,MATCH($B373,'Pliegos Tarifarios (Quilicura)'!$A:$A,0))</f>
        <v>16402.524581999998</v>
      </c>
      <c r="P373" s="19">
        <f>H373*INDEX('Pliegos Tarifarios (Quilicura)'!$E:$E,MATCH($B373,'Pliegos Tarifarios (Quilicura)'!$A:$A,0))</f>
        <v>5475.4230251999998</v>
      </c>
      <c r="Q373" s="19" cm="1">
        <f t="array" ref="Q373">H373*_xlfn.IFS(H373&lt;=350,INDEX('Pliegos Tarifarios (Quilicura)'!$F:$F,MATCH($B373,'Pliegos Tarifarios (Quilicura)'!$A:$A,0)),H373&lt;=500,INDEX('Pliegos Tarifarios (Quilicura)'!$G:$G,MATCH($B373,'Pliegos Tarifarios (Quilicura)'!$A:$A,0)),H373&lt;=1000,INDEX('Pliegos Tarifarios (Quilicura)'!$H:$H,MATCH($B373,'Pliegos Tarifarios (Quilicura)'!$A:$A,0)),H373&lt;=5000,INDEX('Pliegos Tarifarios (Quilicura)'!$I:$I,MATCH($B373,'Pliegos Tarifarios (Quilicura)'!$A:$A,0)),H373&gt;5000,INDEX('Pliegos Tarifarios (Quilicura)'!$J:$J,MATCH($B373,'Pliegos Tarifarios (Quilicura)'!$A:$A,0)))/1.19</f>
        <v>596.3195324369749</v>
      </c>
      <c r="R373" s="19">
        <f>INDEX('Pliegos Tarifarios (Quilicura)'!$K:$K,MATCH($B373,'Pliegos Tarifarios (Quilicura)'!$A:$A,0))</f>
        <v>724.74800000000005</v>
      </c>
      <c r="S373" s="21">
        <f t="shared" si="18"/>
        <v>77523.51591793698</v>
      </c>
      <c r="T373" s="21">
        <f t="shared" si="19"/>
        <v>14729.468024408026</v>
      </c>
      <c r="U373" s="19">
        <v>0</v>
      </c>
      <c r="V373" s="21">
        <f t="shared" si="20"/>
        <v>92252.983942345003</v>
      </c>
    </row>
    <row r="374" spans="1:22" x14ac:dyDescent="0.3">
      <c r="A374" s="7" t="s">
        <v>145</v>
      </c>
      <c r="B374" s="7">
        <v>6</v>
      </c>
      <c r="C374" s="8" t="s">
        <v>186</v>
      </c>
      <c r="D374" s="7" t="s">
        <v>207</v>
      </c>
      <c r="E374" s="7" t="s">
        <v>34</v>
      </c>
      <c r="F374" s="8" t="s">
        <v>64</v>
      </c>
      <c r="G374" s="7" t="s">
        <v>30</v>
      </c>
      <c r="H374" s="9">
        <v>847.01260000000002</v>
      </c>
      <c r="I374" s="9">
        <v>2.4340000000000002</v>
      </c>
      <c r="J374" s="9">
        <v>2.4340000000000002</v>
      </c>
      <c r="K374" s="10">
        <v>1</v>
      </c>
      <c r="L374" s="9">
        <v>27.32</v>
      </c>
      <c r="M374" s="19">
        <f>H374*INDEX('Pliegos Tarifarios (Quilicura)'!$B:$B,MATCH($B374,'Pliegos Tarifarios (Quilicura)'!$A:$A,0))</f>
        <v>100657.28335879999</v>
      </c>
      <c r="N374" s="19">
        <f>I374*INDEX('Pliegos Tarifarios (Quilicura)'!$C:$C,MATCH($B374,'Pliegos Tarifarios (Quilicura)'!$A:$A,0))</f>
        <v>8422.9908699999996</v>
      </c>
      <c r="O374" s="19">
        <f>J374*INDEX('Pliegos Tarifarios (Quilicura)'!$D:$D,MATCH($B374,'Pliegos Tarifarios (Quilicura)'!$A:$A,0))</f>
        <v>34476.463586000005</v>
      </c>
      <c r="P374" s="19">
        <f>H374*INDEX('Pliegos Tarifarios (Quilicura)'!$E:$E,MATCH($B374,'Pliegos Tarifarios (Quilicura)'!$A:$A,0))</f>
        <v>10953.566943200001</v>
      </c>
      <c r="Q374" s="19" cm="1">
        <f t="array" ref="Q374">H374*_xlfn.IFS(H374&lt;=350,INDEX('Pliegos Tarifarios (Quilicura)'!$F:$F,MATCH($B374,'Pliegos Tarifarios (Quilicura)'!$A:$A,0)),H374&lt;=500,INDEX('Pliegos Tarifarios (Quilicura)'!$G:$G,MATCH($B374,'Pliegos Tarifarios (Quilicura)'!$A:$A,0)),H374&lt;=1000,INDEX('Pliegos Tarifarios (Quilicura)'!$H:$H,MATCH($B374,'Pliegos Tarifarios (Quilicura)'!$A:$A,0)),H374&lt;=5000,INDEX('Pliegos Tarifarios (Quilicura)'!$I:$I,MATCH($B374,'Pliegos Tarifarios (Quilicura)'!$A:$A,0)),H374&gt;5000,INDEX('Pliegos Tarifarios (Quilicura)'!$J:$J,MATCH($B374,'Pliegos Tarifarios (Quilicura)'!$A:$A,0)))/1.19</f>
        <v>1986.5648458823534</v>
      </c>
      <c r="R374" s="19">
        <f>INDEX('Pliegos Tarifarios (Quilicura)'!$K:$K,MATCH($B374,'Pliegos Tarifarios (Quilicura)'!$A:$A,0))</f>
        <v>724.74800000000005</v>
      </c>
      <c r="S374" s="21">
        <f t="shared" si="18"/>
        <v>157221.61760388236</v>
      </c>
      <c r="T374" s="21">
        <f t="shared" si="19"/>
        <v>29872.107344737648</v>
      </c>
      <c r="U374" s="19">
        <v>0</v>
      </c>
      <c r="V374" s="21">
        <f t="shared" si="20"/>
        <v>187093.72494862002</v>
      </c>
    </row>
    <row r="375" spans="1:22" x14ac:dyDescent="0.3">
      <c r="A375" s="7" t="s">
        <v>145</v>
      </c>
      <c r="B375" s="7">
        <v>6</v>
      </c>
      <c r="C375" s="8" t="s">
        <v>186</v>
      </c>
      <c r="D375" s="7" t="s">
        <v>208</v>
      </c>
      <c r="E375" s="7" t="s">
        <v>34</v>
      </c>
      <c r="F375" s="8" t="s">
        <v>66</v>
      </c>
      <c r="G375" s="7" t="s">
        <v>30</v>
      </c>
      <c r="H375" s="9">
        <v>848.25109999999995</v>
      </c>
      <c r="I375" s="9">
        <v>2.3605999999999998</v>
      </c>
      <c r="J375" s="9">
        <v>2.3167</v>
      </c>
      <c r="K375" s="10">
        <v>0.98140303312717114</v>
      </c>
      <c r="L375" s="9">
        <v>27.36</v>
      </c>
      <c r="M375" s="19">
        <f>H375*INDEX('Pliegos Tarifarios (Quilicura)'!$B:$B,MATCH($B375,'Pliegos Tarifarios (Quilicura)'!$A:$A,0))</f>
        <v>100804.46422179999</v>
      </c>
      <c r="N375" s="19">
        <f>I375*INDEX('Pliegos Tarifarios (Quilicura)'!$C:$C,MATCH($B375,'Pliegos Tarifarios (Quilicura)'!$A:$A,0))</f>
        <v>8168.9861329999985</v>
      </c>
      <c r="O375" s="19">
        <f>J375*INDEX('Pliegos Tarifarios (Quilicura)'!$D:$D,MATCH($B375,'Pliegos Tarifarios (Quilicura)'!$A:$A,0))</f>
        <v>32814.964334299999</v>
      </c>
      <c r="P375" s="19">
        <f>H375*INDEX('Pliegos Tarifarios (Quilicura)'!$E:$E,MATCH($B375,'Pliegos Tarifarios (Quilicura)'!$A:$A,0))</f>
        <v>10969.5832252</v>
      </c>
      <c r="Q375" s="19" cm="1">
        <f t="array" ref="Q375">H375*_xlfn.IFS(H375&lt;=350,INDEX('Pliegos Tarifarios (Quilicura)'!$F:$F,MATCH($B375,'Pliegos Tarifarios (Quilicura)'!$A:$A,0)),H375&lt;=500,INDEX('Pliegos Tarifarios (Quilicura)'!$G:$G,MATCH($B375,'Pliegos Tarifarios (Quilicura)'!$A:$A,0)),H375&lt;=1000,INDEX('Pliegos Tarifarios (Quilicura)'!$H:$H,MATCH($B375,'Pliegos Tarifarios (Quilicura)'!$A:$A,0)),H375&lt;=5000,INDEX('Pliegos Tarifarios (Quilicura)'!$I:$I,MATCH($B375,'Pliegos Tarifarios (Quilicura)'!$A:$A,0)),H375&gt;5000,INDEX('Pliegos Tarifarios (Quilicura)'!$J:$J,MATCH($B375,'Pliegos Tarifarios (Quilicura)'!$A:$A,0)))/1.19</f>
        <v>1989.4695967226894</v>
      </c>
      <c r="R375" s="19">
        <f>INDEX('Pliegos Tarifarios (Quilicura)'!$K:$K,MATCH($B375,'Pliegos Tarifarios (Quilicura)'!$A:$A,0))</f>
        <v>724.74800000000005</v>
      </c>
      <c r="S375" s="21">
        <f t="shared" si="18"/>
        <v>155472.21551102269</v>
      </c>
      <c r="T375" s="21">
        <f t="shared" si="19"/>
        <v>29539.720947094313</v>
      </c>
      <c r="U375" s="19">
        <v>0</v>
      </c>
      <c r="V375" s="21">
        <f t="shared" si="20"/>
        <v>185011.93645811701</v>
      </c>
    </row>
    <row r="376" spans="1:22" x14ac:dyDescent="0.3">
      <c r="A376" s="7" t="s">
        <v>145</v>
      </c>
      <c r="B376" s="7">
        <v>6</v>
      </c>
      <c r="C376" s="8" t="s">
        <v>186</v>
      </c>
      <c r="D376" s="7" t="s">
        <v>209</v>
      </c>
      <c r="E376" s="7" t="s">
        <v>34</v>
      </c>
      <c r="F376" s="8" t="s">
        <v>68</v>
      </c>
      <c r="G376" s="7" t="s">
        <v>30</v>
      </c>
      <c r="H376" s="9">
        <v>848.51900000000001</v>
      </c>
      <c r="I376" s="9">
        <v>2.4582999999999999</v>
      </c>
      <c r="J376" s="9">
        <v>2.2833999999999999</v>
      </c>
      <c r="K376" s="10">
        <v>0.92885327258674688</v>
      </c>
      <c r="L376" s="9">
        <v>27.37</v>
      </c>
      <c r="M376" s="19">
        <f>H376*INDEX('Pliegos Tarifarios (Quilicura)'!$B:$B,MATCH($B376,'Pliegos Tarifarios (Quilicura)'!$A:$A,0))</f>
        <v>100836.30092199999</v>
      </c>
      <c r="N376" s="19">
        <f>I376*INDEX('Pliegos Tarifarios (Quilicura)'!$C:$C,MATCH($B376,'Pliegos Tarifarios (Quilicura)'!$A:$A,0))</f>
        <v>8507.0823564999992</v>
      </c>
      <c r="O376" s="19">
        <f>J376*INDEX('Pliegos Tarifarios (Quilicura)'!$D:$D,MATCH($B376,'Pliegos Tarifarios (Quilicura)'!$A:$A,0))</f>
        <v>32343.285518599998</v>
      </c>
      <c r="P376" s="19">
        <f>H376*INDEX('Pliegos Tarifarios (Quilicura)'!$E:$E,MATCH($B376,'Pliegos Tarifarios (Quilicura)'!$A:$A,0))</f>
        <v>10973.047708</v>
      </c>
      <c r="Q376" s="19" cm="1">
        <f t="array" ref="Q376">H376*_xlfn.IFS(H376&lt;=350,INDEX('Pliegos Tarifarios (Quilicura)'!$F:$F,MATCH($B376,'Pliegos Tarifarios (Quilicura)'!$A:$A,0)),H376&lt;=500,INDEX('Pliegos Tarifarios (Quilicura)'!$G:$G,MATCH($B376,'Pliegos Tarifarios (Quilicura)'!$A:$A,0)),H376&lt;=1000,INDEX('Pliegos Tarifarios (Quilicura)'!$H:$H,MATCH($B376,'Pliegos Tarifarios (Quilicura)'!$A:$A,0)),H376&lt;=5000,INDEX('Pliegos Tarifarios (Quilicura)'!$I:$I,MATCH($B376,'Pliegos Tarifarios (Quilicura)'!$A:$A,0)),H376&gt;5000,INDEX('Pliegos Tarifarios (Quilicura)'!$J:$J,MATCH($B376,'Pliegos Tarifarios (Quilicura)'!$A:$A,0)))/1.19</f>
        <v>1990.0979235294121</v>
      </c>
      <c r="R376" s="19">
        <f>INDEX('Pliegos Tarifarios (Quilicura)'!$K:$K,MATCH($B376,'Pliegos Tarifarios (Quilicura)'!$A:$A,0))</f>
        <v>724.74800000000005</v>
      </c>
      <c r="S376" s="21">
        <f t="shared" si="18"/>
        <v>155374.5624286294</v>
      </c>
      <c r="T376" s="21">
        <f t="shared" si="19"/>
        <v>29521.166861439586</v>
      </c>
      <c r="U376" s="19">
        <v>0</v>
      </c>
      <c r="V376" s="21">
        <f t="shared" si="20"/>
        <v>184895.72929006899</v>
      </c>
    </row>
    <row r="377" spans="1:22" x14ac:dyDescent="0.3">
      <c r="A377" s="7" t="s">
        <v>145</v>
      </c>
      <c r="B377" s="7">
        <v>6</v>
      </c>
      <c r="C377" s="8" t="s">
        <v>186</v>
      </c>
      <c r="D377" s="7" t="s">
        <v>210</v>
      </c>
      <c r="E377" s="7" t="s">
        <v>70</v>
      </c>
      <c r="F377" s="8" t="s">
        <v>71</v>
      </c>
      <c r="G377" s="7" t="s">
        <v>30</v>
      </c>
      <c r="H377" s="9">
        <v>1059.6559999999999</v>
      </c>
      <c r="I377" s="9">
        <v>2.9697</v>
      </c>
      <c r="J377" s="9">
        <v>2.9697</v>
      </c>
      <c r="K377" s="10">
        <v>1</v>
      </c>
      <c r="L377" s="9">
        <v>34.18</v>
      </c>
      <c r="M377" s="19">
        <f>H377*INDEX('Pliegos Tarifarios (Quilicura)'!$B:$B,MATCH($B377,'Pliegos Tarifarios (Quilicura)'!$A:$A,0))</f>
        <v>125927.39972799999</v>
      </c>
      <c r="N377" s="19">
        <f>I377*INDEX('Pliegos Tarifarios (Quilicura)'!$C:$C,MATCH($B377,'Pliegos Tarifarios (Quilicura)'!$A:$A,0))</f>
        <v>10276.8101835</v>
      </c>
      <c r="O377" s="19">
        <f>J377*INDEX('Pliegos Tarifarios (Quilicura)'!$D:$D,MATCH($B377,'Pliegos Tarifarios (Quilicura)'!$A:$A,0))</f>
        <v>42064.401771299999</v>
      </c>
      <c r="P377" s="19">
        <f>H377*INDEX('Pliegos Tarifarios (Quilicura)'!$E:$E,MATCH($B377,'Pliegos Tarifarios (Quilicura)'!$A:$A,0))</f>
        <v>13703.471391999999</v>
      </c>
      <c r="Q377" s="19" cm="1">
        <f t="array" ref="Q377">H377*_xlfn.IFS(H377&lt;=350,INDEX('Pliegos Tarifarios (Quilicura)'!$F:$F,MATCH($B377,'Pliegos Tarifarios (Quilicura)'!$A:$A,0)),H377&lt;=500,INDEX('Pliegos Tarifarios (Quilicura)'!$G:$G,MATCH($B377,'Pliegos Tarifarios (Quilicura)'!$A:$A,0)),H377&lt;=1000,INDEX('Pliegos Tarifarios (Quilicura)'!$H:$H,MATCH($B377,'Pliegos Tarifarios (Quilicura)'!$A:$A,0)),H377&lt;=5000,INDEX('Pliegos Tarifarios (Quilicura)'!$I:$I,MATCH($B377,'Pliegos Tarifarios (Quilicura)'!$A:$A,0)),H377&gt;5000,INDEX('Pliegos Tarifarios (Quilicura)'!$J:$J,MATCH($B377,'Pliegos Tarifarios (Quilicura)'!$A:$A,0)))/1.19</f>
        <v>3179.8584672268903</v>
      </c>
      <c r="R377" s="19">
        <f>INDEX('Pliegos Tarifarios (Quilicura)'!$K:$K,MATCH($B377,'Pliegos Tarifarios (Quilicura)'!$A:$A,0))</f>
        <v>724.74800000000005</v>
      </c>
      <c r="S377" s="21">
        <f t="shared" si="18"/>
        <v>195876.68954202687</v>
      </c>
      <c r="T377" s="21">
        <f t="shared" si="19"/>
        <v>37216.571012985107</v>
      </c>
      <c r="U377" s="19">
        <v>0</v>
      </c>
      <c r="V377" s="21">
        <f t="shared" si="20"/>
        <v>233093.26055501198</v>
      </c>
    </row>
    <row r="378" spans="1:22" x14ac:dyDescent="0.3">
      <c r="A378" s="7" t="s">
        <v>145</v>
      </c>
      <c r="B378" s="7">
        <v>6</v>
      </c>
      <c r="C378" s="8" t="s">
        <v>186</v>
      </c>
      <c r="D378" s="7" t="s">
        <v>211</v>
      </c>
      <c r="E378" s="7" t="s">
        <v>73</v>
      </c>
      <c r="F378" s="8" t="s">
        <v>74</v>
      </c>
      <c r="G378" s="7" t="s">
        <v>16</v>
      </c>
      <c r="H378" s="9">
        <v>1693.5026</v>
      </c>
      <c r="I378" s="9">
        <v>4.7808000000000002</v>
      </c>
      <c r="J378" s="9">
        <v>4.7808000000000002</v>
      </c>
      <c r="K378" s="10">
        <v>1</v>
      </c>
      <c r="L378" s="9">
        <v>54.63</v>
      </c>
      <c r="M378" s="19">
        <f>H378*INDEX('Pliegos Tarifarios (Quilicura)'!$B:$B,MATCH($B378,'Pliegos Tarifarios (Quilicura)'!$A:$A,0))</f>
        <v>201252.46197879998</v>
      </c>
      <c r="N378" s="19">
        <f>I378*INDEX('Pliegos Tarifarios (Quilicura)'!$C:$C,MATCH($B378,'Pliegos Tarifarios (Quilicura)'!$A:$A,0))</f>
        <v>16544.221344000001</v>
      </c>
      <c r="O378" s="19">
        <f>J378*INDEX('Pliegos Tarifarios (Quilicura)'!$D:$D,MATCH($B378,'Pliegos Tarifarios (Quilicura)'!$A:$A,0))</f>
        <v>67717.780243200003</v>
      </c>
      <c r="P378" s="19">
        <f>H378*INDEX('Pliegos Tarifarios (Quilicura)'!$E:$E,MATCH($B378,'Pliegos Tarifarios (Quilicura)'!$A:$A,0))</f>
        <v>21900.375623200001</v>
      </c>
      <c r="Q378" s="19" cm="1">
        <f t="array" ref="Q378">H378*_xlfn.IFS(H378&lt;=350,INDEX('Pliegos Tarifarios (Quilicura)'!$F:$F,MATCH($B378,'Pliegos Tarifarios (Quilicura)'!$A:$A,0)),H378&lt;=500,INDEX('Pliegos Tarifarios (Quilicura)'!$G:$G,MATCH($B378,'Pliegos Tarifarios (Quilicura)'!$A:$A,0)),H378&lt;=1000,INDEX('Pliegos Tarifarios (Quilicura)'!$H:$H,MATCH($B378,'Pliegos Tarifarios (Quilicura)'!$A:$A,0)),H378&lt;=5000,INDEX('Pliegos Tarifarios (Quilicura)'!$I:$I,MATCH($B378,'Pliegos Tarifarios (Quilicura)'!$A:$A,0)),H378&gt;5000,INDEX('Pliegos Tarifarios (Quilicura)'!$J:$J,MATCH($B378,'Pliegos Tarifarios (Quilicura)'!$A:$A,0)))/1.19</f>
        <v>5081.9309114285707</v>
      </c>
      <c r="R378" s="19">
        <f>INDEX('Pliegos Tarifarios (Quilicura)'!$K:$K,MATCH($B378,'Pliegos Tarifarios (Quilicura)'!$A:$A,0))</f>
        <v>724.74800000000005</v>
      </c>
      <c r="S378" s="21">
        <f t="shared" si="18"/>
        <v>313221.51810062857</v>
      </c>
      <c r="T378" s="21">
        <f t="shared" si="19"/>
        <v>59512.088439119427</v>
      </c>
      <c r="U378" s="19">
        <v>0</v>
      </c>
      <c r="V378" s="21">
        <f t="shared" si="20"/>
        <v>372733.60653974803</v>
      </c>
    </row>
    <row r="379" spans="1:22" x14ac:dyDescent="0.3">
      <c r="A379" s="7" t="s">
        <v>145</v>
      </c>
      <c r="B379" s="7">
        <v>6</v>
      </c>
      <c r="C379" s="8" t="s">
        <v>186</v>
      </c>
      <c r="D379" s="7" t="s">
        <v>212</v>
      </c>
      <c r="E379" s="7" t="s">
        <v>73</v>
      </c>
      <c r="F379" s="8" t="s">
        <v>76</v>
      </c>
      <c r="G379" s="7" t="s">
        <v>16</v>
      </c>
      <c r="H379" s="9">
        <v>1268.7375</v>
      </c>
      <c r="I379" s="9">
        <v>3.5665</v>
      </c>
      <c r="J379" s="9">
        <v>3.4857999999999998</v>
      </c>
      <c r="K379" s="10">
        <v>0.97737277442871151</v>
      </c>
      <c r="L379" s="9">
        <v>40.93</v>
      </c>
      <c r="M379" s="19">
        <f>H379*INDEX('Pliegos Tarifarios (Quilicura)'!$B:$B,MATCH($B379,'Pliegos Tarifarios (Quilicura)'!$A:$A,0))</f>
        <v>150774.227025</v>
      </c>
      <c r="N379" s="19">
        <f>I379*INDEX('Pliegos Tarifarios (Quilicura)'!$C:$C,MATCH($B379,'Pliegos Tarifarios (Quilicura)'!$A:$A,0))</f>
        <v>12342.069407499999</v>
      </c>
      <c r="O379" s="19">
        <f>J379*INDEX('Pliegos Tarifarios (Quilicura)'!$D:$D,MATCH($B379,'Pliegos Tarifarios (Quilicura)'!$A:$A,0))</f>
        <v>49374.715188199996</v>
      </c>
      <c r="P379" s="19">
        <f>H379*INDEX('Pliegos Tarifarios (Quilicura)'!$E:$E,MATCH($B379,'Pliegos Tarifarios (Quilicura)'!$A:$A,0))</f>
        <v>16407.31335</v>
      </c>
      <c r="Q379" s="19" cm="1">
        <f t="array" ref="Q379">H379*_xlfn.IFS(H379&lt;=350,INDEX('Pliegos Tarifarios (Quilicura)'!$F:$F,MATCH($B379,'Pliegos Tarifarios (Quilicura)'!$A:$A,0)),H379&lt;=500,INDEX('Pliegos Tarifarios (Quilicura)'!$G:$G,MATCH($B379,'Pliegos Tarifarios (Quilicura)'!$A:$A,0)),H379&lt;=1000,INDEX('Pliegos Tarifarios (Quilicura)'!$H:$H,MATCH($B379,'Pliegos Tarifarios (Quilicura)'!$A:$A,0)),H379&lt;=5000,INDEX('Pliegos Tarifarios (Quilicura)'!$I:$I,MATCH($B379,'Pliegos Tarifarios (Quilicura)'!$A:$A,0)),H379&gt;5000,INDEX('Pliegos Tarifarios (Quilicura)'!$J:$J,MATCH($B379,'Pliegos Tarifarios (Quilicura)'!$A:$A,0)))/1.19</f>
        <v>3807.2786659663861</v>
      </c>
      <c r="R379" s="19">
        <f>INDEX('Pliegos Tarifarios (Quilicura)'!$K:$K,MATCH($B379,'Pliegos Tarifarios (Quilicura)'!$A:$A,0))</f>
        <v>724.74800000000005</v>
      </c>
      <c r="S379" s="21">
        <f t="shared" si="18"/>
        <v>233430.3516366664</v>
      </c>
      <c r="T379" s="21">
        <f t="shared" si="19"/>
        <v>44351.766810966619</v>
      </c>
      <c r="U379" s="19">
        <v>0</v>
      </c>
      <c r="V379" s="21">
        <f t="shared" si="20"/>
        <v>277782.11844763299</v>
      </c>
    </row>
    <row r="380" spans="1:22" x14ac:dyDescent="0.3">
      <c r="A380" s="7" t="s">
        <v>145</v>
      </c>
      <c r="B380" s="7">
        <v>6</v>
      </c>
      <c r="C380" s="8" t="s">
        <v>186</v>
      </c>
      <c r="D380" s="7" t="s">
        <v>213</v>
      </c>
      <c r="E380" s="7" t="s">
        <v>78</v>
      </c>
      <c r="F380" s="8" t="s">
        <v>79</v>
      </c>
      <c r="G380" s="7" t="s">
        <v>16</v>
      </c>
      <c r="H380" s="9">
        <v>1060.6382000000001</v>
      </c>
      <c r="I380" s="9">
        <v>2.9430999999999998</v>
      </c>
      <c r="J380" s="9">
        <v>2.9430999999999998</v>
      </c>
      <c r="K380" s="10">
        <v>1</v>
      </c>
      <c r="L380" s="9">
        <v>34.21</v>
      </c>
      <c r="M380" s="19">
        <f>H380*INDEX('Pliegos Tarifarios (Quilicura)'!$B:$B,MATCH($B380,'Pliegos Tarifarios (Quilicura)'!$A:$A,0))</f>
        <v>126044.12241160001</v>
      </c>
      <c r="N380" s="19">
        <f>I380*INDEX('Pliegos Tarifarios (Quilicura)'!$C:$C,MATCH($B380,'Pliegos Tarifarios (Quilicura)'!$A:$A,0))</f>
        <v>10184.759420499999</v>
      </c>
      <c r="O380" s="19">
        <f>J380*INDEX('Pliegos Tarifarios (Quilicura)'!$D:$D,MATCH($B380,'Pliegos Tarifarios (Quilicura)'!$A:$A,0))</f>
        <v>41687.625299899999</v>
      </c>
      <c r="P380" s="19">
        <f>H380*INDEX('Pliegos Tarifarios (Quilicura)'!$E:$E,MATCH($B380,'Pliegos Tarifarios (Quilicura)'!$A:$A,0))</f>
        <v>13716.173202400001</v>
      </c>
      <c r="Q380" s="19" cm="1">
        <f t="array" ref="Q380">H380*_xlfn.IFS(H380&lt;=350,INDEX('Pliegos Tarifarios (Quilicura)'!$F:$F,MATCH($B380,'Pliegos Tarifarios (Quilicura)'!$A:$A,0)),H380&lt;=500,INDEX('Pliegos Tarifarios (Quilicura)'!$G:$G,MATCH($B380,'Pliegos Tarifarios (Quilicura)'!$A:$A,0)),H380&lt;=1000,INDEX('Pliegos Tarifarios (Quilicura)'!$H:$H,MATCH($B380,'Pliegos Tarifarios (Quilicura)'!$A:$A,0)),H380&lt;=5000,INDEX('Pliegos Tarifarios (Quilicura)'!$I:$I,MATCH($B380,'Pliegos Tarifarios (Quilicura)'!$A:$A,0)),H380&gt;5000,INDEX('Pliegos Tarifarios (Quilicura)'!$J:$J,MATCH($B380,'Pliegos Tarifarios (Quilicura)'!$A:$A,0)))/1.19</f>
        <v>3182.8058926050421</v>
      </c>
      <c r="R380" s="19">
        <f>INDEX('Pliegos Tarifarios (Quilicura)'!$K:$K,MATCH($B380,'Pliegos Tarifarios (Quilicura)'!$A:$A,0))</f>
        <v>724.74800000000005</v>
      </c>
      <c r="S380" s="21">
        <f t="shared" si="18"/>
        <v>195540.23422700504</v>
      </c>
      <c r="T380" s="21">
        <f t="shared" si="19"/>
        <v>37152.644503130956</v>
      </c>
      <c r="U380" s="19">
        <v>0</v>
      </c>
      <c r="V380" s="21">
        <f t="shared" si="20"/>
        <v>232692.878730136</v>
      </c>
    </row>
    <row r="381" spans="1:22" x14ac:dyDescent="0.3">
      <c r="A381" s="7" t="s">
        <v>145</v>
      </c>
      <c r="B381" s="7">
        <v>6</v>
      </c>
      <c r="C381" s="8" t="s">
        <v>186</v>
      </c>
      <c r="D381" s="7" t="s">
        <v>214</v>
      </c>
      <c r="E381" s="7" t="s">
        <v>78</v>
      </c>
      <c r="F381" s="8" t="s">
        <v>81</v>
      </c>
      <c r="G381" s="7" t="s">
        <v>16</v>
      </c>
      <c r="H381" s="9">
        <v>704.45320000000004</v>
      </c>
      <c r="I381" s="9">
        <v>1.9690000000000001</v>
      </c>
      <c r="J381" s="9">
        <v>1.9690000000000001</v>
      </c>
      <c r="K381" s="10">
        <v>1</v>
      </c>
      <c r="L381" s="9">
        <v>22.72</v>
      </c>
      <c r="M381" s="19">
        <f>H381*INDEX('Pliegos Tarifarios (Quilicura)'!$B:$B,MATCH($B381,'Pliegos Tarifarios (Quilicura)'!$A:$A,0))</f>
        <v>83715.809381600004</v>
      </c>
      <c r="N381" s="19">
        <f>I381*INDEX('Pliegos Tarifarios (Quilicura)'!$C:$C,MATCH($B381,'Pliegos Tarifarios (Quilicura)'!$A:$A,0))</f>
        <v>6813.8327950000003</v>
      </c>
      <c r="O381" s="19">
        <f>J381*INDEX('Pliegos Tarifarios (Quilicura)'!$D:$D,MATCH($B381,'Pliegos Tarifarios (Quilicura)'!$A:$A,0))</f>
        <v>27889.957601000002</v>
      </c>
      <c r="P381" s="19">
        <f>H381*INDEX('Pliegos Tarifarios (Quilicura)'!$E:$E,MATCH($B381,'Pliegos Tarifarios (Quilicura)'!$A:$A,0))</f>
        <v>9109.9887824000016</v>
      </c>
      <c r="Q381" s="19" cm="1">
        <f t="array" ref="Q381">H381*_xlfn.IFS(H381&lt;=350,INDEX('Pliegos Tarifarios (Quilicura)'!$F:$F,MATCH($B381,'Pliegos Tarifarios (Quilicura)'!$A:$A,0)),H381&lt;=500,INDEX('Pliegos Tarifarios (Quilicura)'!$G:$G,MATCH($B381,'Pliegos Tarifarios (Quilicura)'!$A:$A,0)),H381&lt;=1000,INDEX('Pliegos Tarifarios (Quilicura)'!$H:$H,MATCH($B381,'Pliegos Tarifarios (Quilicura)'!$A:$A,0)),H381&lt;=5000,INDEX('Pliegos Tarifarios (Quilicura)'!$I:$I,MATCH($B381,'Pliegos Tarifarios (Quilicura)'!$A:$A,0)),H381&gt;5000,INDEX('Pliegos Tarifarios (Quilicura)'!$J:$J,MATCH($B381,'Pliegos Tarifarios (Quilicura)'!$A:$A,0)))/1.19</f>
        <v>1652.2091438655466</v>
      </c>
      <c r="R381" s="19">
        <f>INDEX('Pliegos Tarifarios (Quilicura)'!$K:$K,MATCH($B381,'Pliegos Tarifarios (Quilicura)'!$A:$A,0))</f>
        <v>724.74800000000005</v>
      </c>
      <c r="S381" s="21">
        <f t="shared" si="18"/>
        <v>129906.54570386556</v>
      </c>
      <c r="T381" s="21">
        <f t="shared" si="19"/>
        <v>24682.243683734458</v>
      </c>
      <c r="U381" s="19">
        <v>0</v>
      </c>
      <c r="V381" s="21">
        <f t="shared" si="20"/>
        <v>154588.78938760003</v>
      </c>
    </row>
    <row r="382" spans="1:22" x14ac:dyDescent="0.3">
      <c r="A382" s="7" t="s">
        <v>145</v>
      </c>
      <c r="B382" s="7">
        <v>6</v>
      </c>
      <c r="C382" s="8" t="s">
        <v>186</v>
      </c>
      <c r="D382" s="7" t="s">
        <v>215</v>
      </c>
      <c r="E382" s="7" t="s">
        <v>78</v>
      </c>
      <c r="F382" s="8" t="s">
        <v>83</v>
      </c>
      <c r="G382" s="7" t="s">
        <v>16</v>
      </c>
      <c r="H382" s="9">
        <v>705.49929999999995</v>
      </c>
      <c r="I382" s="9">
        <v>1.9823</v>
      </c>
      <c r="J382" s="9">
        <v>1.9382999999999999</v>
      </c>
      <c r="K382" s="10">
        <v>0.97780356151944714</v>
      </c>
      <c r="L382" s="9">
        <v>22.76</v>
      </c>
      <c r="M382" s="19">
        <f>H382*INDEX('Pliegos Tarifarios (Quilicura)'!$B:$B,MATCH($B382,'Pliegos Tarifarios (Quilicura)'!$A:$A,0))</f>
        <v>83840.125813399995</v>
      </c>
      <c r="N382" s="19">
        <f>I382*INDEX('Pliegos Tarifarios (Quilicura)'!$C:$C,MATCH($B382,'Pliegos Tarifarios (Quilicura)'!$A:$A,0))</f>
        <v>6859.8581764999999</v>
      </c>
      <c r="O382" s="19">
        <f>J382*INDEX('Pliegos Tarifarios (Quilicura)'!$D:$D,MATCH($B382,'Pliegos Tarifarios (Quilicura)'!$A:$A,0))</f>
        <v>27455.106560699998</v>
      </c>
      <c r="P382" s="19">
        <f>H382*INDEX('Pliegos Tarifarios (Quilicura)'!$E:$E,MATCH($B382,'Pliegos Tarifarios (Quilicura)'!$A:$A,0))</f>
        <v>9123.5169475999992</v>
      </c>
      <c r="Q382" s="19" cm="1">
        <f t="array" ref="Q382">H382*_xlfn.IFS(H382&lt;=350,INDEX('Pliegos Tarifarios (Quilicura)'!$F:$F,MATCH($B382,'Pliegos Tarifarios (Quilicura)'!$A:$A,0)),H382&lt;=500,INDEX('Pliegos Tarifarios (Quilicura)'!$G:$G,MATCH($B382,'Pliegos Tarifarios (Quilicura)'!$A:$A,0)),H382&lt;=1000,INDEX('Pliegos Tarifarios (Quilicura)'!$H:$H,MATCH($B382,'Pliegos Tarifarios (Quilicura)'!$A:$A,0)),H382&lt;=5000,INDEX('Pliegos Tarifarios (Quilicura)'!$I:$I,MATCH($B382,'Pliegos Tarifarios (Quilicura)'!$A:$A,0)),H382&gt;5000,INDEX('Pliegos Tarifarios (Quilicura)'!$J:$J,MATCH($B382,'Pliegos Tarifarios (Quilicura)'!$A:$A,0)))/1.19</f>
        <v>1654.6626439495801</v>
      </c>
      <c r="R382" s="19">
        <f>INDEX('Pliegos Tarifarios (Quilicura)'!$K:$K,MATCH($B382,'Pliegos Tarifarios (Quilicura)'!$A:$A,0))</f>
        <v>724.74800000000005</v>
      </c>
      <c r="S382" s="21">
        <f t="shared" si="18"/>
        <v>129658.01814214958</v>
      </c>
      <c r="T382" s="21">
        <f t="shared" si="19"/>
        <v>24635.023447008421</v>
      </c>
      <c r="U382" s="19">
        <v>0</v>
      </c>
      <c r="V382" s="21">
        <f t="shared" si="20"/>
        <v>154293.04158915801</v>
      </c>
    </row>
    <row r="383" spans="1:22" x14ac:dyDescent="0.3">
      <c r="A383" s="7" t="s">
        <v>145</v>
      </c>
      <c r="B383" s="7">
        <v>6</v>
      </c>
      <c r="C383" s="8" t="s">
        <v>186</v>
      </c>
      <c r="D383" s="7" t="s">
        <v>216</v>
      </c>
      <c r="E383" s="7" t="s">
        <v>78</v>
      </c>
      <c r="F383" s="8" t="s">
        <v>85</v>
      </c>
      <c r="G383" s="7" t="s">
        <v>16</v>
      </c>
      <c r="H383" s="9">
        <v>846.94079999999997</v>
      </c>
      <c r="I383" s="9">
        <v>2.3614000000000002</v>
      </c>
      <c r="J383" s="9">
        <v>2.3614000000000002</v>
      </c>
      <c r="K383" s="10">
        <v>1</v>
      </c>
      <c r="L383" s="9">
        <v>27.32</v>
      </c>
      <c r="M383" s="19">
        <f>H383*INDEX('Pliegos Tarifarios (Quilicura)'!$B:$B,MATCH($B383,'Pliegos Tarifarios (Quilicura)'!$A:$A,0))</f>
        <v>100648.75079039999</v>
      </c>
      <c r="N383" s="19">
        <f>I383*INDEX('Pliegos Tarifarios (Quilicura)'!$C:$C,MATCH($B383,'Pliegos Tarifarios (Quilicura)'!$A:$A,0))</f>
        <v>8171.7545770000006</v>
      </c>
      <c r="O383" s="19">
        <f>J383*INDEX('Pliegos Tarifarios (Quilicura)'!$D:$D,MATCH($B383,'Pliegos Tarifarios (Quilicura)'!$A:$A,0))</f>
        <v>33448.118780600002</v>
      </c>
      <c r="P383" s="19">
        <f>H383*INDEX('Pliegos Tarifarios (Quilicura)'!$E:$E,MATCH($B383,'Pliegos Tarifarios (Quilicura)'!$A:$A,0))</f>
        <v>10952.6384256</v>
      </c>
      <c r="Q383" s="19" cm="1">
        <f t="array" ref="Q383">H383*_xlfn.IFS(H383&lt;=350,INDEX('Pliegos Tarifarios (Quilicura)'!$F:$F,MATCH($B383,'Pliegos Tarifarios (Quilicura)'!$A:$A,0)),H383&lt;=500,INDEX('Pliegos Tarifarios (Quilicura)'!$G:$G,MATCH($B383,'Pliegos Tarifarios (Quilicura)'!$A:$A,0)),H383&lt;=1000,INDEX('Pliegos Tarifarios (Quilicura)'!$H:$H,MATCH($B383,'Pliegos Tarifarios (Quilicura)'!$A:$A,0)),H383&lt;=5000,INDEX('Pliegos Tarifarios (Quilicura)'!$I:$I,MATCH($B383,'Pliegos Tarifarios (Quilicura)'!$A:$A,0)),H383&gt;5000,INDEX('Pliegos Tarifarios (Quilicura)'!$J:$J,MATCH($B383,'Pliegos Tarifarios (Quilicura)'!$A:$A,0)))/1.19</f>
        <v>1986.3964477310926</v>
      </c>
      <c r="R383" s="19">
        <f>INDEX('Pliegos Tarifarios (Quilicura)'!$K:$K,MATCH($B383,'Pliegos Tarifarios (Quilicura)'!$A:$A,0))</f>
        <v>724.74800000000005</v>
      </c>
      <c r="S383" s="21">
        <f t="shared" si="18"/>
        <v>155932.40702133108</v>
      </c>
      <c r="T383" s="21">
        <f t="shared" si="19"/>
        <v>29627.157334052907</v>
      </c>
      <c r="U383" s="19">
        <v>0</v>
      </c>
      <c r="V383" s="21">
        <f t="shared" si="20"/>
        <v>185559.56435538398</v>
      </c>
    </row>
    <row r="384" spans="1:22" x14ac:dyDescent="0.3">
      <c r="A384" s="7" t="s">
        <v>145</v>
      </c>
      <c r="B384" s="7">
        <v>6</v>
      </c>
      <c r="C384" s="8" t="s">
        <v>186</v>
      </c>
      <c r="D384" s="7" t="s">
        <v>217</v>
      </c>
      <c r="E384" s="7" t="s">
        <v>78</v>
      </c>
      <c r="F384" s="8" t="s">
        <v>87</v>
      </c>
      <c r="G384" s="7" t="s">
        <v>16</v>
      </c>
      <c r="H384" s="9">
        <v>849.20439999999996</v>
      </c>
      <c r="I384" s="9">
        <v>2.3801000000000001</v>
      </c>
      <c r="J384" s="9">
        <v>2.3801000000000001</v>
      </c>
      <c r="K384" s="10">
        <v>1</v>
      </c>
      <c r="L384" s="9">
        <v>27.39</v>
      </c>
      <c r="M384" s="19">
        <f>H384*INDEX('Pliegos Tarifarios (Quilicura)'!$B:$B,MATCH($B384,'Pliegos Tarifarios (Quilicura)'!$A:$A,0))</f>
        <v>100917.75248719999</v>
      </c>
      <c r="N384" s="19">
        <f>I384*INDEX('Pliegos Tarifarios (Quilicura)'!$C:$C,MATCH($B384,'Pliegos Tarifarios (Quilicura)'!$A:$A,0))</f>
        <v>8236.4669555</v>
      </c>
      <c r="O384" s="19">
        <f>J384*INDEX('Pliegos Tarifarios (Quilicura)'!$D:$D,MATCH($B384,'Pliegos Tarifarios (Quilicura)'!$A:$A,0))</f>
        <v>33712.995472900002</v>
      </c>
      <c r="P384" s="19">
        <f>H384*INDEX('Pliegos Tarifarios (Quilicura)'!$E:$E,MATCH($B384,'Pliegos Tarifarios (Quilicura)'!$A:$A,0))</f>
        <v>10981.9113008</v>
      </c>
      <c r="Q384" s="19" cm="1">
        <f t="array" ref="Q384">H384*_xlfn.IFS(H384&lt;=350,INDEX('Pliegos Tarifarios (Quilicura)'!$F:$F,MATCH($B384,'Pliegos Tarifarios (Quilicura)'!$A:$A,0)),H384&lt;=500,INDEX('Pliegos Tarifarios (Quilicura)'!$G:$G,MATCH($B384,'Pliegos Tarifarios (Quilicura)'!$A:$A,0)),H384&lt;=1000,INDEX('Pliegos Tarifarios (Quilicura)'!$H:$H,MATCH($B384,'Pliegos Tarifarios (Quilicura)'!$A:$A,0)),H384&lt;=5000,INDEX('Pliegos Tarifarios (Quilicura)'!$I:$I,MATCH($B384,'Pliegos Tarifarios (Quilicura)'!$A:$A,0)),H384&gt;5000,INDEX('Pliegos Tarifarios (Quilicura)'!$J:$J,MATCH($B384,'Pliegos Tarifarios (Quilicura)'!$A:$A,0)))/1.19</f>
        <v>1991.705445714286</v>
      </c>
      <c r="R384" s="19">
        <f>INDEX('Pliegos Tarifarios (Quilicura)'!$K:$K,MATCH($B384,'Pliegos Tarifarios (Quilicura)'!$A:$A,0))</f>
        <v>724.74800000000005</v>
      </c>
      <c r="S384" s="21">
        <f t="shared" si="18"/>
        <v>156565.57966211429</v>
      </c>
      <c r="T384" s="21">
        <f t="shared" si="19"/>
        <v>29747.460135801717</v>
      </c>
      <c r="U384" s="19">
        <v>0</v>
      </c>
      <c r="V384" s="21">
        <f t="shared" si="20"/>
        <v>186313.03979791602</v>
      </c>
    </row>
    <row r="385" spans="1:22" x14ac:dyDescent="0.3">
      <c r="A385" s="7" t="s">
        <v>145</v>
      </c>
      <c r="B385" s="7">
        <v>6</v>
      </c>
      <c r="C385" s="8" t="s">
        <v>186</v>
      </c>
      <c r="D385" s="7" t="s">
        <v>218</v>
      </c>
      <c r="E385" s="7" t="s">
        <v>78</v>
      </c>
      <c r="F385" s="8" t="s">
        <v>89</v>
      </c>
      <c r="G385" s="7" t="s">
        <v>16</v>
      </c>
      <c r="H385" s="9">
        <v>1061.5893000000001</v>
      </c>
      <c r="I385" s="9">
        <v>2.8965000000000001</v>
      </c>
      <c r="J385" s="9">
        <v>2.8826000000000001</v>
      </c>
      <c r="K385" s="10">
        <v>0.99520110478163304</v>
      </c>
      <c r="L385" s="9">
        <v>34.24</v>
      </c>
      <c r="M385" s="19">
        <f>H385*INDEX('Pliegos Tarifarios (Quilicura)'!$B:$B,MATCH($B385,'Pliegos Tarifarios (Quilicura)'!$A:$A,0))</f>
        <v>126157.14923340001</v>
      </c>
      <c r="N385" s="19">
        <f>I385*INDEX('Pliegos Tarifarios (Quilicura)'!$C:$C,MATCH($B385,'Pliegos Tarifarios (Quilicura)'!$A:$A,0))</f>
        <v>10023.497557499999</v>
      </c>
      <c r="O385" s="19">
        <f>J385*INDEX('Pliegos Tarifarios (Quilicura)'!$D:$D,MATCH($B385,'Pliegos Tarifarios (Quilicura)'!$A:$A,0))</f>
        <v>40830.671295400003</v>
      </c>
      <c r="P385" s="19">
        <f>H385*INDEX('Pliegos Tarifarios (Quilicura)'!$E:$E,MATCH($B385,'Pliegos Tarifarios (Quilicura)'!$A:$A,0))</f>
        <v>13728.472827600002</v>
      </c>
      <c r="Q385" s="19" cm="1">
        <f t="array" ref="Q385">H385*_xlfn.IFS(H385&lt;=350,INDEX('Pliegos Tarifarios (Quilicura)'!$F:$F,MATCH($B385,'Pliegos Tarifarios (Quilicura)'!$A:$A,0)),H385&lt;=500,INDEX('Pliegos Tarifarios (Quilicura)'!$G:$G,MATCH($B385,'Pliegos Tarifarios (Quilicura)'!$A:$A,0)),H385&lt;=1000,INDEX('Pliegos Tarifarios (Quilicura)'!$H:$H,MATCH($B385,'Pliegos Tarifarios (Quilicura)'!$A:$A,0)),H385&lt;=5000,INDEX('Pliegos Tarifarios (Quilicura)'!$I:$I,MATCH($B385,'Pliegos Tarifarios (Quilicura)'!$A:$A,0)),H385&gt;5000,INDEX('Pliegos Tarifarios (Quilicura)'!$J:$J,MATCH($B385,'Pliegos Tarifarios (Quilicura)'!$A:$A,0)))/1.19</f>
        <v>3185.6599918487395</v>
      </c>
      <c r="R385" s="19">
        <f>INDEX('Pliegos Tarifarios (Quilicura)'!$K:$K,MATCH($B385,'Pliegos Tarifarios (Quilicura)'!$A:$A,0))</f>
        <v>724.74800000000005</v>
      </c>
      <c r="S385" s="21">
        <f t="shared" si="18"/>
        <v>194650.19890574875</v>
      </c>
      <c r="T385" s="21">
        <f t="shared" si="19"/>
        <v>36983.537792092262</v>
      </c>
      <c r="U385" s="19">
        <v>0</v>
      </c>
      <c r="V385" s="21">
        <f t="shared" si="20"/>
        <v>231633.73669784103</v>
      </c>
    </row>
    <row r="386" spans="1:22" x14ac:dyDescent="0.3">
      <c r="A386" s="7" t="s">
        <v>145</v>
      </c>
      <c r="B386" s="7">
        <v>6</v>
      </c>
      <c r="C386" s="8" t="s">
        <v>186</v>
      </c>
      <c r="D386" s="7" t="s">
        <v>219</v>
      </c>
      <c r="E386" s="7" t="s">
        <v>91</v>
      </c>
      <c r="F386" s="8" t="s">
        <v>92</v>
      </c>
      <c r="G386" s="7" t="s">
        <v>16</v>
      </c>
      <c r="H386" s="9">
        <v>847.68730000000005</v>
      </c>
      <c r="I386" s="9">
        <v>2.3403</v>
      </c>
      <c r="J386" s="9">
        <v>2.34</v>
      </c>
      <c r="K386" s="10">
        <v>0.9998718113062427</v>
      </c>
      <c r="L386" s="9">
        <v>27.34</v>
      </c>
      <c r="M386" s="19">
        <f>H386*INDEX('Pliegos Tarifarios (Quilicura)'!$B:$B,MATCH($B386,'Pliegos Tarifarios (Quilicura)'!$A:$A,0))</f>
        <v>100737.4633574</v>
      </c>
      <c r="N386" s="19">
        <f>I386*INDEX('Pliegos Tarifarios (Quilicura)'!$C:$C,MATCH($B386,'Pliegos Tarifarios (Quilicura)'!$A:$A,0))</f>
        <v>8098.7368664999995</v>
      </c>
      <c r="O386" s="19">
        <f>J386*INDEX('Pliegos Tarifarios (Quilicura)'!$D:$D,MATCH($B386,'Pliegos Tarifarios (Quilicura)'!$A:$A,0))</f>
        <v>33144.997859999996</v>
      </c>
      <c r="P386" s="19">
        <f>H386*INDEX('Pliegos Tarifarios (Quilicura)'!$E:$E,MATCH($B386,'Pliegos Tarifarios (Quilicura)'!$A:$A,0))</f>
        <v>10962.292163600001</v>
      </c>
      <c r="Q386" s="19" cm="1">
        <f t="array" ref="Q386">H386*_xlfn.IFS(H386&lt;=350,INDEX('Pliegos Tarifarios (Quilicura)'!$F:$F,MATCH($B386,'Pliegos Tarifarios (Quilicura)'!$A:$A,0)),H386&lt;=500,INDEX('Pliegos Tarifarios (Quilicura)'!$G:$G,MATCH($B386,'Pliegos Tarifarios (Quilicura)'!$A:$A,0)),H386&lt;=1000,INDEX('Pliegos Tarifarios (Quilicura)'!$H:$H,MATCH($B386,'Pliegos Tarifarios (Quilicura)'!$A:$A,0)),H386&lt;=5000,INDEX('Pliegos Tarifarios (Quilicura)'!$I:$I,MATCH($B386,'Pliegos Tarifarios (Quilicura)'!$A:$A,0)),H386&gt;5000,INDEX('Pliegos Tarifarios (Quilicura)'!$J:$J,MATCH($B386,'Pliegos Tarifarios (Quilicura)'!$A:$A,0)))/1.19</f>
        <v>1988.147272521009</v>
      </c>
      <c r="R386" s="19">
        <f>INDEX('Pliegos Tarifarios (Quilicura)'!$K:$K,MATCH($B386,'Pliegos Tarifarios (Quilicura)'!$A:$A,0))</f>
        <v>724.74800000000005</v>
      </c>
      <c r="S386" s="21">
        <f t="shared" si="18"/>
        <v>155656.38552002102</v>
      </c>
      <c r="T386" s="21">
        <f t="shared" si="19"/>
        <v>29574.713248803993</v>
      </c>
      <c r="U386" s="19">
        <v>0</v>
      </c>
      <c r="V386" s="21">
        <f t="shared" si="20"/>
        <v>185231.098768825</v>
      </c>
    </row>
    <row r="387" spans="1:22" x14ac:dyDescent="0.3">
      <c r="A387" s="7" t="s">
        <v>145</v>
      </c>
      <c r="B387" s="7">
        <v>6</v>
      </c>
      <c r="C387" s="8" t="s">
        <v>186</v>
      </c>
      <c r="D387" s="7" t="s">
        <v>220</v>
      </c>
      <c r="E387" s="7" t="s">
        <v>94</v>
      </c>
      <c r="F387" s="8" t="s">
        <v>95</v>
      </c>
      <c r="G387" s="7" t="s">
        <v>16</v>
      </c>
      <c r="H387" s="9">
        <v>635.91060000000004</v>
      </c>
      <c r="I387" s="9">
        <v>1.8028999999999999</v>
      </c>
      <c r="J387" s="9">
        <v>1.7478</v>
      </c>
      <c r="K387" s="10">
        <v>0.96943812746131242</v>
      </c>
      <c r="L387" s="9">
        <v>20.51</v>
      </c>
      <c r="M387" s="19">
        <f>H387*INDEX('Pliegos Tarifarios (Quilicura)'!$B:$B,MATCH($B387,'Pliegos Tarifarios (Quilicura)'!$A:$A,0))</f>
        <v>75570.343882800007</v>
      </c>
      <c r="N387" s="19">
        <f>I387*INDEX('Pliegos Tarifarios (Quilicura)'!$C:$C,MATCH($B387,'Pliegos Tarifarios (Quilicura)'!$A:$A,0))</f>
        <v>6239.0346094999995</v>
      </c>
      <c r="O387" s="19">
        <f>J387*INDEX('Pliegos Tarifarios (Quilicura)'!$D:$D,MATCH($B387,'Pliegos Tarifarios (Quilicura)'!$A:$A,0))</f>
        <v>24756.763786200001</v>
      </c>
      <c r="P387" s="19">
        <f>H387*INDEX('Pliegos Tarifarios (Quilicura)'!$E:$E,MATCH($B387,'Pliegos Tarifarios (Quilicura)'!$A:$A,0))</f>
        <v>8223.5958792000001</v>
      </c>
      <c r="Q387" s="19" cm="1">
        <f t="array" ref="Q387">H387*_xlfn.IFS(H387&lt;=350,INDEX('Pliegos Tarifarios (Quilicura)'!$F:$F,MATCH($B387,'Pliegos Tarifarios (Quilicura)'!$A:$A,0)),H387&lt;=500,INDEX('Pliegos Tarifarios (Quilicura)'!$G:$G,MATCH($B387,'Pliegos Tarifarios (Quilicura)'!$A:$A,0)),H387&lt;=1000,INDEX('Pliegos Tarifarios (Quilicura)'!$H:$H,MATCH($B387,'Pliegos Tarifarios (Quilicura)'!$A:$A,0)),H387&lt;=5000,INDEX('Pliegos Tarifarios (Quilicura)'!$I:$I,MATCH($B387,'Pliegos Tarifarios (Quilicura)'!$A:$A,0)),H387&gt;5000,INDEX('Pliegos Tarifarios (Quilicura)'!$J:$J,MATCH($B387,'Pliegos Tarifarios (Quilicura)'!$A:$A,0)))/1.19</f>
        <v>1491.4508273949584</v>
      </c>
      <c r="R387" s="19">
        <f>INDEX('Pliegos Tarifarios (Quilicura)'!$K:$K,MATCH($B387,'Pliegos Tarifarios (Quilicura)'!$A:$A,0))</f>
        <v>724.74800000000005</v>
      </c>
      <c r="S387" s="21">
        <f t="shared" si="18"/>
        <v>117005.93698509497</v>
      </c>
      <c r="T387" s="21">
        <f t="shared" si="19"/>
        <v>22231.128027168044</v>
      </c>
      <c r="U387" s="19">
        <v>0</v>
      </c>
      <c r="V387" s="21">
        <f t="shared" si="20"/>
        <v>139237.06501226302</v>
      </c>
    </row>
    <row r="388" spans="1:22" x14ac:dyDescent="0.3">
      <c r="A388" s="7" t="s">
        <v>145</v>
      </c>
      <c r="B388" s="7">
        <v>6</v>
      </c>
      <c r="C388" s="8" t="s">
        <v>186</v>
      </c>
      <c r="D388" s="7" t="s">
        <v>221</v>
      </c>
      <c r="E388" s="7" t="s">
        <v>91</v>
      </c>
      <c r="F388" s="8" t="s">
        <v>97</v>
      </c>
      <c r="G388" s="7" t="s">
        <v>16</v>
      </c>
      <c r="H388" s="9">
        <v>634.35730000000001</v>
      </c>
      <c r="I388" s="9">
        <v>1.7572000000000001</v>
      </c>
      <c r="J388" s="9">
        <v>1.7512000000000001</v>
      </c>
      <c r="K388" s="10">
        <v>0.99658547689506027</v>
      </c>
      <c r="L388" s="9">
        <v>20.46</v>
      </c>
      <c r="M388" s="19">
        <f>H388*INDEX('Pliegos Tarifarios (Quilicura)'!$B:$B,MATCH($B388,'Pliegos Tarifarios (Quilicura)'!$A:$A,0))</f>
        <v>75385.752817400004</v>
      </c>
      <c r="N388" s="19">
        <f>I388*INDEX('Pliegos Tarifarios (Quilicura)'!$C:$C,MATCH($B388,'Pliegos Tarifarios (Quilicura)'!$A:$A,0))</f>
        <v>6080.8872460000002</v>
      </c>
      <c r="O388" s="19">
        <f>J388*INDEX('Pliegos Tarifarios (Quilicura)'!$D:$D,MATCH($B388,'Pliegos Tarifarios (Quilicura)'!$A:$A,0))</f>
        <v>24804.923184800002</v>
      </c>
      <c r="P388" s="19">
        <f>H388*INDEX('Pliegos Tarifarios (Quilicura)'!$E:$E,MATCH($B388,'Pliegos Tarifarios (Quilicura)'!$A:$A,0))</f>
        <v>8203.5086036000012</v>
      </c>
      <c r="Q388" s="19" cm="1">
        <f t="array" ref="Q388">H388*_xlfn.IFS(H388&lt;=350,INDEX('Pliegos Tarifarios (Quilicura)'!$F:$F,MATCH($B388,'Pliegos Tarifarios (Quilicura)'!$A:$A,0)),H388&lt;=500,INDEX('Pliegos Tarifarios (Quilicura)'!$G:$G,MATCH($B388,'Pliegos Tarifarios (Quilicura)'!$A:$A,0)),H388&lt;=1000,INDEX('Pliegos Tarifarios (Quilicura)'!$H:$H,MATCH($B388,'Pliegos Tarifarios (Quilicura)'!$A:$A,0)),H388&lt;=5000,INDEX('Pliegos Tarifarios (Quilicura)'!$I:$I,MATCH($B388,'Pliegos Tarifarios (Quilicura)'!$A:$A,0)),H388&gt;5000,INDEX('Pliegos Tarifarios (Quilicura)'!$J:$J,MATCH($B388,'Pliegos Tarifarios (Quilicura)'!$A:$A,0)))/1.19</f>
        <v>1487.8077515126054</v>
      </c>
      <c r="R388" s="19">
        <f>INDEX('Pliegos Tarifarios (Quilicura)'!$K:$K,MATCH($B388,'Pliegos Tarifarios (Quilicura)'!$A:$A,0))</f>
        <v>724.74800000000005</v>
      </c>
      <c r="S388" s="21">
        <f t="shared" si="18"/>
        <v>116687.62760331262</v>
      </c>
      <c r="T388" s="21">
        <f t="shared" si="19"/>
        <v>22170.6492446294</v>
      </c>
      <c r="U388" s="19">
        <v>0</v>
      </c>
      <c r="V388" s="21">
        <f t="shared" si="20"/>
        <v>138858.27684794203</v>
      </c>
    </row>
    <row r="389" spans="1:22" x14ac:dyDescent="0.3">
      <c r="A389" s="7" t="s">
        <v>145</v>
      </c>
      <c r="B389" s="7">
        <v>6</v>
      </c>
      <c r="C389" s="8" t="s">
        <v>186</v>
      </c>
      <c r="D389" s="7" t="s">
        <v>222</v>
      </c>
      <c r="E389" s="7" t="s">
        <v>99</v>
      </c>
      <c r="F389" s="8" t="s">
        <v>100</v>
      </c>
      <c r="G389" s="7" t="s">
        <v>16</v>
      </c>
      <c r="H389" s="9">
        <v>3175.7636000000002</v>
      </c>
      <c r="I389" s="9">
        <v>8.9242000000000008</v>
      </c>
      <c r="J389" s="9">
        <v>8.9242000000000008</v>
      </c>
      <c r="K389" s="10">
        <v>1</v>
      </c>
      <c r="L389" s="9">
        <v>102.44</v>
      </c>
      <c r="M389" s="19">
        <f>H389*INDEX('Pliegos Tarifarios (Quilicura)'!$B:$B,MATCH($B389,'Pliegos Tarifarios (Quilicura)'!$A:$A,0))</f>
        <v>377401.39469679998</v>
      </c>
      <c r="N389" s="19">
        <f>I389*INDEX('Pliegos Tarifarios (Quilicura)'!$C:$C,MATCH($B389,'Pliegos Tarifarios (Quilicura)'!$A:$A,0))</f>
        <v>30882.684931</v>
      </c>
      <c r="O389" s="19">
        <f>J389*INDEX('Pliegos Tarifarios (Quilicura)'!$D:$D,MATCH($B389,'Pliegos Tarifarios (Quilicura)'!$A:$A,0))</f>
        <v>126407.08970180001</v>
      </c>
      <c r="P389" s="19">
        <f>H389*INDEX('Pliegos Tarifarios (Quilicura)'!$E:$E,MATCH($B389,'Pliegos Tarifarios (Quilicura)'!$A:$A,0))</f>
        <v>41068.974875200001</v>
      </c>
      <c r="Q389" s="19" cm="1">
        <f t="array" ref="Q389">H389*_xlfn.IFS(H389&lt;=350,INDEX('Pliegos Tarifarios (Quilicura)'!$F:$F,MATCH($B389,'Pliegos Tarifarios (Quilicura)'!$A:$A,0)),H389&lt;=500,INDEX('Pliegos Tarifarios (Quilicura)'!$G:$G,MATCH($B389,'Pliegos Tarifarios (Quilicura)'!$A:$A,0)),H389&lt;=1000,INDEX('Pliegos Tarifarios (Quilicura)'!$H:$H,MATCH($B389,'Pliegos Tarifarios (Quilicura)'!$A:$A,0)),H389&lt;=5000,INDEX('Pliegos Tarifarios (Quilicura)'!$I:$I,MATCH($B389,'Pliegos Tarifarios (Quilicura)'!$A:$A,0)),H389&gt;5000,INDEX('Pliegos Tarifarios (Quilicura)'!$J:$J,MATCH($B389,'Pliegos Tarifarios (Quilicura)'!$A:$A,0)))/1.19</f>
        <v>9529.9595089075628</v>
      </c>
      <c r="R389" s="19">
        <f>INDEX('Pliegos Tarifarios (Quilicura)'!$K:$K,MATCH($B389,'Pliegos Tarifarios (Quilicura)'!$A:$A,0))</f>
        <v>724.74800000000005</v>
      </c>
      <c r="S389" s="21">
        <f t="shared" si="18"/>
        <v>586014.85171370744</v>
      </c>
      <c r="T389" s="21">
        <f t="shared" si="19"/>
        <v>111342.82182560442</v>
      </c>
      <c r="U389" s="19">
        <v>0</v>
      </c>
      <c r="V389" s="21">
        <f t="shared" si="20"/>
        <v>697357.67353931186</v>
      </c>
    </row>
    <row r="390" spans="1:22" x14ac:dyDescent="0.3">
      <c r="A390" s="7" t="s">
        <v>145</v>
      </c>
      <c r="B390" s="7">
        <v>6</v>
      </c>
      <c r="C390" s="8" t="s">
        <v>186</v>
      </c>
      <c r="D390" s="7" t="s">
        <v>223</v>
      </c>
      <c r="E390" s="7" t="s">
        <v>102</v>
      </c>
      <c r="F390" s="8" t="s">
        <v>103</v>
      </c>
      <c r="G390" s="7" t="s">
        <v>16</v>
      </c>
      <c r="H390" s="9">
        <v>2543.7100999999998</v>
      </c>
      <c r="I390" s="9">
        <v>7.0880000000000001</v>
      </c>
      <c r="J390" s="9">
        <v>6.8634000000000004</v>
      </c>
      <c r="K390" s="10">
        <v>0.96831264108352144</v>
      </c>
      <c r="L390" s="9">
        <v>82.06</v>
      </c>
      <c r="M390" s="19">
        <f>H390*INDEX('Pliegos Tarifarios (Quilicura)'!$B:$B,MATCH($B390,'Pliegos Tarifarios (Quilicura)'!$A:$A,0))</f>
        <v>302289.42086379998</v>
      </c>
      <c r="N390" s="19">
        <f>I390*INDEX('Pliegos Tarifarios (Quilicura)'!$C:$C,MATCH($B390,'Pliegos Tarifarios (Quilicura)'!$A:$A,0))</f>
        <v>24528.413839999997</v>
      </c>
      <c r="O390" s="19">
        <f>J390*INDEX('Pliegos Tarifarios (Quilicura)'!$D:$D,MATCH($B390,'Pliegos Tarifarios (Quilicura)'!$A:$A,0))</f>
        <v>97216.828338600011</v>
      </c>
      <c r="P390" s="19">
        <f>H390*INDEX('Pliegos Tarifarios (Quilicura)'!$E:$E,MATCH($B390,'Pliegos Tarifarios (Quilicura)'!$A:$A,0))</f>
        <v>32895.259013199997</v>
      </c>
      <c r="Q390" s="19" cm="1">
        <f t="array" ref="Q390">H390*_xlfn.IFS(H390&lt;=350,INDEX('Pliegos Tarifarios (Quilicura)'!$F:$F,MATCH($B390,'Pliegos Tarifarios (Quilicura)'!$A:$A,0)),H390&lt;=500,INDEX('Pliegos Tarifarios (Quilicura)'!$G:$G,MATCH($B390,'Pliegos Tarifarios (Quilicura)'!$A:$A,0)),H390&lt;=1000,INDEX('Pliegos Tarifarios (Quilicura)'!$H:$H,MATCH($B390,'Pliegos Tarifarios (Quilicura)'!$A:$A,0)),H390&lt;=5000,INDEX('Pliegos Tarifarios (Quilicura)'!$I:$I,MATCH($B390,'Pliegos Tarifarios (Quilicura)'!$A:$A,0)),H390&gt;5000,INDEX('Pliegos Tarifarios (Quilicura)'!$J:$J,MATCH($B390,'Pliegos Tarifarios (Quilicura)'!$A:$A,0)))/1.19</f>
        <v>7633.267871512604</v>
      </c>
      <c r="R390" s="19">
        <f>INDEX('Pliegos Tarifarios (Quilicura)'!$K:$K,MATCH($B390,'Pliegos Tarifarios (Quilicura)'!$A:$A,0))</f>
        <v>724.74800000000005</v>
      </c>
      <c r="S390" s="21">
        <f t="shared" si="18"/>
        <v>465287.93792711262</v>
      </c>
      <c r="T390" s="21">
        <f t="shared" si="19"/>
        <v>88404.708206151394</v>
      </c>
      <c r="U390" s="19">
        <v>0</v>
      </c>
      <c r="V390" s="21">
        <f t="shared" si="20"/>
        <v>553692.64613326406</v>
      </c>
    </row>
    <row r="391" spans="1:22" x14ac:dyDescent="0.3">
      <c r="A391" s="7" t="s">
        <v>145</v>
      </c>
      <c r="B391" s="7">
        <v>6</v>
      </c>
      <c r="C391" s="8" t="s">
        <v>186</v>
      </c>
      <c r="D391" s="7" t="s">
        <v>224</v>
      </c>
      <c r="E391" s="7" t="s">
        <v>105</v>
      </c>
      <c r="F391" s="8" t="s">
        <v>106</v>
      </c>
      <c r="G391" s="7" t="s">
        <v>30</v>
      </c>
      <c r="H391" s="9">
        <v>847.63220000000001</v>
      </c>
      <c r="I391" s="9">
        <v>2.3561000000000001</v>
      </c>
      <c r="J391" s="9">
        <v>2.3088000000000002</v>
      </c>
      <c r="K391" s="10">
        <v>0.97992445142396334</v>
      </c>
      <c r="L391" s="9">
        <v>27.34</v>
      </c>
      <c r="M391" s="19">
        <f>H391*INDEX('Pliegos Tarifarios (Quilicura)'!$B:$B,MATCH($B391,'Pliegos Tarifarios (Quilicura)'!$A:$A,0))</f>
        <v>100730.91538359999</v>
      </c>
      <c r="N391" s="19">
        <f>I391*INDEX('Pliegos Tarifarios (Quilicura)'!$C:$C,MATCH($B391,'Pliegos Tarifarios (Quilicura)'!$A:$A,0))</f>
        <v>8153.4136355000001</v>
      </c>
      <c r="O391" s="19">
        <f>J391*INDEX('Pliegos Tarifarios (Quilicura)'!$D:$D,MATCH($B391,'Pliegos Tarifarios (Quilicura)'!$A:$A,0))</f>
        <v>32703.064555200002</v>
      </c>
      <c r="P391" s="19">
        <f>H391*INDEX('Pliegos Tarifarios (Quilicura)'!$E:$E,MATCH($B391,'Pliegos Tarifarios (Quilicura)'!$A:$A,0))</f>
        <v>10961.5796104</v>
      </c>
      <c r="Q391" s="19" cm="1">
        <f t="array" ref="Q391">H391*_xlfn.IFS(H391&lt;=350,INDEX('Pliegos Tarifarios (Quilicura)'!$F:$F,MATCH($B391,'Pliegos Tarifarios (Quilicura)'!$A:$A,0)),H391&lt;=500,INDEX('Pliegos Tarifarios (Quilicura)'!$G:$G,MATCH($B391,'Pliegos Tarifarios (Quilicura)'!$A:$A,0)),H391&lt;=1000,INDEX('Pliegos Tarifarios (Quilicura)'!$H:$H,MATCH($B391,'Pliegos Tarifarios (Quilicura)'!$A:$A,0)),H391&lt;=5000,INDEX('Pliegos Tarifarios (Quilicura)'!$I:$I,MATCH($B391,'Pliegos Tarifarios (Quilicura)'!$A:$A,0)),H391&gt;5000,INDEX('Pliegos Tarifarios (Quilicura)'!$J:$J,MATCH($B391,'Pliegos Tarifarios (Quilicura)'!$A:$A,0)))/1.19</f>
        <v>1988.0180421848745</v>
      </c>
      <c r="R391" s="19">
        <f>INDEX('Pliegos Tarifarios (Quilicura)'!$K:$K,MATCH($B391,'Pliegos Tarifarios (Quilicura)'!$A:$A,0))</f>
        <v>724.74800000000005</v>
      </c>
      <c r="S391" s="21">
        <f t="shared" si="18"/>
        <v>155261.73922688485</v>
      </c>
      <c r="T391" s="21">
        <f t="shared" si="19"/>
        <v>29499.730453108121</v>
      </c>
      <c r="U391" s="19">
        <v>0</v>
      </c>
      <c r="V391" s="21">
        <f t="shared" si="20"/>
        <v>184761.46967999297</v>
      </c>
    </row>
    <row r="392" spans="1:22" x14ac:dyDescent="0.3">
      <c r="A392" s="7" t="s">
        <v>145</v>
      </c>
      <c r="B392" s="7">
        <v>6</v>
      </c>
      <c r="C392" s="8" t="s">
        <v>186</v>
      </c>
      <c r="D392" s="7" t="s">
        <v>225</v>
      </c>
      <c r="E392" s="7" t="s">
        <v>105</v>
      </c>
      <c r="F392" s="8" t="s">
        <v>108</v>
      </c>
      <c r="G392" s="7" t="s">
        <v>30</v>
      </c>
      <c r="H392" s="9">
        <v>849.31269999999995</v>
      </c>
      <c r="I392" s="9">
        <v>2.3780999999999999</v>
      </c>
      <c r="J392" s="9">
        <v>2.2917000000000001</v>
      </c>
      <c r="K392" s="10">
        <v>0.96366847483284979</v>
      </c>
      <c r="L392" s="9">
        <v>27.4</v>
      </c>
      <c r="M392" s="19">
        <f>H392*INDEX('Pliegos Tarifarios (Quilicura)'!$B:$B,MATCH($B392,'Pliegos Tarifarios (Quilicura)'!$A:$A,0))</f>
        <v>100930.62264259999</v>
      </c>
      <c r="N392" s="19">
        <f>I392*INDEX('Pliegos Tarifarios (Quilicura)'!$C:$C,MATCH($B392,'Pliegos Tarifarios (Quilicura)'!$A:$A,0))</f>
        <v>8229.5458454999989</v>
      </c>
      <c r="O392" s="19">
        <f>J392*INDEX('Pliegos Tarifarios (Quilicura)'!$D:$D,MATCH($B392,'Pliegos Tarifarios (Quilicura)'!$A:$A,0))</f>
        <v>32460.851109300002</v>
      </c>
      <c r="P392" s="19">
        <f>H392*INDEX('Pliegos Tarifarios (Quilicura)'!$E:$E,MATCH($B392,'Pliegos Tarifarios (Quilicura)'!$A:$A,0))</f>
        <v>10983.3118364</v>
      </c>
      <c r="Q392" s="19" cm="1">
        <f t="array" ref="Q392">H392*_xlfn.IFS(H392&lt;=350,INDEX('Pliegos Tarifarios (Quilicura)'!$F:$F,MATCH($B392,'Pliegos Tarifarios (Quilicura)'!$A:$A,0)),H392&lt;=500,INDEX('Pliegos Tarifarios (Quilicura)'!$G:$G,MATCH($B392,'Pliegos Tarifarios (Quilicura)'!$A:$A,0)),H392&lt;=1000,INDEX('Pliegos Tarifarios (Quilicura)'!$H:$H,MATCH($B392,'Pliegos Tarifarios (Quilicura)'!$A:$A,0)),H392&lt;=5000,INDEX('Pliegos Tarifarios (Quilicura)'!$I:$I,MATCH($B392,'Pliegos Tarifarios (Quilicura)'!$A:$A,0)),H392&gt;5000,INDEX('Pliegos Tarifarios (Quilicura)'!$J:$J,MATCH($B392,'Pliegos Tarifarios (Quilicura)'!$A:$A,0)))/1.19</f>
        <v>1991.9594501680674</v>
      </c>
      <c r="R392" s="19">
        <f>INDEX('Pliegos Tarifarios (Quilicura)'!$K:$K,MATCH($B392,'Pliegos Tarifarios (Quilicura)'!$A:$A,0))</f>
        <v>724.74800000000005</v>
      </c>
      <c r="S392" s="21">
        <f t="shared" si="18"/>
        <v>155321.03888396808</v>
      </c>
      <c r="T392" s="21">
        <f t="shared" si="19"/>
        <v>29510.997387953936</v>
      </c>
      <c r="U392" s="19">
        <v>0</v>
      </c>
      <c r="V392" s="21">
        <f t="shared" si="20"/>
        <v>184832.03627192203</v>
      </c>
    </row>
    <row r="393" spans="1:22" x14ac:dyDescent="0.3">
      <c r="A393" s="7" t="s">
        <v>145</v>
      </c>
      <c r="B393" s="7">
        <v>6</v>
      </c>
      <c r="C393" s="8" t="s">
        <v>186</v>
      </c>
      <c r="D393" s="7" t="s">
        <v>226</v>
      </c>
      <c r="E393" s="7" t="s">
        <v>110</v>
      </c>
      <c r="F393" s="8" t="s">
        <v>111</v>
      </c>
      <c r="G393" s="7" t="s">
        <v>30</v>
      </c>
      <c r="H393" s="9">
        <v>424.76639999999998</v>
      </c>
      <c r="I393" s="9">
        <v>1.1963999999999999</v>
      </c>
      <c r="J393" s="9">
        <v>1.1649</v>
      </c>
      <c r="K393" s="10">
        <v>0.97367101303911752</v>
      </c>
      <c r="L393" s="9">
        <v>13.7</v>
      </c>
      <c r="M393" s="19">
        <f>H393*INDEX('Pliegos Tarifarios (Quilicura)'!$B:$B,MATCH($B393,'Pliegos Tarifarios (Quilicura)'!$A:$A,0))</f>
        <v>50478.389443199994</v>
      </c>
      <c r="N393" s="19">
        <f>I393*INDEX('Pliegos Tarifarios (Quilicura)'!$C:$C,MATCH($B393,'Pliegos Tarifarios (Quilicura)'!$A:$A,0))</f>
        <v>4140.2080019999994</v>
      </c>
      <c r="O393" s="19">
        <f>J393*INDEX('Pliegos Tarifarios (Quilicura)'!$D:$D,MATCH($B393,'Pliegos Tarifarios (Quilicura)'!$A:$A,0))</f>
        <v>16500.2598321</v>
      </c>
      <c r="P393" s="19">
        <f>H393*INDEX('Pliegos Tarifarios (Quilicura)'!$E:$E,MATCH($B393,'Pliegos Tarifarios (Quilicura)'!$A:$A,0))</f>
        <v>5493.0790847999997</v>
      </c>
      <c r="Q393" s="19" cm="1">
        <f t="array" ref="Q393">H393*_xlfn.IFS(H393&lt;=350,INDEX('Pliegos Tarifarios (Quilicura)'!$F:$F,MATCH($B393,'Pliegos Tarifarios (Quilicura)'!$A:$A,0)),H393&lt;=500,INDEX('Pliegos Tarifarios (Quilicura)'!$G:$G,MATCH($B393,'Pliegos Tarifarios (Quilicura)'!$A:$A,0)),H393&lt;=1000,INDEX('Pliegos Tarifarios (Quilicura)'!$H:$H,MATCH($B393,'Pliegos Tarifarios (Quilicura)'!$A:$A,0)),H393&lt;=5000,INDEX('Pliegos Tarifarios (Quilicura)'!$I:$I,MATCH($B393,'Pliegos Tarifarios (Quilicura)'!$A:$A,0)),H393&gt;5000,INDEX('Pliegos Tarifarios (Quilicura)'!$J:$J,MATCH($B393,'Pliegos Tarifarios (Quilicura)'!$A:$A,0)))/1.19</f>
        <v>598.24242554621856</v>
      </c>
      <c r="R393" s="19">
        <f>INDEX('Pliegos Tarifarios (Quilicura)'!$K:$K,MATCH($B393,'Pliegos Tarifarios (Quilicura)'!$A:$A,0))</f>
        <v>724.74800000000005</v>
      </c>
      <c r="S393" s="21">
        <f t="shared" si="18"/>
        <v>77934.926787646225</v>
      </c>
      <c r="T393" s="21">
        <f t="shared" si="19"/>
        <v>14807.636089652782</v>
      </c>
      <c r="U393" s="19">
        <v>0</v>
      </c>
      <c r="V393" s="21">
        <f t="shared" si="20"/>
        <v>92742.562877299002</v>
      </c>
    </row>
    <row r="394" spans="1:22" x14ac:dyDescent="0.3">
      <c r="A394" s="7" t="s">
        <v>145</v>
      </c>
      <c r="B394" s="7">
        <v>6</v>
      </c>
      <c r="C394" s="8" t="s">
        <v>186</v>
      </c>
      <c r="D394" s="7" t="s">
        <v>227</v>
      </c>
      <c r="E394" s="7" t="s">
        <v>113</v>
      </c>
      <c r="F394" s="8" t="s">
        <v>114</v>
      </c>
      <c r="G394" s="7" t="s">
        <v>30</v>
      </c>
      <c r="H394" s="9">
        <v>633.83309999999994</v>
      </c>
      <c r="I394" s="9">
        <v>1.7652000000000001</v>
      </c>
      <c r="J394" s="9">
        <v>1.7612000000000001</v>
      </c>
      <c r="K394" s="10">
        <v>0.99773396782234303</v>
      </c>
      <c r="L394" s="9">
        <v>20.45</v>
      </c>
      <c r="M394" s="19">
        <f>H394*INDEX('Pliegos Tarifarios (Quilicura)'!$B:$B,MATCH($B394,'Pliegos Tarifarios (Quilicura)'!$A:$A,0))</f>
        <v>75323.457937799991</v>
      </c>
      <c r="N394" s="19">
        <f>I394*INDEX('Pliegos Tarifarios (Quilicura)'!$C:$C,MATCH($B394,'Pliegos Tarifarios (Quilicura)'!$A:$A,0))</f>
        <v>6108.5716860000002</v>
      </c>
      <c r="O394" s="19">
        <f>J394*INDEX('Pliegos Tarifarios (Quilicura)'!$D:$D,MATCH($B394,'Pliegos Tarifarios (Quilicura)'!$A:$A,0))</f>
        <v>24946.568474800002</v>
      </c>
      <c r="P394" s="19">
        <f>H394*INDEX('Pliegos Tarifarios (Quilicura)'!$E:$E,MATCH($B394,'Pliegos Tarifarios (Quilicura)'!$A:$A,0))</f>
        <v>8196.7296491999987</v>
      </c>
      <c r="Q394" s="19" cm="1">
        <f t="array" ref="Q394">H394*_xlfn.IFS(H394&lt;=350,INDEX('Pliegos Tarifarios (Quilicura)'!$F:$F,MATCH($B394,'Pliegos Tarifarios (Quilicura)'!$A:$A,0)),H394&lt;=500,INDEX('Pliegos Tarifarios (Quilicura)'!$G:$G,MATCH($B394,'Pliegos Tarifarios (Quilicura)'!$A:$A,0)),H394&lt;=1000,INDEX('Pliegos Tarifarios (Quilicura)'!$H:$H,MATCH($B394,'Pliegos Tarifarios (Quilicura)'!$A:$A,0)),H394&lt;=5000,INDEX('Pliegos Tarifarios (Quilicura)'!$I:$I,MATCH($B394,'Pliegos Tarifarios (Quilicura)'!$A:$A,0)),H394&gt;5000,INDEX('Pliegos Tarifarios (Quilicura)'!$J:$J,MATCH($B394,'Pliegos Tarifarios (Quilicura)'!$A:$A,0)))/1.19</f>
        <v>1486.5783042857145</v>
      </c>
      <c r="R394" s="19">
        <f>INDEX('Pliegos Tarifarios (Quilicura)'!$K:$K,MATCH($B394,'Pliegos Tarifarios (Quilicura)'!$A:$A,0))</f>
        <v>724.74800000000005</v>
      </c>
      <c r="S394" s="21">
        <f t="shared" si="18"/>
        <v>116786.65405208571</v>
      </c>
      <c r="T394" s="21">
        <f t="shared" si="19"/>
        <v>22189.464269896285</v>
      </c>
      <c r="U394" s="19">
        <v>0</v>
      </c>
      <c r="V394" s="21">
        <f t="shared" si="20"/>
        <v>138976.11832198198</v>
      </c>
    </row>
    <row r="395" spans="1:22" x14ac:dyDescent="0.3">
      <c r="A395" s="7" t="s">
        <v>145</v>
      </c>
      <c r="B395" s="7">
        <v>6</v>
      </c>
      <c r="C395" s="8" t="s">
        <v>186</v>
      </c>
      <c r="D395" s="7" t="s">
        <v>228</v>
      </c>
      <c r="E395" s="7" t="s">
        <v>116</v>
      </c>
      <c r="F395" s="8" t="s">
        <v>117</v>
      </c>
      <c r="G395" s="7" t="s">
        <v>30</v>
      </c>
      <c r="H395" s="9">
        <v>105.952</v>
      </c>
      <c r="I395" s="9">
        <v>0.29849999999999999</v>
      </c>
      <c r="J395" s="9">
        <v>0.29849999999999999</v>
      </c>
      <c r="K395" s="10">
        <v>1</v>
      </c>
      <c r="L395" s="9">
        <v>3.42</v>
      </c>
      <c r="M395" s="19">
        <f>H395*INDEX('Pliegos Tarifarios (Quilicura)'!$B:$B,MATCH($B395,'Pliegos Tarifarios (Quilicura)'!$A:$A,0))</f>
        <v>12591.123775999999</v>
      </c>
      <c r="N395" s="19">
        <f>I395*INDEX('Pliegos Tarifarios (Quilicura)'!$C:$C,MATCH($B395,'Pliegos Tarifarios (Quilicura)'!$A:$A,0))</f>
        <v>1032.9756674999999</v>
      </c>
      <c r="O395" s="19">
        <f>J395*INDEX('Pliegos Tarifarios (Quilicura)'!$D:$D,MATCH($B395,'Pliegos Tarifarios (Quilicura)'!$A:$A,0))</f>
        <v>4228.1119065000003</v>
      </c>
      <c r="P395" s="19">
        <f>H395*INDEX('Pliegos Tarifarios (Quilicura)'!$E:$E,MATCH($B395,'Pliegos Tarifarios (Quilicura)'!$A:$A,0))</f>
        <v>1370.1712640000001</v>
      </c>
      <c r="Q395" s="19" cm="1">
        <f t="array" ref="Q395">H395*_xlfn.IFS(H395&lt;=350,INDEX('Pliegos Tarifarios (Quilicura)'!$F:$F,MATCH($B395,'Pliegos Tarifarios (Quilicura)'!$A:$A,0)),H395&lt;=500,INDEX('Pliegos Tarifarios (Quilicura)'!$G:$G,MATCH($B395,'Pliegos Tarifarios (Quilicura)'!$A:$A,0)),H395&lt;=1000,INDEX('Pliegos Tarifarios (Quilicura)'!$H:$H,MATCH($B395,'Pliegos Tarifarios (Quilicura)'!$A:$A,0)),H395&lt;=5000,INDEX('Pliegos Tarifarios (Quilicura)'!$I:$I,MATCH($B395,'Pliegos Tarifarios (Quilicura)'!$A:$A,0)),H395&gt;5000,INDEX('Pliegos Tarifarios (Quilicura)'!$J:$J,MATCH($B395,'Pliegos Tarifarios (Quilicura)'!$A:$A,0)))/1.19</f>
        <v>69.803670588235292</v>
      </c>
      <c r="R395" s="19">
        <f>INDEX('Pliegos Tarifarios (Quilicura)'!$K:$K,MATCH($B395,'Pliegos Tarifarios (Quilicura)'!$A:$A,0))</f>
        <v>724.74800000000005</v>
      </c>
      <c r="S395" s="21">
        <f t="shared" ref="S395:S458" si="21">SUM(M395:R395)</f>
        <v>20016.934284588235</v>
      </c>
      <c r="T395" s="21">
        <f t="shared" ref="T395:T458" si="22">S395*0.19</f>
        <v>3803.2175140717645</v>
      </c>
      <c r="U395" s="19">
        <v>0</v>
      </c>
      <c r="V395" s="21">
        <f t="shared" ref="V395:V458" si="23">SUM(S395:T395)</f>
        <v>23820.151798660001</v>
      </c>
    </row>
    <row r="396" spans="1:22" x14ac:dyDescent="0.3">
      <c r="A396" s="7" t="s">
        <v>145</v>
      </c>
      <c r="B396" s="7">
        <v>6</v>
      </c>
      <c r="C396" s="8" t="s">
        <v>186</v>
      </c>
      <c r="D396" s="7" t="s">
        <v>229</v>
      </c>
      <c r="E396" s="7" t="s">
        <v>116</v>
      </c>
      <c r="F396" s="8" t="s">
        <v>119</v>
      </c>
      <c r="G396" s="7" t="s">
        <v>30</v>
      </c>
      <c r="H396" s="9">
        <v>106.04510000000001</v>
      </c>
      <c r="I396" s="9">
        <v>0.29799999999999999</v>
      </c>
      <c r="J396" s="9">
        <v>0.29799999999999999</v>
      </c>
      <c r="K396" s="10">
        <v>1</v>
      </c>
      <c r="L396" s="9">
        <v>3.42</v>
      </c>
      <c r="M396" s="19">
        <f>H396*INDEX('Pliegos Tarifarios (Quilicura)'!$B:$B,MATCH($B396,'Pliegos Tarifarios (Quilicura)'!$A:$A,0))</f>
        <v>12602.187593799999</v>
      </c>
      <c r="N396" s="19">
        <f>I396*INDEX('Pliegos Tarifarios (Quilicura)'!$C:$C,MATCH($B396,'Pliegos Tarifarios (Quilicura)'!$A:$A,0))</f>
        <v>1031.2453899999998</v>
      </c>
      <c r="O396" s="19">
        <f>J396*INDEX('Pliegos Tarifarios (Quilicura)'!$D:$D,MATCH($B396,'Pliegos Tarifarios (Quilicura)'!$A:$A,0))</f>
        <v>4221.0296419999995</v>
      </c>
      <c r="P396" s="19">
        <f>H396*INDEX('Pliegos Tarifarios (Quilicura)'!$E:$E,MATCH($B396,'Pliegos Tarifarios (Quilicura)'!$A:$A,0))</f>
        <v>1371.3752332000001</v>
      </c>
      <c r="Q396" s="19" cm="1">
        <f t="array" ref="Q396">H396*_xlfn.IFS(H396&lt;=350,INDEX('Pliegos Tarifarios (Quilicura)'!$F:$F,MATCH($B396,'Pliegos Tarifarios (Quilicura)'!$A:$A,0)),H396&lt;=500,INDEX('Pliegos Tarifarios (Quilicura)'!$G:$G,MATCH($B396,'Pliegos Tarifarios (Quilicura)'!$A:$A,0)),H396&lt;=1000,INDEX('Pliegos Tarifarios (Quilicura)'!$H:$H,MATCH($B396,'Pliegos Tarifarios (Quilicura)'!$A:$A,0)),H396&lt;=5000,INDEX('Pliegos Tarifarios (Quilicura)'!$I:$I,MATCH($B396,'Pliegos Tarifarios (Quilicura)'!$A:$A,0)),H396&gt;5000,INDEX('Pliegos Tarifarios (Quilicura)'!$J:$J,MATCH($B396,'Pliegos Tarifarios (Quilicura)'!$A:$A,0)))/1.19</f>
        <v>69.865007058823537</v>
      </c>
      <c r="R396" s="19">
        <f>INDEX('Pliegos Tarifarios (Quilicura)'!$K:$K,MATCH($B396,'Pliegos Tarifarios (Quilicura)'!$A:$A,0))</f>
        <v>724.74800000000005</v>
      </c>
      <c r="S396" s="21">
        <f t="shared" si="21"/>
        <v>20020.450866058822</v>
      </c>
      <c r="T396" s="21">
        <f t="shared" si="22"/>
        <v>3803.885664551176</v>
      </c>
      <c r="U396" s="19">
        <v>0</v>
      </c>
      <c r="V396" s="21">
        <f t="shared" si="23"/>
        <v>23824.336530609999</v>
      </c>
    </row>
    <row r="397" spans="1:22" x14ac:dyDescent="0.3">
      <c r="A397" s="7" t="s">
        <v>145</v>
      </c>
      <c r="B397" s="7">
        <v>6</v>
      </c>
      <c r="C397" s="8" t="s">
        <v>186</v>
      </c>
      <c r="D397" s="7" t="s">
        <v>230</v>
      </c>
      <c r="E397" s="7" t="s">
        <v>121</v>
      </c>
      <c r="F397" s="8" t="s">
        <v>122</v>
      </c>
      <c r="G397" s="7" t="s">
        <v>30</v>
      </c>
      <c r="H397" s="9">
        <v>105.79989999999999</v>
      </c>
      <c r="I397" s="9">
        <v>0.29430000000000001</v>
      </c>
      <c r="J397" s="9">
        <v>0.2883</v>
      </c>
      <c r="K397" s="10">
        <v>0.9796126401630989</v>
      </c>
      <c r="L397" s="9">
        <v>3.41</v>
      </c>
      <c r="M397" s="19">
        <f>H397*INDEX('Pliegos Tarifarios (Quilicura)'!$B:$B,MATCH($B397,'Pliegos Tarifarios (Quilicura)'!$A:$A,0))</f>
        <v>12573.048516199999</v>
      </c>
      <c r="N397" s="19">
        <f>I397*INDEX('Pliegos Tarifarios (Quilicura)'!$C:$C,MATCH($B397,'Pliegos Tarifarios (Quilicura)'!$A:$A,0))</f>
        <v>1018.4413364999999</v>
      </c>
      <c r="O397" s="19">
        <f>J397*INDEX('Pliegos Tarifarios (Quilicura)'!$D:$D,MATCH($B397,'Pliegos Tarifarios (Quilicura)'!$A:$A,0))</f>
        <v>4083.6337106999999</v>
      </c>
      <c r="P397" s="19">
        <f>H397*INDEX('Pliegos Tarifarios (Quilicura)'!$E:$E,MATCH($B397,'Pliegos Tarifarios (Quilicura)'!$A:$A,0))</f>
        <v>1368.2043068</v>
      </c>
      <c r="Q397" s="19" cm="1">
        <f t="array" ref="Q397">H397*_xlfn.IFS(H397&lt;=350,INDEX('Pliegos Tarifarios (Quilicura)'!$F:$F,MATCH($B397,'Pliegos Tarifarios (Quilicura)'!$A:$A,0)),H397&lt;=500,INDEX('Pliegos Tarifarios (Quilicura)'!$G:$G,MATCH($B397,'Pliegos Tarifarios (Quilicura)'!$A:$A,0)),H397&lt;=1000,INDEX('Pliegos Tarifarios (Quilicura)'!$H:$H,MATCH($B397,'Pliegos Tarifarios (Quilicura)'!$A:$A,0)),H397&lt;=5000,INDEX('Pliegos Tarifarios (Quilicura)'!$I:$I,MATCH($B397,'Pliegos Tarifarios (Quilicura)'!$A:$A,0)),H397&gt;5000,INDEX('Pliegos Tarifarios (Quilicura)'!$J:$J,MATCH($B397,'Pliegos Tarifarios (Quilicura)'!$A:$A,0)))/1.19</f>
        <v>69.703463529411763</v>
      </c>
      <c r="R397" s="19">
        <f>INDEX('Pliegos Tarifarios (Quilicura)'!$K:$K,MATCH($B397,'Pliegos Tarifarios (Quilicura)'!$A:$A,0))</f>
        <v>724.74800000000005</v>
      </c>
      <c r="S397" s="21">
        <f t="shared" si="21"/>
        <v>19837.779333729406</v>
      </c>
      <c r="T397" s="21">
        <f t="shared" si="22"/>
        <v>3769.1780734085874</v>
      </c>
      <c r="U397" s="19">
        <v>0</v>
      </c>
      <c r="V397" s="21">
        <f t="shared" si="23"/>
        <v>23606.957407137994</v>
      </c>
    </row>
    <row r="398" spans="1:22" x14ac:dyDescent="0.3">
      <c r="A398" s="7" t="s">
        <v>145</v>
      </c>
      <c r="B398" s="7">
        <v>6</v>
      </c>
      <c r="C398" s="8" t="s">
        <v>186</v>
      </c>
      <c r="D398" s="7" t="s">
        <v>231</v>
      </c>
      <c r="E398" s="7" t="s">
        <v>121</v>
      </c>
      <c r="F398" s="8" t="s">
        <v>124</v>
      </c>
      <c r="G398" s="7" t="s">
        <v>30</v>
      </c>
      <c r="H398" s="9">
        <v>106.05</v>
      </c>
      <c r="I398" s="9">
        <v>0.29849999999999999</v>
      </c>
      <c r="J398" s="9">
        <v>0.29849999999999999</v>
      </c>
      <c r="K398" s="10">
        <v>1</v>
      </c>
      <c r="L398" s="9">
        <v>3.42</v>
      </c>
      <c r="M398" s="19">
        <f>H398*INDEX('Pliegos Tarifarios (Quilicura)'!$B:$B,MATCH($B398,'Pliegos Tarifarios (Quilicura)'!$A:$A,0))</f>
        <v>12602.769899999999</v>
      </c>
      <c r="N398" s="19">
        <f>I398*INDEX('Pliegos Tarifarios (Quilicura)'!$C:$C,MATCH($B398,'Pliegos Tarifarios (Quilicura)'!$A:$A,0))</f>
        <v>1032.9756674999999</v>
      </c>
      <c r="O398" s="19">
        <f>J398*INDEX('Pliegos Tarifarios (Quilicura)'!$D:$D,MATCH($B398,'Pliegos Tarifarios (Quilicura)'!$A:$A,0))</f>
        <v>4228.1119065000003</v>
      </c>
      <c r="P398" s="19">
        <f>H398*INDEX('Pliegos Tarifarios (Quilicura)'!$E:$E,MATCH($B398,'Pliegos Tarifarios (Quilicura)'!$A:$A,0))</f>
        <v>1371.4386</v>
      </c>
      <c r="Q398" s="19" cm="1">
        <f t="array" ref="Q398">H398*_xlfn.IFS(H398&lt;=350,INDEX('Pliegos Tarifarios (Quilicura)'!$F:$F,MATCH($B398,'Pliegos Tarifarios (Quilicura)'!$A:$A,0)),H398&lt;=500,INDEX('Pliegos Tarifarios (Quilicura)'!$G:$G,MATCH($B398,'Pliegos Tarifarios (Quilicura)'!$A:$A,0)),H398&lt;=1000,INDEX('Pliegos Tarifarios (Quilicura)'!$H:$H,MATCH($B398,'Pliegos Tarifarios (Quilicura)'!$A:$A,0)),H398&lt;=5000,INDEX('Pliegos Tarifarios (Quilicura)'!$I:$I,MATCH($B398,'Pliegos Tarifarios (Quilicura)'!$A:$A,0)),H398&gt;5000,INDEX('Pliegos Tarifarios (Quilicura)'!$J:$J,MATCH($B398,'Pliegos Tarifarios (Quilicura)'!$A:$A,0)))/1.19</f>
        <v>69.868235294117653</v>
      </c>
      <c r="R398" s="19">
        <f>INDEX('Pliegos Tarifarios (Quilicura)'!$K:$K,MATCH($B398,'Pliegos Tarifarios (Quilicura)'!$A:$A,0))</f>
        <v>724.74800000000005</v>
      </c>
      <c r="S398" s="21">
        <f t="shared" si="21"/>
        <v>20029.912309294115</v>
      </c>
      <c r="T398" s="21">
        <f t="shared" si="22"/>
        <v>3805.6833387658821</v>
      </c>
      <c r="U398" s="19">
        <v>0</v>
      </c>
      <c r="V398" s="21">
        <f t="shared" si="23"/>
        <v>23835.595648059996</v>
      </c>
    </row>
    <row r="399" spans="1:22" x14ac:dyDescent="0.3">
      <c r="A399" s="7" t="s">
        <v>145</v>
      </c>
      <c r="B399" s="7">
        <v>6</v>
      </c>
      <c r="C399" s="8" t="s">
        <v>186</v>
      </c>
      <c r="D399" s="7" t="s">
        <v>232</v>
      </c>
      <c r="E399" s="7" t="s">
        <v>121</v>
      </c>
      <c r="F399" s="8" t="s">
        <v>126</v>
      </c>
      <c r="G399" s="7" t="s">
        <v>30</v>
      </c>
      <c r="H399" s="9">
        <v>105.81740000000001</v>
      </c>
      <c r="I399" s="9">
        <v>0.29499999999999998</v>
      </c>
      <c r="J399" s="9">
        <v>0.28599999999999998</v>
      </c>
      <c r="K399" s="10">
        <v>0.96949152542372874</v>
      </c>
      <c r="L399" s="9">
        <v>3.41</v>
      </c>
      <c r="M399" s="19">
        <f>H399*INDEX('Pliegos Tarifarios (Quilicura)'!$B:$B,MATCH($B399,'Pliegos Tarifarios (Quilicura)'!$A:$A,0))</f>
        <v>12575.1281812</v>
      </c>
      <c r="N399" s="19">
        <f>I399*INDEX('Pliegos Tarifarios (Quilicura)'!$C:$C,MATCH($B399,'Pliegos Tarifarios (Quilicura)'!$A:$A,0))</f>
        <v>1020.8637249999999</v>
      </c>
      <c r="O399" s="19">
        <f>J399*INDEX('Pliegos Tarifarios (Quilicura)'!$D:$D,MATCH($B399,'Pliegos Tarifarios (Quilicura)'!$A:$A,0))</f>
        <v>4051.0552939999998</v>
      </c>
      <c r="P399" s="19">
        <f>H399*INDEX('Pliegos Tarifarios (Quilicura)'!$E:$E,MATCH($B399,'Pliegos Tarifarios (Quilicura)'!$A:$A,0))</f>
        <v>1368.4306168000001</v>
      </c>
      <c r="Q399" s="19" cm="1">
        <f t="array" ref="Q399">H399*_xlfn.IFS(H399&lt;=350,INDEX('Pliegos Tarifarios (Quilicura)'!$F:$F,MATCH($B399,'Pliegos Tarifarios (Quilicura)'!$A:$A,0)),H399&lt;=500,INDEX('Pliegos Tarifarios (Quilicura)'!$G:$G,MATCH($B399,'Pliegos Tarifarios (Quilicura)'!$A:$A,0)),H399&lt;=1000,INDEX('Pliegos Tarifarios (Quilicura)'!$H:$H,MATCH($B399,'Pliegos Tarifarios (Quilicura)'!$A:$A,0)),H399&lt;=5000,INDEX('Pliegos Tarifarios (Quilicura)'!$I:$I,MATCH($B399,'Pliegos Tarifarios (Quilicura)'!$A:$A,0)),H399&gt;5000,INDEX('Pliegos Tarifarios (Quilicura)'!$J:$J,MATCH($B399,'Pliegos Tarifarios (Quilicura)'!$A:$A,0)))/1.19</f>
        <v>69.714992941176476</v>
      </c>
      <c r="R399" s="19">
        <f>INDEX('Pliegos Tarifarios (Quilicura)'!$K:$K,MATCH($B399,'Pliegos Tarifarios (Quilicura)'!$A:$A,0))</f>
        <v>724.74800000000005</v>
      </c>
      <c r="S399" s="21">
        <f t="shared" si="21"/>
        <v>19809.940809941174</v>
      </c>
      <c r="T399" s="21">
        <f t="shared" si="22"/>
        <v>3763.888753888823</v>
      </c>
      <c r="U399" s="19">
        <v>0</v>
      </c>
      <c r="V399" s="21">
        <f t="shared" si="23"/>
        <v>23573.829563829997</v>
      </c>
    </row>
    <row r="400" spans="1:22" x14ac:dyDescent="0.3">
      <c r="A400" s="7" t="s">
        <v>145</v>
      </c>
      <c r="B400" s="7">
        <v>6</v>
      </c>
      <c r="C400" s="8" t="s">
        <v>186</v>
      </c>
      <c r="D400" s="7" t="s">
        <v>233</v>
      </c>
      <c r="E400" s="7" t="s">
        <v>121</v>
      </c>
      <c r="F400" s="8" t="s">
        <v>128</v>
      </c>
      <c r="G400" s="7" t="s">
        <v>30</v>
      </c>
      <c r="H400" s="9">
        <v>105.67400000000001</v>
      </c>
      <c r="I400" s="9">
        <v>0.29909999999999998</v>
      </c>
      <c r="J400" s="9">
        <v>0.2949</v>
      </c>
      <c r="K400" s="10">
        <v>0.98595787362086262</v>
      </c>
      <c r="L400" s="9">
        <v>3.41</v>
      </c>
      <c r="M400" s="19">
        <f>H400*INDEX('Pliegos Tarifarios (Quilicura)'!$B:$B,MATCH($B400,'Pliegos Tarifarios (Quilicura)'!$A:$A,0))</f>
        <v>12558.086812</v>
      </c>
      <c r="N400" s="19">
        <f>I400*INDEX('Pliegos Tarifarios (Quilicura)'!$C:$C,MATCH($B400,'Pliegos Tarifarios (Quilicura)'!$A:$A,0))</f>
        <v>1035.0520004999998</v>
      </c>
      <c r="O400" s="19">
        <f>J400*INDEX('Pliegos Tarifarios (Quilicura)'!$D:$D,MATCH($B400,'Pliegos Tarifarios (Quilicura)'!$A:$A,0))</f>
        <v>4177.1196021000005</v>
      </c>
      <c r="P400" s="19">
        <f>H400*INDEX('Pliegos Tarifarios (Quilicura)'!$E:$E,MATCH($B400,'Pliegos Tarifarios (Quilicura)'!$A:$A,0))</f>
        <v>1366.5761680000001</v>
      </c>
      <c r="Q400" s="19" cm="1">
        <f t="array" ref="Q400">H400*_xlfn.IFS(H400&lt;=350,INDEX('Pliegos Tarifarios (Quilicura)'!$F:$F,MATCH($B400,'Pliegos Tarifarios (Quilicura)'!$A:$A,0)),H400&lt;=500,INDEX('Pliegos Tarifarios (Quilicura)'!$G:$G,MATCH($B400,'Pliegos Tarifarios (Quilicura)'!$A:$A,0)),H400&lt;=1000,INDEX('Pliegos Tarifarios (Quilicura)'!$H:$H,MATCH($B400,'Pliegos Tarifarios (Quilicura)'!$A:$A,0)),H400&lt;=5000,INDEX('Pliegos Tarifarios (Quilicura)'!$I:$I,MATCH($B400,'Pliegos Tarifarios (Quilicura)'!$A:$A,0)),H400&gt;5000,INDEX('Pliegos Tarifarios (Quilicura)'!$J:$J,MATCH($B400,'Pliegos Tarifarios (Quilicura)'!$A:$A,0)))/1.19</f>
        <v>69.620517647058833</v>
      </c>
      <c r="R400" s="19">
        <f>INDEX('Pliegos Tarifarios (Quilicura)'!$K:$K,MATCH($B400,'Pliegos Tarifarios (Quilicura)'!$A:$A,0))</f>
        <v>724.74800000000005</v>
      </c>
      <c r="S400" s="21">
        <f t="shared" si="21"/>
        <v>19931.203100247058</v>
      </c>
      <c r="T400" s="21">
        <f t="shared" si="22"/>
        <v>3786.9285890469409</v>
      </c>
      <c r="U400" s="19">
        <v>0</v>
      </c>
      <c r="V400" s="21">
        <f t="shared" si="23"/>
        <v>23718.131689293998</v>
      </c>
    </row>
    <row r="401" spans="1:22" x14ac:dyDescent="0.3">
      <c r="A401" s="7" t="s">
        <v>145</v>
      </c>
      <c r="B401" s="7">
        <v>6</v>
      </c>
      <c r="C401" s="8" t="s">
        <v>186</v>
      </c>
      <c r="D401" s="7" t="s">
        <v>234</v>
      </c>
      <c r="E401" s="7" t="s">
        <v>121</v>
      </c>
      <c r="F401" s="8" t="s">
        <v>130</v>
      </c>
      <c r="G401" s="7" t="s">
        <v>30</v>
      </c>
      <c r="H401" s="9">
        <v>105.9577</v>
      </c>
      <c r="I401" s="9">
        <v>0.30249999999999999</v>
      </c>
      <c r="J401" s="9">
        <v>0.28820000000000001</v>
      </c>
      <c r="K401" s="10">
        <v>0.95272727272727276</v>
      </c>
      <c r="L401" s="9">
        <v>3.42</v>
      </c>
      <c r="M401" s="19">
        <f>H401*INDEX('Pliegos Tarifarios (Quilicura)'!$B:$B,MATCH($B401,'Pliegos Tarifarios (Quilicura)'!$A:$A,0))</f>
        <v>12591.801152599999</v>
      </c>
      <c r="N401" s="19">
        <f>I401*INDEX('Pliegos Tarifarios (Quilicura)'!$C:$C,MATCH($B401,'Pliegos Tarifarios (Quilicura)'!$A:$A,0))</f>
        <v>1046.8178874999999</v>
      </c>
      <c r="O401" s="19">
        <f>J401*INDEX('Pliegos Tarifarios (Quilicura)'!$D:$D,MATCH($B401,'Pliegos Tarifarios (Quilicura)'!$A:$A,0))</f>
        <v>4082.2172578000004</v>
      </c>
      <c r="P401" s="19">
        <f>H401*INDEX('Pliegos Tarifarios (Quilicura)'!$E:$E,MATCH($B401,'Pliegos Tarifarios (Quilicura)'!$A:$A,0))</f>
        <v>1370.2449764</v>
      </c>
      <c r="Q401" s="19" cm="1">
        <f t="array" ref="Q401">H401*_xlfn.IFS(H401&lt;=350,INDEX('Pliegos Tarifarios (Quilicura)'!$F:$F,MATCH($B401,'Pliegos Tarifarios (Quilicura)'!$A:$A,0)),H401&lt;=500,INDEX('Pliegos Tarifarios (Quilicura)'!$G:$G,MATCH($B401,'Pliegos Tarifarios (Quilicura)'!$A:$A,0)),H401&lt;=1000,INDEX('Pliegos Tarifarios (Quilicura)'!$H:$H,MATCH($B401,'Pliegos Tarifarios (Quilicura)'!$A:$A,0)),H401&lt;=5000,INDEX('Pliegos Tarifarios (Quilicura)'!$I:$I,MATCH($B401,'Pliegos Tarifarios (Quilicura)'!$A:$A,0)),H401&gt;5000,INDEX('Pliegos Tarifarios (Quilicura)'!$J:$J,MATCH($B401,'Pliegos Tarifarios (Quilicura)'!$A:$A,0)))/1.19</f>
        <v>69.807425882352959</v>
      </c>
      <c r="R401" s="19">
        <f>INDEX('Pliegos Tarifarios (Quilicura)'!$K:$K,MATCH($B401,'Pliegos Tarifarios (Quilicura)'!$A:$A,0))</f>
        <v>724.74800000000005</v>
      </c>
      <c r="S401" s="21">
        <f t="shared" si="21"/>
        <v>19885.636700182353</v>
      </c>
      <c r="T401" s="21">
        <f t="shared" si="22"/>
        <v>3778.2709730346469</v>
      </c>
      <c r="U401" s="19">
        <v>0</v>
      </c>
      <c r="V401" s="21">
        <f t="shared" si="23"/>
        <v>23663.907673217</v>
      </c>
    </row>
    <row r="402" spans="1:22" x14ac:dyDescent="0.3">
      <c r="A402" s="7" t="s">
        <v>145</v>
      </c>
      <c r="B402" s="7">
        <v>6</v>
      </c>
      <c r="C402" s="8" t="s">
        <v>186</v>
      </c>
      <c r="D402" s="7" t="s">
        <v>235</v>
      </c>
      <c r="E402" s="7" t="s">
        <v>121</v>
      </c>
      <c r="F402" s="8" t="s">
        <v>132</v>
      </c>
      <c r="G402" s="7" t="s">
        <v>30</v>
      </c>
      <c r="H402" s="9">
        <v>105.7367</v>
      </c>
      <c r="I402" s="9">
        <v>0.30549999999999999</v>
      </c>
      <c r="J402" s="9">
        <v>0.29089999999999999</v>
      </c>
      <c r="K402" s="10">
        <v>0.95220949263502452</v>
      </c>
      <c r="L402" s="9">
        <v>3.41</v>
      </c>
      <c r="M402" s="19">
        <f>H402*INDEX('Pliegos Tarifarios (Quilicura)'!$B:$B,MATCH($B402,'Pliegos Tarifarios (Quilicura)'!$A:$A,0))</f>
        <v>12565.537954599999</v>
      </c>
      <c r="N402" s="19">
        <f>I402*INDEX('Pliegos Tarifarios (Quilicura)'!$C:$C,MATCH($B402,'Pliegos Tarifarios (Quilicura)'!$A:$A,0))</f>
        <v>1057.1995525</v>
      </c>
      <c r="O402" s="19">
        <f>J402*INDEX('Pliegos Tarifarios (Quilicura)'!$D:$D,MATCH($B402,'Pliegos Tarifarios (Quilicura)'!$A:$A,0))</f>
        <v>4120.4614861</v>
      </c>
      <c r="P402" s="19">
        <f>H402*INDEX('Pliegos Tarifarios (Quilicura)'!$E:$E,MATCH($B402,'Pliegos Tarifarios (Quilicura)'!$A:$A,0))</f>
        <v>1367.3870044</v>
      </c>
      <c r="Q402" s="19" cm="1">
        <f t="array" ref="Q402">H402*_xlfn.IFS(H402&lt;=350,INDEX('Pliegos Tarifarios (Quilicura)'!$F:$F,MATCH($B402,'Pliegos Tarifarios (Quilicura)'!$A:$A,0)),H402&lt;=500,INDEX('Pliegos Tarifarios (Quilicura)'!$G:$G,MATCH($B402,'Pliegos Tarifarios (Quilicura)'!$A:$A,0)),H402&lt;=1000,INDEX('Pliegos Tarifarios (Quilicura)'!$H:$H,MATCH($B402,'Pliegos Tarifarios (Quilicura)'!$A:$A,0)),H402&lt;=5000,INDEX('Pliegos Tarifarios (Quilicura)'!$I:$I,MATCH($B402,'Pliegos Tarifarios (Quilicura)'!$A:$A,0)),H402&gt;5000,INDEX('Pliegos Tarifarios (Quilicura)'!$J:$J,MATCH($B402,'Pliegos Tarifarios (Quilicura)'!$A:$A,0)))/1.19</f>
        <v>69.661825882352943</v>
      </c>
      <c r="R402" s="19">
        <f>INDEX('Pliegos Tarifarios (Quilicura)'!$K:$K,MATCH($B402,'Pliegos Tarifarios (Quilicura)'!$A:$A,0))</f>
        <v>724.74800000000005</v>
      </c>
      <c r="S402" s="21">
        <f t="shared" si="21"/>
        <v>19904.995823482353</v>
      </c>
      <c r="T402" s="21">
        <f t="shared" si="22"/>
        <v>3781.949206461647</v>
      </c>
      <c r="U402" s="19">
        <v>0</v>
      </c>
      <c r="V402" s="21">
        <f t="shared" si="23"/>
        <v>23686.945029944</v>
      </c>
    </row>
    <row r="403" spans="1:22" x14ac:dyDescent="0.3">
      <c r="A403" s="7" t="s">
        <v>145</v>
      </c>
      <c r="B403" s="7">
        <v>6</v>
      </c>
      <c r="C403" s="8" t="s">
        <v>186</v>
      </c>
      <c r="D403" s="7" t="s">
        <v>236</v>
      </c>
      <c r="E403" s="7" t="s">
        <v>121</v>
      </c>
      <c r="F403" s="8" t="s">
        <v>134</v>
      </c>
      <c r="G403" s="7" t="s">
        <v>30</v>
      </c>
      <c r="H403" s="9">
        <v>105.80070000000001</v>
      </c>
      <c r="I403" s="9">
        <v>0.29680000000000001</v>
      </c>
      <c r="J403" s="9">
        <v>0.29110000000000003</v>
      </c>
      <c r="K403" s="10">
        <v>0.98079514824797853</v>
      </c>
      <c r="L403" s="9">
        <v>3.41</v>
      </c>
      <c r="M403" s="19">
        <f>H403*INDEX('Pliegos Tarifarios (Quilicura)'!$B:$B,MATCH($B403,'Pliegos Tarifarios (Quilicura)'!$A:$A,0))</f>
        <v>12573.143586599999</v>
      </c>
      <c r="N403" s="19">
        <f>I403*INDEX('Pliegos Tarifarios (Quilicura)'!$C:$C,MATCH($B403,'Pliegos Tarifarios (Quilicura)'!$A:$A,0))</f>
        <v>1027.0927240000001</v>
      </c>
      <c r="O403" s="19">
        <f>J403*INDEX('Pliegos Tarifarios (Quilicura)'!$D:$D,MATCH($B403,'Pliegos Tarifarios (Quilicura)'!$A:$A,0))</f>
        <v>4123.2943919000008</v>
      </c>
      <c r="P403" s="19">
        <f>H403*INDEX('Pliegos Tarifarios (Quilicura)'!$E:$E,MATCH($B403,'Pliegos Tarifarios (Quilicura)'!$A:$A,0))</f>
        <v>1368.2146524000002</v>
      </c>
      <c r="Q403" s="19" cm="1">
        <f t="array" ref="Q403">H403*_xlfn.IFS(H403&lt;=350,INDEX('Pliegos Tarifarios (Quilicura)'!$F:$F,MATCH($B403,'Pliegos Tarifarios (Quilicura)'!$A:$A,0)),H403&lt;=500,INDEX('Pliegos Tarifarios (Quilicura)'!$G:$G,MATCH($B403,'Pliegos Tarifarios (Quilicura)'!$A:$A,0)),H403&lt;=1000,INDEX('Pliegos Tarifarios (Quilicura)'!$H:$H,MATCH($B403,'Pliegos Tarifarios (Quilicura)'!$A:$A,0)),H403&lt;=5000,INDEX('Pliegos Tarifarios (Quilicura)'!$I:$I,MATCH($B403,'Pliegos Tarifarios (Quilicura)'!$A:$A,0)),H403&gt;5000,INDEX('Pliegos Tarifarios (Quilicura)'!$J:$J,MATCH($B403,'Pliegos Tarifarios (Quilicura)'!$A:$A,0)))/1.19</f>
        <v>69.703990588235314</v>
      </c>
      <c r="R403" s="19">
        <f>INDEX('Pliegos Tarifarios (Quilicura)'!$K:$K,MATCH($B403,'Pliegos Tarifarios (Quilicura)'!$A:$A,0))</f>
        <v>724.74800000000005</v>
      </c>
      <c r="S403" s="21">
        <f t="shared" si="21"/>
        <v>19886.197345488235</v>
      </c>
      <c r="T403" s="21">
        <f t="shared" si="22"/>
        <v>3778.3774956427646</v>
      </c>
      <c r="U403" s="19">
        <v>0</v>
      </c>
      <c r="V403" s="21">
        <f t="shared" si="23"/>
        <v>23664.574841131001</v>
      </c>
    </row>
    <row r="404" spans="1:22" x14ac:dyDescent="0.3">
      <c r="A404" s="7" t="s">
        <v>145</v>
      </c>
      <c r="B404" s="7">
        <v>6</v>
      </c>
      <c r="C404" s="8" t="s">
        <v>186</v>
      </c>
      <c r="D404" s="7" t="s">
        <v>237</v>
      </c>
      <c r="E404" s="7" t="s">
        <v>121</v>
      </c>
      <c r="F404" s="8" t="s">
        <v>136</v>
      </c>
      <c r="G404" s="7" t="s">
        <v>30</v>
      </c>
      <c r="H404" s="9">
        <v>105.89230000000001</v>
      </c>
      <c r="I404" s="9">
        <v>0.29630000000000001</v>
      </c>
      <c r="J404" s="9">
        <v>0.29149999999999998</v>
      </c>
      <c r="K404" s="10">
        <v>0.98380020249746869</v>
      </c>
      <c r="L404" s="9">
        <v>3.42</v>
      </c>
      <c r="M404" s="19">
        <f>H404*INDEX('Pliegos Tarifarios (Quilicura)'!$B:$B,MATCH($B404,'Pliegos Tarifarios (Quilicura)'!$A:$A,0))</f>
        <v>12584.029147400001</v>
      </c>
      <c r="N404" s="19">
        <f>I404*INDEX('Pliegos Tarifarios (Quilicura)'!$C:$C,MATCH($B404,'Pliegos Tarifarios (Quilicura)'!$A:$A,0))</f>
        <v>1025.3624465</v>
      </c>
      <c r="O404" s="19">
        <f>J404*INDEX('Pliegos Tarifarios (Quilicura)'!$D:$D,MATCH($B404,'Pliegos Tarifarios (Quilicura)'!$A:$A,0))</f>
        <v>4128.9602034999998</v>
      </c>
      <c r="P404" s="19">
        <f>H404*INDEX('Pliegos Tarifarios (Quilicura)'!$E:$E,MATCH($B404,'Pliegos Tarifarios (Quilicura)'!$A:$A,0))</f>
        <v>1369.3992236000001</v>
      </c>
      <c r="Q404" s="19" cm="1">
        <f t="array" ref="Q404">H404*_xlfn.IFS(H404&lt;=350,INDEX('Pliegos Tarifarios (Quilicura)'!$F:$F,MATCH($B404,'Pliegos Tarifarios (Quilicura)'!$A:$A,0)),H404&lt;=500,INDEX('Pliegos Tarifarios (Quilicura)'!$G:$G,MATCH($B404,'Pliegos Tarifarios (Quilicura)'!$A:$A,0)),H404&lt;=1000,INDEX('Pliegos Tarifarios (Quilicura)'!$H:$H,MATCH($B404,'Pliegos Tarifarios (Quilicura)'!$A:$A,0)),H404&lt;=5000,INDEX('Pliegos Tarifarios (Quilicura)'!$I:$I,MATCH($B404,'Pliegos Tarifarios (Quilicura)'!$A:$A,0)),H404&gt;5000,INDEX('Pliegos Tarifarios (Quilicura)'!$J:$J,MATCH($B404,'Pliegos Tarifarios (Quilicura)'!$A:$A,0)))/1.19</f>
        <v>69.764338823529428</v>
      </c>
      <c r="R404" s="19">
        <f>INDEX('Pliegos Tarifarios (Quilicura)'!$K:$K,MATCH($B404,'Pliegos Tarifarios (Quilicura)'!$A:$A,0))</f>
        <v>724.74800000000005</v>
      </c>
      <c r="S404" s="21">
        <f t="shared" si="21"/>
        <v>19902.26335982353</v>
      </c>
      <c r="T404" s="21">
        <f t="shared" si="22"/>
        <v>3781.4300383664709</v>
      </c>
      <c r="U404" s="19">
        <v>0</v>
      </c>
      <c r="V404" s="21">
        <f t="shared" si="23"/>
        <v>23683.69339819</v>
      </c>
    </row>
    <row r="405" spans="1:22" x14ac:dyDescent="0.3">
      <c r="A405" s="7" t="s">
        <v>145</v>
      </c>
      <c r="B405" s="7">
        <v>6</v>
      </c>
      <c r="C405" s="8" t="s">
        <v>186</v>
      </c>
      <c r="D405" s="7" t="s">
        <v>238</v>
      </c>
      <c r="E405" s="7" t="s">
        <v>121</v>
      </c>
      <c r="F405" s="8" t="s">
        <v>138</v>
      </c>
      <c r="G405" s="7" t="s">
        <v>30</v>
      </c>
      <c r="H405" s="9">
        <v>106.1279</v>
      </c>
      <c r="I405" s="9">
        <v>0.30669999999999997</v>
      </c>
      <c r="J405" s="9">
        <v>0.30669999999999997</v>
      </c>
      <c r="K405" s="10">
        <v>1</v>
      </c>
      <c r="L405" s="9">
        <v>3.42</v>
      </c>
      <c r="M405" s="19">
        <f>H405*INDEX('Pliegos Tarifarios (Quilicura)'!$B:$B,MATCH($B405,'Pliegos Tarifarios (Quilicura)'!$A:$A,0))</f>
        <v>12612.027380199999</v>
      </c>
      <c r="N405" s="19">
        <f>I405*INDEX('Pliegos Tarifarios (Quilicura)'!$C:$C,MATCH($B405,'Pliegos Tarifarios (Quilicura)'!$A:$A,0))</f>
        <v>1061.3522184999999</v>
      </c>
      <c r="O405" s="19">
        <f>J405*INDEX('Pliegos Tarifarios (Quilicura)'!$D:$D,MATCH($B405,'Pliegos Tarifarios (Quilicura)'!$A:$A,0))</f>
        <v>4344.2610442999994</v>
      </c>
      <c r="P405" s="19">
        <f>H405*INDEX('Pliegos Tarifarios (Quilicura)'!$E:$E,MATCH($B405,'Pliegos Tarifarios (Quilicura)'!$A:$A,0))</f>
        <v>1372.4460028000001</v>
      </c>
      <c r="Q405" s="19" cm="1">
        <f t="array" ref="Q405">H405*_xlfn.IFS(H405&lt;=350,INDEX('Pliegos Tarifarios (Quilicura)'!$F:$F,MATCH($B405,'Pliegos Tarifarios (Quilicura)'!$A:$A,0)),H405&lt;=500,INDEX('Pliegos Tarifarios (Quilicura)'!$G:$G,MATCH($B405,'Pliegos Tarifarios (Quilicura)'!$A:$A,0)),H405&lt;=1000,INDEX('Pliegos Tarifarios (Quilicura)'!$H:$H,MATCH($B405,'Pliegos Tarifarios (Quilicura)'!$A:$A,0)),H405&lt;=5000,INDEX('Pliegos Tarifarios (Quilicura)'!$I:$I,MATCH($B405,'Pliegos Tarifarios (Quilicura)'!$A:$A,0)),H405&gt;5000,INDEX('Pliegos Tarifarios (Quilicura)'!$J:$J,MATCH($B405,'Pliegos Tarifarios (Quilicura)'!$A:$A,0)))/1.19</f>
        <v>69.919557647058838</v>
      </c>
      <c r="R405" s="19">
        <f>INDEX('Pliegos Tarifarios (Quilicura)'!$K:$K,MATCH($B405,'Pliegos Tarifarios (Quilicura)'!$A:$A,0))</f>
        <v>724.74800000000005</v>
      </c>
      <c r="S405" s="21">
        <f t="shared" si="21"/>
        <v>20184.754203447057</v>
      </c>
      <c r="T405" s="21">
        <f t="shared" si="22"/>
        <v>3835.1032986549408</v>
      </c>
      <c r="U405" s="19">
        <v>0</v>
      </c>
      <c r="V405" s="21">
        <f t="shared" si="23"/>
        <v>24019.857502101997</v>
      </c>
    </row>
    <row r="406" spans="1:22" x14ac:dyDescent="0.3">
      <c r="A406" s="7" t="s">
        <v>145</v>
      </c>
      <c r="B406" s="7">
        <v>6</v>
      </c>
      <c r="C406" s="8" t="s">
        <v>186</v>
      </c>
      <c r="D406" s="7" t="s">
        <v>239</v>
      </c>
      <c r="E406" s="7" t="s">
        <v>121</v>
      </c>
      <c r="F406" s="8" t="s">
        <v>140</v>
      </c>
      <c r="G406" s="7" t="s">
        <v>30</v>
      </c>
      <c r="H406" s="9">
        <v>106.21850000000001</v>
      </c>
      <c r="I406" s="9">
        <v>0.3039</v>
      </c>
      <c r="J406" s="9">
        <v>0.29110000000000003</v>
      </c>
      <c r="K406" s="10">
        <v>0.95788088186903597</v>
      </c>
      <c r="L406" s="9">
        <v>3.43</v>
      </c>
      <c r="M406" s="19">
        <f>H406*INDEX('Pliegos Tarifarios (Quilicura)'!$B:$B,MATCH($B406,'Pliegos Tarifarios (Quilicura)'!$A:$A,0))</f>
        <v>12622.794103</v>
      </c>
      <c r="N406" s="19">
        <f>I406*INDEX('Pliegos Tarifarios (Quilicura)'!$C:$C,MATCH($B406,'Pliegos Tarifarios (Quilicura)'!$A:$A,0))</f>
        <v>1051.6626644999999</v>
      </c>
      <c r="O406" s="19">
        <f>J406*INDEX('Pliegos Tarifarios (Quilicura)'!$D:$D,MATCH($B406,'Pliegos Tarifarios (Quilicura)'!$A:$A,0))</f>
        <v>4123.2943919000008</v>
      </c>
      <c r="P406" s="19">
        <f>H406*INDEX('Pliegos Tarifarios (Quilicura)'!$E:$E,MATCH($B406,'Pliegos Tarifarios (Quilicura)'!$A:$A,0))</f>
        <v>1373.6176420000002</v>
      </c>
      <c r="Q406" s="19" cm="1">
        <f t="array" ref="Q406">H406*_xlfn.IFS(H406&lt;=350,INDEX('Pliegos Tarifarios (Quilicura)'!$F:$F,MATCH($B406,'Pliegos Tarifarios (Quilicura)'!$A:$A,0)),H406&lt;=500,INDEX('Pliegos Tarifarios (Quilicura)'!$G:$G,MATCH($B406,'Pliegos Tarifarios (Quilicura)'!$A:$A,0)),H406&lt;=1000,INDEX('Pliegos Tarifarios (Quilicura)'!$H:$H,MATCH($B406,'Pliegos Tarifarios (Quilicura)'!$A:$A,0)),H406&lt;=5000,INDEX('Pliegos Tarifarios (Quilicura)'!$I:$I,MATCH($B406,'Pliegos Tarifarios (Quilicura)'!$A:$A,0)),H406&gt;5000,INDEX('Pliegos Tarifarios (Quilicura)'!$J:$J,MATCH($B406,'Pliegos Tarifarios (Quilicura)'!$A:$A,0)))/1.19</f>
        <v>69.979247058823532</v>
      </c>
      <c r="R406" s="19">
        <f>INDEX('Pliegos Tarifarios (Quilicura)'!$K:$K,MATCH($B406,'Pliegos Tarifarios (Quilicura)'!$A:$A,0))</f>
        <v>724.74800000000005</v>
      </c>
      <c r="S406" s="21">
        <f t="shared" si="21"/>
        <v>19966.096048458825</v>
      </c>
      <c r="T406" s="21">
        <f t="shared" si="22"/>
        <v>3793.5582492071767</v>
      </c>
      <c r="U406" s="19">
        <v>0</v>
      </c>
      <c r="V406" s="21">
        <f t="shared" si="23"/>
        <v>23759.654297666002</v>
      </c>
    </row>
    <row r="407" spans="1:22" x14ac:dyDescent="0.3">
      <c r="A407" s="7" t="s">
        <v>145</v>
      </c>
      <c r="B407" s="7">
        <v>6</v>
      </c>
      <c r="C407" s="8" t="s">
        <v>186</v>
      </c>
      <c r="D407" s="7" t="s">
        <v>240</v>
      </c>
      <c r="E407" s="7" t="s">
        <v>121</v>
      </c>
      <c r="F407" s="8" t="s">
        <v>241</v>
      </c>
      <c r="G407" s="7" t="s">
        <v>30</v>
      </c>
      <c r="H407" s="9">
        <v>105.9354</v>
      </c>
      <c r="I407" s="9">
        <v>0.30220000000000002</v>
      </c>
      <c r="J407" s="9">
        <v>0.29649999999999999</v>
      </c>
      <c r="K407" s="10">
        <v>0.98113831899404358</v>
      </c>
      <c r="L407" s="9">
        <v>3.42</v>
      </c>
      <c r="M407" s="19">
        <f>H407*INDEX('Pliegos Tarifarios (Quilicura)'!$B:$B,MATCH($B407,'Pliegos Tarifarios (Quilicura)'!$A:$A,0))</f>
        <v>12589.1510652</v>
      </c>
      <c r="N407" s="19">
        <f>I407*INDEX('Pliegos Tarifarios (Quilicura)'!$C:$C,MATCH($B407,'Pliegos Tarifarios (Quilicura)'!$A:$A,0))</f>
        <v>1045.7797210000001</v>
      </c>
      <c r="O407" s="19">
        <f>J407*INDEX('Pliegos Tarifarios (Quilicura)'!$D:$D,MATCH($B407,'Pliegos Tarifarios (Quilicura)'!$A:$A,0))</f>
        <v>4199.7828485</v>
      </c>
      <c r="P407" s="19">
        <f>H407*INDEX('Pliegos Tarifarios (Quilicura)'!$E:$E,MATCH($B407,'Pliegos Tarifarios (Quilicura)'!$A:$A,0))</f>
        <v>1369.9565928</v>
      </c>
      <c r="Q407" s="19" cm="1">
        <f t="array" ref="Q407">H407*_xlfn.IFS(H407&lt;=350,INDEX('Pliegos Tarifarios (Quilicura)'!$F:$F,MATCH($B407,'Pliegos Tarifarios (Quilicura)'!$A:$A,0)),H407&lt;=500,INDEX('Pliegos Tarifarios (Quilicura)'!$G:$G,MATCH($B407,'Pliegos Tarifarios (Quilicura)'!$A:$A,0)),H407&lt;=1000,INDEX('Pliegos Tarifarios (Quilicura)'!$H:$H,MATCH($B407,'Pliegos Tarifarios (Quilicura)'!$A:$A,0)),H407&lt;=5000,INDEX('Pliegos Tarifarios (Quilicura)'!$I:$I,MATCH($B407,'Pliegos Tarifarios (Quilicura)'!$A:$A,0)),H407&gt;5000,INDEX('Pliegos Tarifarios (Quilicura)'!$J:$J,MATCH($B407,'Pliegos Tarifarios (Quilicura)'!$A:$A,0)))/1.19</f>
        <v>69.792734117647072</v>
      </c>
      <c r="R407" s="19">
        <f>INDEX('Pliegos Tarifarios (Quilicura)'!$K:$K,MATCH($B407,'Pliegos Tarifarios (Quilicura)'!$A:$A,0))</f>
        <v>724.74800000000005</v>
      </c>
      <c r="S407" s="21">
        <f t="shared" si="21"/>
        <v>19999.210961617649</v>
      </c>
      <c r="T407" s="21">
        <f t="shared" si="22"/>
        <v>3799.8500827073535</v>
      </c>
      <c r="U407" s="19">
        <v>0</v>
      </c>
      <c r="V407" s="21">
        <f t="shared" si="23"/>
        <v>23799.061044325004</v>
      </c>
    </row>
    <row r="408" spans="1:22" x14ac:dyDescent="0.3">
      <c r="A408" s="7" t="s">
        <v>145</v>
      </c>
      <c r="B408" s="7">
        <v>6</v>
      </c>
      <c r="C408" s="8" t="s">
        <v>186</v>
      </c>
      <c r="D408" s="7" t="s">
        <v>242</v>
      </c>
      <c r="E408" s="7" t="s">
        <v>121</v>
      </c>
      <c r="F408" s="8" t="s">
        <v>243</v>
      </c>
      <c r="G408" s="7" t="s">
        <v>30</v>
      </c>
      <c r="H408" s="9">
        <v>106.03149999999999</v>
      </c>
      <c r="I408" s="9">
        <v>0.29809999999999998</v>
      </c>
      <c r="J408" s="9">
        <v>0.28489999999999999</v>
      </c>
      <c r="K408" s="10">
        <v>0.955719557195572</v>
      </c>
      <c r="L408" s="9">
        <v>3.42</v>
      </c>
      <c r="M408" s="19">
        <f>H408*INDEX('Pliegos Tarifarios (Quilicura)'!$B:$B,MATCH($B408,'Pliegos Tarifarios (Quilicura)'!$A:$A,0))</f>
        <v>12600.571396999998</v>
      </c>
      <c r="N408" s="19">
        <f>I408*INDEX('Pliegos Tarifarios (Quilicura)'!$C:$C,MATCH($B408,'Pliegos Tarifarios (Quilicura)'!$A:$A,0))</f>
        <v>1031.5914455</v>
      </c>
      <c r="O408" s="19">
        <f>J408*INDEX('Pliegos Tarifarios (Quilicura)'!$D:$D,MATCH($B408,'Pliegos Tarifarios (Quilicura)'!$A:$A,0))</f>
        <v>4035.4743121000001</v>
      </c>
      <c r="P408" s="19">
        <f>H408*INDEX('Pliegos Tarifarios (Quilicura)'!$E:$E,MATCH($B408,'Pliegos Tarifarios (Quilicura)'!$A:$A,0))</f>
        <v>1371.1993580000001</v>
      </c>
      <c r="Q408" s="19" cm="1">
        <f t="array" ref="Q408">H408*_xlfn.IFS(H408&lt;=350,INDEX('Pliegos Tarifarios (Quilicura)'!$F:$F,MATCH($B408,'Pliegos Tarifarios (Quilicura)'!$A:$A,0)),H408&lt;=500,INDEX('Pliegos Tarifarios (Quilicura)'!$G:$G,MATCH($B408,'Pliegos Tarifarios (Quilicura)'!$A:$A,0)),H408&lt;=1000,INDEX('Pliegos Tarifarios (Quilicura)'!$H:$H,MATCH($B408,'Pliegos Tarifarios (Quilicura)'!$A:$A,0)),H408&lt;=5000,INDEX('Pliegos Tarifarios (Quilicura)'!$I:$I,MATCH($B408,'Pliegos Tarifarios (Quilicura)'!$A:$A,0)),H408&gt;5000,INDEX('Pliegos Tarifarios (Quilicura)'!$J:$J,MATCH($B408,'Pliegos Tarifarios (Quilicura)'!$A:$A,0)))/1.19</f>
        <v>69.856047058823535</v>
      </c>
      <c r="R408" s="19">
        <f>INDEX('Pliegos Tarifarios (Quilicura)'!$K:$K,MATCH($B408,'Pliegos Tarifarios (Quilicura)'!$A:$A,0))</f>
        <v>724.74800000000005</v>
      </c>
      <c r="S408" s="21">
        <f t="shared" si="21"/>
        <v>19833.440559658822</v>
      </c>
      <c r="T408" s="21">
        <f t="shared" si="22"/>
        <v>3768.3537063351764</v>
      </c>
      <c r="U408" s="19">
        <v>0</v>
      </c>
      <c r="V408" s="21">
        <f t="shared" si="23"/>
        <v>23601.794265993998</v>
      </c>
    </row>
    <row r="409" spans="1:22" x14ac:dyDescent="0.3">
      <c r="A409" s="7" t="s">
        <v>145</v>
      </c>
      <c r="B409" s="7">
        <v>6</v>
      </c>
      <c r="C409" s="8" t="s">
        <v>186</v>
      </c>
      <c r="D409" s="7" t="s">
        <v>244</v>
      </c>
      <c r="E409" s="7" t="s">
        <v>121</v>
      </c>
      <c r="F409" s="8" t="s">
        <v>245</v>
      </c>
      <c r="G409" s="7" t="s">
        <v>30</v>
      </c>
      <c r="H409" s="9">
        <v>105.9746</v>
      </c>
      <c r="I409" s="9">
        <v>0.29609999999999997</v>
      </c>
      <c r="J409" s="9">
        <v>0.28849999999999998</v>
      </c>
      <c r="K409" s="10">
        <v>0.97433299560959141</v>
      </c>
      <c r="L409" s="9">
        <v>3.42</v>
      </c>
      <c r="M409" s="19">
        <f>H409*INDEX('Pliegos Tarifarios (Quilicura)'!$B:$B,MATCH($B409,'Pliegos Tarifarios (Quilicura)'!$A:$A,0))</f>
        <v>12593.809514799999</v>
      </c>
      <c r="N409" s="19">
        <f>I409*INDEX('Pliegos Tarifarios (Quilicura)'!$C:$C,MATCH($B409,'Pliegos Tarifarios (Quilicura)'!$A:$A,0))</f>
        <v>1024.6703355</v>
      </c>
      <c r="O409" s="19">
        <f>J409*INDEX('Pliegos Tarifarios (Quilicura)'!$D:$D,MATCH($B409,'Pliegos Tarifarios (Quilicura)'!$A:$A,0))</f>
        <v>4086.4666164999999</v>
      </c>
      <c r="P409" s="19">
        <f>H409*INDEX('Pliegos Tarifarios (Quilicura)'!$E:$E,MATCH($B409,'Pliegos Tarifarios (Quilicura)'!$A:$A,0))</f>
        <v>1370.4635272</v>
      </c>
      <c r="Q409" s="19" cm="1">
        <f t="array" ref="Q409">H409*_xlfn.IFS(H409&lt;=350,INDEX('Pliegos Tarifarios (Quilicura)'!$F:$F,MATCH($B409,'Pliegos Tarifarios (Quilicura)'!$A:$A,0)),H409&lt;=500,INDEX('Pliegos Tarifarios (Quilicura)'!$G:$G,MATCH($B409,'Pliegos Tarifarios (Quilicura)'!$A:$A,0)),H409&lt;=1000,INDEX('Pliegos Tarifarios (Quilicura)'!$H:$H,MATCH($B409,'Pliegos Tarifarios (Quilicura)'!$A:$A,0)),H409&lt;=5000,INDEX('Pliegos Tarifarios (Quilicura)'!$I:$I,MATCH($B409,'Pliegos Tarifarios (Quilicura)'!$A:$A,0)),H409&gt;5000,INDEX('Pliegos Tarifarios (Quilicura)'!$J:$J,MATCH($B409,'Pliegos Tarifarios (Quilicura)'!$A:$A,0)))/1.19</f>
        <v>69.818560000000005</v>
      </c>
      <c r="R409" s="19">
        <f>INDEX('Pliegos Tarifarios (Quilicura)'!$K:$K,MATCH($B409,'Pliegos Tarifarios (Quilicura)'!$A:$A,0))</f>
        <v>724.74800000000005</v>
      </c>
      <c r="S409" s="21">
        <f t="shared" si="21"/>
        <v>19869.976554000001</v>
      </c>
      <c r="T409" s="21">
        <f t="shared" si="22"/>
        <v>3775.2955452600004</v>
      </c>
      <c r="U409" s="19">
        <v>0</v>
      </c>
      <c r="V409" s="21">
        <f t="shared" si="23"/>
        <v>23645.272099260001</v>
      </c>
    </row>
    <row r="410" spans="1:22" x14ac:dyDescent="0.3">
      <c r="A410" s="7" t="s">
        <v>145</v>
      </c>
      <c r="B410" s="7">
        <v>6</v>
      </c>
      <c r="C410" s="8" t="s">
        <v>186</v>
      </c>
      <c r="D410" s="7" t="s">
        <v>246</v>
      </c>
      <c r="E410" s="7" t="s">
        <v>121</v>
      </c>
      <c r="F410" s="8" t="s">
        <v>247</v>
      </c>
      <c r="G410" s="7" t="s">
        <v>30</v>
      </c>
      <c r="H410" s="9">
        <v>106.2377</v>
      </c>
      <c r="I410" s="9">
        <v>0.29680000000000001</v>
      </c>
      <c r="J410" s="9">
        <v>0.2949</v>
      </c>
      <c r="K410" s="10">
        <v>0.9935983827493261</v>
      </c>
      <c r="L410" s="9">
        <v>3.43</v>
      </c>
      <c r="M410" s="19">
        <f>H410*INDEX('Pliegos Tarifarios (Quilicura)'!$B:$B,MATCH($B410,'Pliegos Tarifarios (Quilicura)'!$A:$A,0))</f>
        <v>12625.075792600001</v>
      </c>
      <c r="N410" s="19">
        <f>I410*INDEX('Pliegos Tarifarios (Quilicura)'!$C:$C,MATCH($B410,'Pliegos Tarifarios (Quilicura)'!$A:$A,0))</f>
        <v>1027.0927240000001</v>
      </c>
      <c r="O410" s="19">
        <f>J410*INDEX('Pliegos Tarifarios (Quilicura)'!$D:$D,MATCH($B410,'Pliegos Tarifarios (Quilicura)'!$A:$A,0))</f>
        <v>4177.1196021000005</v>
      </c>
      <c r="P410" s="19">
        <f>H410*INDEX('Pliegos Tarifarios (Quilicura)'!$E:$E,MATCH($B410,'Pliegos Tarifarios (Quilicura)'!$A:$A,0))</f>
        <v>1373.8659364</v>
      </c>
      <c r="Q410" s="19" cm="1">
        <f t="array" ref="Q410">H410*_xlfn.IFS(H410&lt;=350,INDEX('Pliegos Tarifarios (Quilicura)'!$F:$F,MATCH($B410,'Pliegos Tarifarios (Quilicura)'!$A:$A,0)),H410&lt;=500,INDEX('Pliegos Tarifarios (Quilicura)'!$G:$G,MATCH($B410,'Pliegos Tarifarios (Quilicura)'!$A:$A,0)),H410&lt;=1000,INDEX('Pliegos Tarifarios (Quilicura)'!$H:$H,MATCH($B410,'Pliegos Tarifarios (Quilicura)'!$A:$A,0)),H410&lt;=5000,INDEX('Pliegos Tarifarios (Quilicura)'!$I:$I,MATCH($B410,'Pliegos Tarifarios (Quilicura)'!$A:$A,0)),H410&gt;5000,INDEX('Pliegos Tarifarios (Quilicura)'!$J:$J,MATCH($B410,'Pliegos Tarifarios (Quilicura)'!$A:$A,0)))/1.19</f>
        <v>69.991896470588244</v>
      </c>
      <c r="R410" s="19">
        <f>INDEX('Pliegos Tarifarios (Quilicura)'!$K:$K,MATCH($B410,'Pliegos Tarifarios (Quilicura)'!$A:$A,0))</f>
        <v>724.74800000000005</v>
      </c>
      <c r="S410" s="21">
        <f t="shared" si="21"/>
        <v>19997.89395157059</v>
      </c>
      <c r="T410" s="21">
        <f t="shared" si="22"/>
        <v>3799.5998507984123</v>
      </c>
      <c r="U410" s="19">
        <v>0</v>
      </c>
      <c r="V410" s="21">
        <f t="shared" si="23"/>
        <v>23797.493802369001</v>
      </c>
    </row>
    <row r="411" spans="1:22" x14ac:dyDescent="0.3">
      <c r="A411" s="7" t="s">
        <v>145</v>
      </c>
      <c r="B411" s="7">
        <v>6</v>
      </c>
      <c r="C411" s="8" t="s">
        <v>186</v>
      </c>
      <c r="D411" s="7" t="s">
        <v>248</v>
      </c>
      <c r="E411" s="7" t="s">
        <v>121</v>
      </c>
      <c r="F411" s="8" t="s">
        <v>249</v>
      </c>
      <c r="G411" s="7" t="s">
        <v>30</v>
      </c>
      <c r="H411" s="9">
        <v>106.0432</v>
      </c>
      <c r="I411" s="9">
        <v>0.29949999999999999</v>
      </c>
      <c r="J411" s="9">
        <v>0.29949999999999999</v>
      </c>
      <c r="K411" s="10">
        <v>1</v>
      </c>
      <c r="L411" s="9">
        <v>3.42</v>
      </c>
      <c r="M411" s="19">
        <f>H411*INDEX('Pliegos Tarifarios (Quilicura)'!$B:$B,MATCH($B411,'Pliegos Tarifarios (Quilicura)'!$A:$A,0))</f>
        <v>12601.961801599999</v>
      </c>
      <c r="N411" s="19">
        <f>I411*INDEX('Pliegos Tarifarios (Quilicura)'!$C:$C,MATCH($B411,'Pliegos Tarifarios (Quilicura)'!$A:$A,0))</f>
        <v>1036.4362225</v>
      </c>
      <c r="O411" s="19">
        <f>J411*INDEX('Pliegos Tarifarios (Quilicura)'!$D:$D,MATCH($B411,'Pliegos Tarifarios (Quilicura)'!$A:$A,0))</f>
        <v>4242.2764354999999</v>
      </c>
      <c r="P411" s="19">
        <f>H411*INDEX('Pliegos Tarifarios (Quilicura)'!$E:$E,MATCH($B411,'Pliegos Tarifarios (Quilicura)'!$A:$A,0))</f>
        <v>1371.3506623999999</v>
      </c>
      <c r="Q411" s="19" cm="1">
        <f t="array" ref="Q411">H411*_xlfn.IFS(H411&lt;=350,INDEX('Pliegos Tarifarios (Quilicura)'!$F:$F,MATCH($B411,'Pliegos Tarifarios (Quilicura)'!$A:$A,0)),H411&lt;=500,INDEX('Pliegos Tarifarios (Quilicura)'!$G:$G,MATCH($B411,'Pliegos Tarifarios (Quilicura)'!$A:$A,0)),H411&lt;=1000,INDEX('Pliegos Tarifarios (Quilicura)'!$H:$H,MATCH($B411,'Pliegos Tarifarios (Quilicura)'!$A:$A,0)),H411&lt;=5000,INDEX('Pliegos Tarifarios (Quilicura)'!$I:$I,MATCH($B411,'Pliegos Tarifarios (Quilicura)'!$A:$A,0)),H411&gt;5000,INDEX('Pliegos Tarifarios (Quilicura)'!$J:$J,MATCH($B411,'Pliegos Tarifarios (Quilicura)'!$A:$A,0)))/1.19</f>
        <v>69.863755294117652</v>
      </c>
      <c r="R411" s="19">
        <f>INDEX('Pliegos Tarifarios (Quilicura)'!$K:$K,MATCH($B411,'Pliegos Tarifarios (Quilicura)'!$A:$A,0))</f>
        <v>724.74800000000005</v>
      </c>
      <c r="S411" s="21">
        <f t="shared" si="21"/>
        <v>20046.636877294117</v>
      </c>
      <c r="T411" s="21">
        <f t="shared" si="22"/>
        <v>3808.8610066858823</v>
      </c>
      <c r="U411" s="19">
        <v>0</v>
      </c>
      <c r="V411" s="21">
        <f t="shared" si="23"/>
        <v>23855.497883979999</v>
      </c>
    </row>
    <row r="412" spans="1:22" x14ac:dyDescent="0.3">
      <c r="A412" s="7" t="s">
        <v>145</v>
      </c>
      <c r="B412" s="7">
        <v>6</v>
      </c>
      <c r="C412" s="8" t="s">
        <v>186</v>
      </c>
      <c r="D412" s="7" t="s">
        <v>250</v>
      </c>
      <c r="E412" s="7" t="s">
        <v>121</v>
      </c>
      <c r="F412" s="8" t="s">
        <v>251</v>
      </c>
      <c r="G412" s="7" t="s">
        <v>30</v>
      </c>
      <c r="H412" s="9">
        <v>105.6923</v>
      </c>
      <c r="I412" s="9">
        <v>0.29039999999999999</v>
      </c>
      <c r="J412" s="9">
        <v>0.2858</v>
      </c>
      <c r="K412" s="10">
        <v>0.9841597796143251</v>
      </c>
      <c r="L412" s="9">
        <v>3.41</v>
      </c>
      <c r="M412" s="19">
        <f>H412*INDEX('Pliegos Tarifarios (Quilicura)'!$B:$B,MATCH($B412,'Pliegos Tarifarios (Quilicura)'!$A:$A,0))</f>
        <v>12560.261547399999</v>
      </c>
      <c r="N412" s="19">
        <f>I412*INDEX('Pliegos Tarifarios (Quilicura)'!$C:$C,MATCH($B412,'Pliegos Tarifarios (Quilicura)'!$A:$A,0))</f>
        <v>1004.945172</v>
      </c>
      <c r="O412" s="19">
        <f>J412*INDEX('Pliegos Tarifarios (Quilicura)'!$D:$D,MATCH($B412,'Pliegos Tarifarios (Quilicura)'!$A:$A,0))</f>
        <v>4048.2223882000003</v>
      </c>
      <c r="P412" s="19">
        <f>H412*INDEX('Pliegos Tarifarios (Quilicura)'!$E:$E,MATCH($B412,'Pliegos Tarifarios (Quilicura)'!$A:$A,0))</f>
        <v>1366.8128236</v>
      </c>
      <c r="Q412" s="19" cm="1">
        <f t="array" ref="Q412">H412*_xlfn.IFS(H412&lt;=350,INDEX('Pliegos Tarifarios (Quilicura)'!$F:$F,MATCH($B412,'Pliegos Tarifarios (Quilicura)'!$A:$A,0)),H412&lt;=500,INDEX('Pliegos Tarifarios (Quilicura)'!$G:$G,MATCH($B412,'Pliegos Tarifarios (Quilicura)'!$A:$A,0)),H412&lt;=1000,INDEX('Pliegos Tarifarios (Quilicura)'!$H:$H,MATCH($B412,'Pliegos Tarifarios (Quilicura)'!$A:$A,0)),H412&lt;=5000,INDEX('Pliegos Tarifarios (Quilicura)'!$I:$I,MATCH($B412,'Pliegos Tarifarios (Quilicura)'!$A:$A,0)),H412&gt;5000,INDEX('Pliegos Tarifarios (Quilicura)'!$J:$J,MATCH($B412,'Pliegos Tarifarios (Quilicura)'!$A:$A,0)))/1.19</f>
        <v>69.632574117647067</v>
      </c>
      <c r="R412" s="19">
        <f>INDEX('Pliegos Tarifarios (Quilicura)'!$K:$K,MATCH($B412,'Pliegos Tarifarios (Quilicura)'!$A:$A,0))</f>
        <v>724.74800000000005</v>
      </c>
      <c r="S412" s="21">
        <f t="shared" si="21"/>
        <v>19774.622505317649</v>
      </c>
      <c r="T412" s="21">
        <f t="shared" si="22"/>
        <v>3757.1782760103533</v>
      </c>
      <c r="U412" s="19">
        <v>0</v>
      </c>
      <c r="V412" s="21">
        <f t="shared" si="23"/>
        <v>23531.800781328002</v>
      </c>
    </row>
    <row r="413" spans="1:22" x14ac:dyDescent="0.3">
      <c r="A413" s="7" t="s">
        <v>145</v>
      </c>
      <c r="B413" s="7">
        <v>6</v>
      </c>
      <c r="C413" s="8" t="s">
        <v>186</v>
      </c>
      <c r="D413" s="7" t="s">
        <v>252</v>
      </c>
      <c r="E413" s="7" t="s">
        <v>121</v>
      </c>
      <c r="F413" s="8" t="s">
        <v>253</v>
      </c>
      <c r="G413" s="7" t="s">
        <v>30</v>
      </c>
      <c r="H413" s="9">
        <v>105.75060000000001</v>
      </c>
      <c r="I413" s="9">
        <v>0.29920000000000002</v>
      </c>
      <c r="J413" s="9">
        <v>0.29120000000000001</v>
      </c>
      <c r="K413" s="10">
        <v>0.9732620320855615</v>
      </c>
      <c r="L413" s="9">
        <v>3.41</v>
      </c>
      <c r="M413" s="19">
        <f>H413*INDEX('Pliegos Tarifarios (Quilicura)'!$B:$B,MATCH($B413,'Pliegos Tarifarios (Quilicura)'!$A:$A,0))</f>
        <v>12567.1898028</v>
      </c>
      <c r="N413" s="19">
        <f>I413*INDEX('Pliegos Tarifarios (Quilicura)'!$C:$C,MATCH($B413,'Pliegos Tarifarios (Quilicura)'!$A:$A,0))</f>
        <v>1035.398056</v>
      </c>
      <c r="O413" s="19">
        <f>J413*INDEX('Pliegos Tarifarios (Quilicura)'!$D:$D,MATCH($B413,'Pliegos Tarifarios (Quilicura)'!$A:$A,0))</f>
        <v>4124.7108447999999</v>
      </c>
      <c r="P413" s="19">
        <f>H413*INDEX('Pliegos Tarifarios (Quilicura)'!$E:$E,MATCH($B413,'Pliegos Tarifarios (Quilicura)'!$A:$A,0))</f>
        <v>1367.5667592000002</v>
      </c>
      <c r="Q413" s="19" cm="1">
        <f t="array" ref="Q413">H413*_xlfn.IFS(H413&lt;=350,INDEX('Pliegos Tarifarios (Quilicura)'!$F:$F,MATCH($B413,'Pliegos Tarifarios (Quilicura)'!$A:$A,0)),H413&lt;=500,INDEX('Pliegos Tarifarios (Quilicura)'!$G:$G,MATCH($B413,'Pliegos Tarifarios (Quilicura)'!$A:$A,0)),H413&lt;=1000,INDEX('Pliegos Tarifarios (Quilicura)'!$H:$H,MATCH($B413,'Pliegos Tarifarios (Quilicura)'!$A:$A,0)),H413&lt;=5000,INDEX('Pliegos Tarifarios (Quilicura)'!$I:$I,MATCH($B413,'Pliegos Tarifarios (Quilicura)'!$A:$A,0)),H413&gt;5000,INDEX('Pliegos Tarifarios (Quilicura)'!$J:$J,MATCH($B413,'Pliegos Tarifarios (Quilicura)'!$A:$A,0)))/1.19</f>
        <v>69.670983529411785</v>
      </c>
      <c r="R413" s="19">
        <f>INDEX('Pliegos Tarifarios (Quilicura)'!$K:$K,MATCH($B413,'Pliegos Tarifarios (Quilicura)'!$A:$A,0))</f>
        <v>724.74800000000005</v>
      </c>
      <c r="S413" s="21">
        <f t="shared" si="21"/>
        <v>19889.28444632941</v>
      </c>
      <c r="T413" s="21">
        <f t="shared" si="22"/>
        <v>3778.964044802588</v>
      </c>
      <c r="U413" s="19">
        <v>0</v>
      </c>
      <c r="V413" s="21">
        <f t="shared" si="23"/>
        <v>23668.248491131999</v>
      </c>
    </row>
    <row r="414" spans="1:22" x14ac:dyDescent="0.3">
      <c r="A414" s="7" t="s">
        <v>145</v>
      </c>
      <c r="B414" s="7">
        <v>6</v>
      </c>
      <c r="C414" s="8" t="s">
        <v>186</v>
      </c>
      <c r="D414" s="7" t="s">
        <v>254</v>
      </c>
      <c r="E414" s="7" t="s">
        <v>121</v>
      </c>
      <c r="F414" s="8" t="s">
        <v>255</v>
      </c>
      <c r="G414" s="7" t="s">
        <v>30</v>
      </c>
      <c r="H414" s="9">
        <v>106</v>
      </c>
      <c r="I414" s="9">
        <v>0.29870000000000002</v>
      </c>
      <c r="J414" s="9">
        <v>0.29709999999999998</v>
      </c>
      <c r="K414" s="10">
        <v>0.99464345497154316</v>
      </c>
      <c r="L414" s="9">
        <v>3.42</v>
      </c>
      <c r="M414" s="19">
        <f>H414*INDEX('Pliegos Tarifarios (Quilicura)'!$B:$B,MATCH($B414,'Pliegos Tarifarios (Quilicura)'!$A:$A,0))</f>
        <v>12596.828</v>
      </c>
      <c r="N414" s="19">
        <f>I414*INDEX('Pliegos Tarifarios (Quilicura)'!$C:$C,MATCH($B414,'Pliegos Tarifarios (Quilicura)'!$A:$A,0))</f>
        <v>1033.6677784999999</v>
      </c>
      <c r="O414" s="19">
        <f>J414*INDEX('Pliegos Tarifarios (Quilicura)'!$D:$D,MATCH($B414,'Pliegos Tarifarios (Quilicura)'!$A:$A,0))</f>
        <v>4208.2815658999998</v>
      </c>
      <c r="P414" s="19">
        <f>H414*INDEX('Pliegos Tarifarios (Quilicura)'!$E:$E,MATCH($B414,'Pliegos Tarifarios (Quilicura)'!$A:$A,0))</f>
        <v>1370.7920000000001</v>
      </c>
      <c r="Q414" s="19" cm="1">
        <f t="array" ref="Q414">H414*_xlfn.IFS(H414&lt;=350,INDEX('Pliegos Tarifarios (Quilicura)'!$F:$F,MATCH($B414,'Pliegos Tarifarios (Quilicura)'!$A:$A,0)),H414&lt;=500,INDEX('Pliegos Tarifarios (Quilicura)'!$G:$G,MATCH($B414,'Pliegos Tarifarios (Quilicura)'!$A:$A,0)),H414&lt;=1000,INDEX('Pliegos Tarifarios (Quilicura)'!$H:$H,MATCH($B414,'Pliegos Tarifarios (Quilicura)'!$A:$A,0)),H414&lt;=5000,INDEX('Pliegos Tarifarios (Quilicura)'!$I:$I,MATCH($B414,'Pliegos Tarifarios (Quilicura)'!$A:$A,0)),H414&gt;5000,INDEX('Pliegos Tarifarios (Quilicura)'!$J:$J,MATCH($B414,'Pliegos Tarifarios (Quilicura)'!$A:$A,0)))/1.19</f>
        <v>69.835294117647067</v>
      </c>
      <c r="R414" s="19">
        <f>INDEX('Pliegos Tarifarios (Quilicura)'!$K:$K,MATCH($B414,'Pliegos Tarifarios (Quilicura)'!$A:$A,0))</f>
        <v>724.74800000000005</v>
      </c>
      <c r="S414" s="21">
        <f t="shared" si="21"/>
        <v>20004.152638517644</v>
      </c>
      <c r="T414" s="21">
        <f t="shared" si="22"/>
        <v>3800.7890013183523</v>
      </c>
      <c r="U414" s="19">
        <v>0</v>
      </c>
      <c r="V414" s="21">
        <f t="shared" si="23"/>
        <v>23804.941639835997</v>
      </c>
    </row>
    <row r="415" spans="1:22" x14ac:dyDescent="0.3">
      <c r="A415" s="7" t="s">
        <v>145</v>
      </c>
      <c r="B415" s="7">
        <v>6</v>
      </c>
      <c r="C415" s="8" t="s">
        <v>186</v>
      </c>
      <c r="D415" s="7" t="s">
        <v>256</v>
      </c>
      <c r="E415" s="7" t="s">
        <v>121</v>
      </c>
      <c r="F415" s="8" t="s">
        <v>257</v>
      </c>
      <c r="G415" s="7" t="s">
        <v>30</v>
      </c>
      <c r="H415" s="9">
        <v>105.7563</v>
      </c>
      <c r="I415" s="9">
        <v>0.30049999999999999</v>
      </c>
      <c r="J415" s="9">
        <v>0.30049999999999999</v>
      </c>
      <c r="K415" s="10">
        <v>1</v>
      </c>
      <c r="L415" s="9">
        <v>3.41</v>
      </c>
      <c r="M415" s="19">
        <f>H415*INDEX('Pliegos Tarifarios (Quilicura)'!$B:$B,MATCH($B415,'Pliegos Tarifarios (Quilicura)'!$A:$A,0))</f>
        <v>12567.867179399998</v>
      </c>
      <c r="N415" s="19">
        <f>I415*INDEX('Pliegos Tarifarios (Quilicura)'!$C:$C,MATCH($B415,'Pliegos Tarifarios (Quilicura)'!$A:$A,0))</f>
        <v>1039.8967774999999</v>
      </c>
      <c r="O415" s="19">
        <f>J415*INDEX('Pliegos Tarifarios (Quilicura)'!$D:$D,MATCH($B415,'Pliegos Tarifarios (Quilicura)'!$A:$A,0))</f>
        <v>4256.4409644999996</v>
      </c>
      <c r="P415" s="19">
        <f>H415*INDEX('Pliegos Tarifarios (Quilicura)'!$E:$E,MATCH($B415,'Pliegos Tarifarios (Quilicura)'!$A:$A,0))</f>
        <v>1367.6404716</v>
      </c>
      <c r="Q415" s="19" cm="1">
        <f t="array" ref="Q415">H415*_xlfn.IFS(H415&lt;=350,INDEX('Pliegos Tarifarios (Quilicura)'!$F:$F,MATCH($B415,'Pliegos Tarifarios (Quilicura)'!$A:$A,0)),H415&lt;=500,INDEX('Pliegos Tarifarios (Quilicura)'!$G:$G,MATCH($B415,'Pliegos Tarifarios (Quilicura)'!$A:$A,0)),H415&lt;=1000,INDEX('Pliegos Tarifarios (Quilicura)'!$H:$H,MATCH($B415,'Pliegos Tarifarios (Quilicura)'!$A:$A,0)),H415&lt;=5000,INDEX('Pliegos Tarifarios (Quilicura)'!$I:$I,MATCH($B415,'Pliegos Tarifarios (Quilicura)'!$A:$A,0)),H415&gt;5000,INDEX('Pliegos Tarifarios (Quilicura)'!$J:$J,MATCH($B415,'Pliegos Tarifarios (Quilicura)'!$A:$A,0)))/1.19</f>
        <v>69.67473882352941</v>
      </c>
      <c r="R415" s="19">
        <f>INDEX('Pliegos Tarifarios (Quilicura)'!$K:$K,MATCH($B415,'Pliegos Tarifarios (Quilicura)'!$A:$A,0))</f>
        <v>724.74800000000005</v>
      </c>
      <c r="S415" s="21">
        <f t="shared" si="21"/>
        <v>20026.26813182353</v>
      </c>
      <c r="T415" s="21">
        <f t="shared" si="22"/>
        <v>3804.9909450464706</v>
      </c>
      <c r="U415" s="19">
        <v>0</v>
      </c>
      <c r="V415" s="21">
        <f t="shared" si="23"/>
        <v>23831.259076869999</v>
      </c>
    </row>
    <row r="416" spans="1:22" x14ac:dyDescent="0.3">
      <c r="A416" s="7" t="s">
        <v>145</v>
      </c>
      <c r="B416" s="7">
        <v>6</v>
      </c>
      <c r="C416" s="8" t="s">
        <v>186</v>
      </c>
      <c r="D416" s="7" t="s">
        <v>258</v>
      </c>
      <c r="E416" s="7" t="s">
        <v>121</v>
      </c>
      <c r="F416" s="8" t="s">
        <v>259</v>
      </c>
      <c r="G416" s="7" t="s">
        <v>30</v>
      </c>
      <c r="H416" s="9">
        <v>106.01130000000001</v>
      </c>
      <c r="I416" s="9">
        <v>0.29099999999999998</v>
      </c>
      <c r="J416" s="9">
        <v>0.29099999999999998</v>
      </c>
      <c r="K416" s="10">
        <v>1</v>
      </c>
      <c r="L416" s="9">
        <v>3.42</v>
      </c>
      <c r="M416" s="19">
        <f>H416*INDEX('Pliegos Tarifarios (Quilicura)'!$B:$B,MATCH($B416,'Pliegos Tarifarios (Quilicura)'!$A:$A,0))</f>
        <v>12598.170869400001</v>
      </c>
      <c r="N416" s="19">
        <f>I416*INDEX('Pliegos Tarifarios (Quilicura)'!$C:$C,MATCH($B416,'Pliegos Tarifarios (Quilicura)'!$A:$A,0))</f>
        <v>1007.0215049999999</v>
      </c>
      <c r="O416" s="19">
        <f>J416*INDEX('Pliegos Tarifarios (Quilicura)'!$D:$D,MATCH($B416,'Pliegos Tarifarios (Quilicura)'!$A:$A,0))</f>
        <v>4121.877939</v>
      </c>
      <c r="P416" s="19">
        <f>H416*INDEX('Pliegos Tarifarios (Quilicura)'!$E:$E,MATCH($B416,'Pliegos Tarifarios (Quilicura)'!$A:$A,0))</f>
        <v>1370.9381316000001</v>
      </c>
      <c r="Q416" s="19" cm="1">
        <f t="array" ref="Q416">H416*_xlfn.IFS(H416&lt;=350,INDEX('Pliegos Tarifarios (Quilicura)'!$F:$F,MATCH($B416,'Pliegos Tarifarios (Quilicura)'!$A:$A,0)),H416&lt;=500,INDEX('Pliegos Tarifarios (Quilicura)'!$G:$G,MATCH($B416,'Pliegos Tarifarios (Quilicura)'!$A:$A,0)),H416&lt;=1000,INDEX('Pliegos Tarifarios (Quilicura)'!$H:$H,MATCH($B416,'Pliegos Tarifarios (Quilicura)'!$A:$A,0)),H416&lt;=5000,INDEX('Pliegos Tarifarios (Quilicura)'!$I:$I,MATCH($B416,'Pliegos Tarifarios (Quilicura)'!$A:$A,0)),H416&gt;5000,INDEX('Pliegos Tarifarios (Quilicura)'!$J:$J,MATCH($B416,'Pliegos Tarifarios (Quilicura)'!$A:$A,0)))/1.19</f>
        <v>69.842738823529416</v>
      </c>
      <c r="R416" s="19">
        <f>INDEX('Pliegos Tarifarios (Quilicura)'!$K:$K,MATCH($B416,'Pliegos Tarifarios (Quilicura)'!$A:$A,0))</f>
        <v>724.74800000000005</v>
      </c>
      <c r="S416" s="21">
        <f t="shared" si="21"/>
        <v>19892.599183823528</v>
      </c>
      <c r="T416" s="21">
        <f t="shared" si="22"/>
        <v>3779.5938449264704</v>
      </c>
      <c r="U416" s="19">
        <v>0</v>
      </c>
      <c r="V416" s="21">
        <f t="shared" si="23"/>
        <v>23672.19302875</v>
      </c>
    </row>
    <row r="417" spans="1:22" x14ac:dyDescent="0.3">
      <c r="A417" s="7" t="s">
        <v>145</v>
      </c>
      <c r="B417" s="7">
        <v>6</v>
      </c>
      <c r="C417" s="8" t="s">
        <v>186</v>
      </c>
      <c r="D417" s="7" t="s">
        <v>260</v>
      </c>
      <c r="E417" s="7" t="s">
        <v>121</v>
      </c>
      <c r="F417" s="8" t="s">
        <v>261</v>
      </c>
      <c r="G417" s="7" t="s">
        <v>16</v>
      </c>
      <c r="H417" s="9">
        <v>869.39250000000004</v>
      </c>
      <c r="I417" s="9">
        <v>2.4102000000000001</v>
      </c>
      <c r="J417" s="9">
        <v>2.3744999999999998</v>
      </c>
      <c r="K417" s="10">
        <v>0.98518795120736857</v>
      </c>
      <c r="L417" s="9">
        <v>28.04</v>
      </c>
      <c r="M417" s="19">
        <f>H417*INDEX('Pliegos Tarifarios (Quilicura)'!$B:$B,MATCH($B417,'Pliegos Tarifarios (Quilicura)'!$A:$A,0))</f>
        <v>103316.865915</v>
      </c>
      <c r="N417" s="19">
        <f>I417*INDEX('Pliegos Tarifarios (Quilicura)'!$C:$C,MATCH($B417,'Pliegos Tarifarios (Quilicura)'!$A:$A,0))</f>
        <v>8340.6296610000009</v>
      </c>
      <c r="O417" s="19">
        <f>J417*INDEX('Pliegos Tarifarios (Quilicura)'!$D:$D,MATCH($B417,'Pliegos Tarifarios (Quilicura)'!$A:$A,0))</f>
        <v>33633.674110499996</v>
      </c>
      <c r="P417" s="19">
        <f>H417*INDEX('Pliegos Tarifarios (Quilicura)'!$E:$E,MATCH($B417,'Pliegos Tarifarios (Quilicura)'!$A:$A,0))</f>
        <v>11242.983810000002</v>
      </c>
      <c r="Q417" s="19" cm="1">
        <f t="array" ref="Q417">H417*_xlfn.IFS(H417&lt;=350,INDEX('Pliegos Tarifarios (Quilicura)'!$F:$F,MATCH($B417,'Pliegos Tarifarios (Quilicura)'!$A:$A,0)),H417&lt;=500,INDEX('Pliegos Tarifarios (Quilicura)'!$G:$G,MATCH($B417,'Pliegos Tarifarios (Quilicura)'!$A:$A,0)),H417&lt;=1000,INDEX('Pliegos Tarifarios (Quilicura)'!$H:$H,MATCH($B417,'Pliegos Tarifarios (Quilicura)'!$A:$A,0)),H417&lt;=5000,INDEX('Pliegos Tarifarios (Quilicura)'!$I:$I,MATCH($B417,'Pliegos Tarifarios (Quilicura)'!$A:$A,0)),H417&gt;5000,INDEX('Pliegos Tarifarios (Quilicura)'!$J:$J,MATCH($B417,'Pliegos Tarifarios (Quilicura)'!$A:$A,0)))/1.19</f>
        <v>2039.0541743697486</v>
      </c>
      <c r="R417" s="19">
        <f>INDEX('Pliegos Tarifarios (Quilicura)'!$K:$K,MATCH($B417,'Pliegos Tarifarios (Quilicura)'!$A:$A,0))</f>
        <v>724.74800000000005</v>
      </c>
      <c r="S417" s="21">
        <f t="shared" si="21"/>
        <v>159297.95567086973</v>
      </c>
      <c r="T417" s="21">
        <f t="shared" si="22"/>
        <v>30266.61157746525</v>
      </c>
      <c r="U417" s="19">
        <v>0</v>
      </c>
      <c r="V417" s="21">
        <f t="shared" si="23"/>
        <v>189564.56724833499</v>
      </c>
    </row>
    <row r="418" spans="1:22" x14ac:dyDescent="0.3">
      <c r="A418" s="7" t="s">
        <v>145</v>
      </c>
      <c r="B418" s="7">
        <v>6</v>
      </c>
      <c r="C418" s="8" t="s">
        <v>186</v>
      </c>
      <c r="D418" s="7" t="s">
        <v>262</v>
      </c>
      <c r="E418" s="7" t="s">
        <v>121</v>
      </c>
      <c r="F418" s="8" t="s">
        <v>263</v>
      </c>
      <c r="G418" s="7" t="s">
        <v>16</v>
      </c>
      <c r="H418" s="9">
        <v>872.4144</v>
      </c>
      <c r="I418" s="9">
        <v>2.4704999999999999</v>
      </c>
      <c r="J418" s="9">
        <v>2.4704999999999999</v>
      </c>
      <c r="K418" s="10">
        <v>1</v>
      </c>
      <c r="L418" s="9">
        <v>28.14</v>
      </c>
      <c r="M418" s="19">
        <f>H418*INDEX('Pliegos Tarifarios (Quilicura)'!$B:$B,MATCH($B418,'Pliegos Tarifarios (Quilicura)'!$A:$A,0))</f>
        <v>103675.9824672</v>
      </c>
      <c r="N418" s="19">
        <f>I418*INDEX('Pliegos Tarifarios (Quilicura)'!$C:$C,MATCH($B418,'Pliegos Tarifarios (Quilicura)'!$A:$A,0))</f>
        <v>8549.301127499999</v>
      </c>
      <c r="O418" s="19">
        <f>J418*INDEX('Pliegos Tarifarios (Quilicura)'!$D:$D,MATCH($B418,'Pliegos Tarifarios (Quilicura)'!$A:$A,0))</f>
        <v>34993.468894500002</v>
      </c>
      <c r="P418" s="19">
        <f>H418*INDEX('Pliegos Tarifarios (Quilicura)'!$E:$E,MATCH($B418,'Pliegos Tarifarios (Quilicura)'!$A:$A,0))</f>
        <v>11282.0630208</v>
      </c>
      <c r="Q418" s="19" cm="1">
        <f t="array" ref="Q418">H418*_xlfn.IFS(H418&lt;=350,INDEX('Pliegos Tarifarios (Quilicura)'!$F:$F,MATCH($B418,'Pliegos Tarifarios (Quilicura)'!$A:$A,0)),H418&lt;=500,INDEX('Pliegos Tarifarios (Quilicura)'!$G:$G,MATCH($B418,'Pliegos Tarifarios (Quilicura)'!$A:$A,0)),H418&lt;=1000,INDEX('Pliegos Tarifarios (Quilicura)'!$H:$H,MATCH($B418,'Pliegos Tarifarios (Quilicura)'!$A:$A,0)),H418&lt;=5000,INDEX('Pliegos Tarifarios (Quilicura)'!$I:$I,MATCH($B418,'Pliegos Tarifarios (Quilicura)'!$A:$A,0)),H418&gt;5000,INDEX('Pliegos Tarifarios (Quilicura)'!$J:$J,MATCH($B418,'Pliegos Tarifarios (Quilicura)'!$A:$A,0)))/1.19</f>
        <v>2046.1416726050425</v>
      </c>
      <c r="R418" s="19">
        <f>INDEX('Pliegos Tarifarios (Quilicura)'!$K:$K,MATCH($B418,'Pliegos Tarifarios (Quilicura)'!$A:$A,0))</f>
        <v>724.74800000000005</v>
      </c>
      <c r="S418" s="21">
        <f t="shared" si="21"/>
        <v>161271.70518260504</v>
      </c>
      <c r="T418" s="21">
        <f t="shared" si="22"/>
        <v>30641.623984694957</v>
      </c>
      <c r="U418" s="19">
        <v>0</v>
      </c>
      <c r="V418" s="21">
        <f t="shared" si="23"/>
        <v>191913.32916729999</v>
      </c>
    </row>
    <row r="419" spans="1:22" x14ac:dyDescent="0.3">
      <c r="A419" s="7" t="s">
        <v>145</v>
      </c>
      <c r="B419" s="7">
        <v>6</v>
      </c>
      <c r="C419" s="8" t="s">
        <v>186</v>
      </c>
      <c r="D419" s="7" t="s">
        <v>264</v>
      </c>
      <c r="E419" s="7" t="s">
        <v>121</v>
      </c>
      <c r="F419" s="8" t="s">
        <v>265</v>
      </c>
      <c r="G419" s="7" t="s">
        <v>16</v>
      </c>
      <c r="H419" s="9">
        <v>703.68409999999994</v>
      </c>
      <c r="I419" s="9">
        <v>1.9793000000000001</v>
      </c>
      <c r="J419" s="9">
        <v>1.9338</v>
      </c>
      <c r="K419" s="10">
        <v>0.97701207497600162</v>
      </c>
      <c r="L419" s="9">
        <v>22.7</v>
      </c>
      <c r="M419" s="19">
        <f>H419*INDEX('Pliegos Tarifarios (Quilicura)'!$B:$B,MATCH($B419,'Pliegos Tarifarios (Quilicura)'!$A:$A,0))</f>
        <v>83624.411075799988</v>
      </c>
      <c r="N419" s="19">
        <f>I419*INDEX('Pliegos Tarifarios (Quilicura)'!$C:$C,MATCH($B419,'Pliegos Tarifarios (Quilicura)'!$A:$A,0))</f>
        <v>6849.4765115</v>
      </c>
      <c r="O419" s="19">
        <f>J419*INDEX('Pliegos Tarifarios (Quilicura)'!$D:$D,MATCH($B419,'Pliegos Tarifarios (Quilicura)'!$A:$A,0))</f>
        <v>27391.366180199999</v>
      </c>
      <c r="P419" s="19">
        <f>H419*INDEX('Pliegos Tarifarios (Quilicura)'!$E:$E,MATCH($B419,'Pliegos Tarifarios (Quilicura)'!$A:$A,0))</f>
        <v>9100.0427811999998</v>
      </c>
      <c r="Q419" s="19" cm="1">
        <f t="array" ref="Q419">H419*_xlfn.IFS(H419&lt;=350,INDEX('Pliegos Tarifarios (Quilicura)'!$F:$F,MATCH($B419,'Pliegos Tarifarios (Quilicura)'!$A:$A,0)),H419&lt;=500,INDEX('Pliegos Tarifarios (Quilicura)'!$G:$G,MATCH($B419,'Pliegos Tarifarios (Quilicura)'!$A:$A,0)),H419&lt;=1000,INDEX('Pliegos Tarifarios (Quilicura)'!$H:$H,MATCH($B419,'Pliegos Tarifarios (Quilicura)'!$A:$A,0)),H419&lt;=5000,INDEX('Pliegos Tarifarios (Quilicura)'!$I:$I,MATCH($B419,'Pliegos Tarifarios (Quilicura)'!$A:$A,0)),H419&gt;5000,INDEX('Pliegos Tarifarios (Quilicura)'!$J:$J,MATCH($B419,'Pliegos Tarifarios (Quilicura)'!$A:$A,0)))/1.19</f>
        <v>1650.4053135294118</v>
      </c>
      <c r="R419" s="19">
        <f>INDEX('Pliegos Tarifarios (Quilicura)'!$K:$K,MATCH($B419,'Pliegos Tarifarios (Quilicura)'!$A:$A,0))</f>
        <v>724.74800000000005</v>
      </c>
      <c r="S419" s="21">
        <f t="shared" si="21"/>
        <v>129340.4498622294</v>
      </c>
      <c r="T419" s="21">
        <f t="shared" si="22"/>
        <v>24574.685473823589</v>
      </c>
      <c r="U419" s="19">
        <v>0</v>
      </c>
      <c r="V419" s="21">
        <f t="shared" si="23"/>
        <v>153915.135336053</v>
      </c>
    </row>
    <row r="420" spans="1:22" x14ac:dyDescent="0.3">
      <c r="A420" s="7" t="s">
        <v>145</v>
      </c>
      <c r="B420" s="7">
        <v>6</v>
      </c>
      <c r="C420" s="8" t="s">
        <v>186</v>
      </c>
      <c r="D420" s="7" t="s">
        <v>266</v>
      </c>
      <c r="E420" s="7" t="s">
        <v>121</v>
      </c>
      <c r="F420" s="8" t="s">
        <v>267</v>
      </c>
      <c r="G420" s="7" t="s">
        <v>16</v>
      </c>
      <c r="H420" s="9">
        <v>290.34480000000002</v>
      </c>
      <c r="I420" s="9">
        <v>0.81</v>
      </c>
      <c r="J420" s="9">
        <v>0.80249999999999999</v>
      </c>
      <c r="K420" s="10">
        <v>0.9907407407407407</v>
      </c>
      <c r="L420" s="9">
        <v>9.3699999999999992</v>
      </c>
      <c r="M420" s="19">
        <f>H420*INDEX('Pliegos Tarifarios (Quilicura)'!$B:$B,MATCH($B420,'Pliegos Tarifarios (Quilicura)'!$A:$A,0))</f>
        <v>34503.995342399998</v>
      </c>
      <c r="N420" s="19">
        <f>I420*INDEX('Pliegos Tarifarios (Quilicura)'!$C:$C,MATCH($B420,'Pliegos Tarifarios (Quilicura)'!$A:$A,0))</f>
        <v>2803.0495500000002</v>
      </c>
      <c r="O420" s="19">
        <f>J420*INDEX('Pliegos Tarifarios (Quilicura)'!$D:$D,MATCH($B420,'Pliegos Tarifarios (Quilicura)'!$A:$A,0))</f>
        <v>11367.0345225</v>
      </c>
      <c r="P420" s="19">
        <f>H420*INDEX('Pliegos Tarifarios (Quilicura)'!$E:$E,MATCH($B420,'Pliegos Tarifarios (Quilicura)'!$A:$A,0))</f>
        <v>3754.7389536000005</v>
      </c>
      <c r="Q420" s="19" cm="1">
        <f t="array" ref="Q420">H420*_xlfn.IFS(H420&lt;=350,INDEX('Pliegos Tarifarios (Quilicura)'!$F:$F,MATCH($B420,'Pliegos Tarifarios (Quilicura)'!$A:$A,0)),H420&lt;=500,INDEX('Pliegos Tarifarios (Quilicura)'!$G:$G,MATCH($B420,'Pliegos Tarifarios (Quilicura)'!$A:$A,0)),H420&lt;=1000,INDEX('Pliegos Tarifarios (Quilicura)'!$H:$H,MATCH($B420,'Pliegos Tarifarios (Quilicura)'!$A:$A,0)),H420&lt;=5000,INDEX('Pliegos Tarifarios (Quilicura)'!$I:$I,MATCH($B420,'Pliegos Tarifarios (Quilicura)'!$A:$A,0)),H420&gt;5000,INDEX('Pliegos Tarifarios (Quilicura)'!$J:$J,MATCH($B420,'Pliegos Tarifarios (Quilicura)'!$A:$A,0)))/1.19</f>
        <v>191.28598588235297</v>
      </c>
      <c r="R420" s="19">
        <f>INDEX('Pliegos Tarifarios (Quilicura)'!$K:$K,MATCH($B420,'Pliegos Tarifarios (Quilicura)'!$A:$A,0))</f>
        <v>724.74800000000005</v>
      </c>
      <c r="S420" s="21">
        <f t="shared" si="21"/>
        <v>53344.852354382347</v>
      </c>
      <c r="T420" s="21">
        <f t="shared" si="22"/>
        <v>10135.521947332645</v>
      </c>
      <c r="U420" s="19">
        <v>0</v>
      </c>
      <c r="V420" s="21">
        <f t="shared" si="23"/>
        <v>63480.37430171499</v>
      </c>
    </row>
    <row r="421" spans="1:22" x14ac:dyDescent="0.3">
      <c r="A421" s="7" t="s">
        <v>145</v>
      </c>
      <c r="B421" s="7">
        <v>6</v>
      </c>
      <c r="C421" s="8" t="s">
        <v>186</v>
      </c>
      <c r="D421" s="7" t="s">
        <v>268</v>
      </c>
      <c r="E421" s="7" t="s">
        <v>121</v>
      </c>
      <c r="F421" s="8" t="s">
        <v>269</v>
      </c>
      <c r="G421" s="7" t="s">
        <v>16</v>
      </c>
      <c r="H421" s="9">
        <v>220.2602</v>
      </c>
      <c r="I421" s="9">
        <v>0.61170000000000002</v>
      </c>
      <c r="J421" s="9">
        <v>0.59709999999999996</v>
      </c>
      <c r="K421" s="10">
        <v>0.97613209089422914</v>
      </c>
      <c r="L421" s="9">
        <v>7.11</v>
      </c>
      <c r="M421" s="19">
        <f>H421*INDEX('Pliegos Tarifarios (Quilicura)'!$B:$B,MATCH($B421,'Pliegos Tarifarios (Quilicura)'!$A:$A,0))</f>
        <v>26175.281647599997</v>
      </c>
      <c r="N421" s="19">
        <f>I421*INDEX('Pliegos Tarifarios (Quilicura)'!$C:$C,MATCH($B421,'Pliegos Tarifarios (Quilicura)'!$A:$A,0))</f>
        <v>2116.8214935000001</v>
      </c>
      <c r="O421" s="19">
        <f>J421*INDEX('Pliegos Tarifarios (Quilicura)'!$D:$D,MATCH($B421,'Pliegos Tarifarios (Quilicura)'!$A:$A,0))</f>
        <v>8457.6402658999996</v>
      </c>
      <c r="P421" s="19">
        <f>H421*INDEX('Pliegos Tarifarios (Quilicura)'!$E:$E,MATCH($B421,'Pliegos Tarifarios (Quilicura)'!$A:$A,0))</f>
        <v>2848.4049064000001</v>
      </c>
      <c r="Q421" s="19" cm="1">
        <f t="array" ref="Q421">H421*_xlfn.IFS(H421&lt;=350,INDEX('Pliegos Tarifarios (Quilicura)'!$F:$F,MATCH($B421,'Pliegos Tarifarios (Quilicura)'!$A:$A,0)),H421&lt;=500,INDEX('Pliegos Tarifarios (Quilicura)'!$G:$G,MATCH($B421,'Pliegos Tarifarios (Quilicura)'!$A:$A,0)),H421&lt;=1000,INDEX('Pliegos Tarifarios (Quilicura)'!$H:$H,MATCH($B421,'Pliegos Tarifarios (Quilicura)'!$A:$A,0)),H421&lt;=5000,INDEX('Pliegos Tarifarios (Quilicura)'!$I:$I,MATCH($B421,'Pliegos Tarifarios (Quilicura)'!$A:$A,0)),H421&gt;5000,INDEX('Pliegos Tarifarios (Quilicura)'!$J:$J,MATCH($B421,'Pliegos Tarifarios (Quilicura)'!$A:$A,0)))/1.19</f>
        <v>145.1126023529412</v>
      </c>
      <c r="R421" s="19">
        <f>INDEX('Pliegos Tarifarios (Quilicura)'!$K:$K,MATCH($B421,'Pliegos Tarifarios (Quilicura)'!$A:$A,0))</f>
        <v>724.74800000000005</v>
      </c>
      <c r="S421" s="21">
        <f t="shared" si="21"/>
        <v>40468.008915752936</v>
      </c>
      <c r="T421" s="21">
        <f t="shared" si="22"/>
        <v>7688.9216939930584</v>
      </c>
      <c r="U421" s="19">
        <v>0</v>
      </c>
      <c r="V421" s="21">
        <f t="shared" si="23"/>
        <v>48156.930609745992</v>
      </c>
    </row>
    <row r="422" spans="1:22" x14ac:dyDescent="0.3">
      <c r="A422" s="7" t="s">
        <v>145</v>
      </c>
      <c r="B422" s="7">
        <v>6</v>
      </c>
      <c r="C422" s="8" t="s">
        <v>186</v>
      </c>
      <c r="D422" s="7" t="s">
        <v>270</v>
      </c>
      <c r="E422" s="7" t="s">
        <v>121</v>
      </c>
      <c r="F422" s="8" t="s">
        <v>271</v>
      </c>
      <c r="G422" s="7" t="s">
        <v>16</v>
      </c>
      <c r="H422" s="9">
        <v>96.813999999999993</v>
      </c>
      <c r="I422" s="9">
        <v>0.27479999999999999</v>
      </c>
      <c r="J422" s="9">
        <v>0.26369999999999999</v>
      </c>
      <c r="K422" s="10">
        <v>0.95960698689956336</v>
      </c>
      <c r="L422" s="9">
        <v>3.12</v>
      </c>
      <c r="M422" s="19">
        <f>H422*INDEX('Pliegos Tarifarios (Quilicura)'!$B:$B,MATCH($B422,'Pliegos Tarifarios (Quilicura)'!$A:$A,0))</f>
        <v>11505.182131999998</v>
      </c>
      <c r="N422" s="19">
        <f>I422*INDEX('Pliegos Tarifarios (Quilicura)'!$C:$C,MATCH($B422,'Pliegos Tarifarios (Quilicura)'!$A:$A,0))</f>
        <v>950.96051399999988</v>
      </c>
      <c r="O422" s="19">
        <f>J422*INDEX('Pliegos Tarifarios (Quilicura)'!$D:$D,MATCH($B422,'Pliegos Tarifarios (Quilicura)'!$A:$A,0))</f>
        <v>3735.1862972999998</v>
      </c>
      <c r="P422" s="19">
        <f>H422*INDEX('Pliegos Tarifarios (Quilicura)'!$E:$E,MATCH($B422,'Pliegos Tarifarios (Quilicura)'!$A:$A,0))</f>
        <v>1251.998648</v>
      </c>
      <c r="Q422" s="19" cm="1">
        <f t="array" ref="Q422">H422*_xlfn.IFS(H422&lt;=350,INDEX('Pliegos Tarifarios (Quilicura)'!$F:$F,MATCH($B422,'Pliegos Tarifarios (Quilicura)'!$A:$A,0)),H422&lt;=500,INDEX('Pliegos Tarifarios (Quilicura)'!$G:$G,MATCH($B422,'Pliegos Tarifarios (Quilicura)'!$A:$A,0)),H422&lt;=1000,INDEX('Pliegos Tarifarios (Quilicura)'!$H:$H,MATCH($B422,'Pliegos Tarifarios (Quilicura)'!$A:$A,0)),H422&lt;=5000,INDEX('Pliegos Tarifarios (Quilicura)'!$I:$I,MATCH($B422,'Pliegos Tarifarios (Quilicura)'!$A:$A,0)),H422&gt;5000,INDEX('Pliegos Tarifarios (Quilicura)'!$J:$J,MATCH($B422,'Pliegos Tarifarios (Quilicura)'!$A:$A,0)))/1.19</f>
        <v>63.783341176470586</v>
      </c>
      <c r="R422" s="19">
        <f>INDEX('Pliegos Tarifarios (Quilicura)'!$K:$K,MATCH($B422,'Pliegos Tarifarios (Quilicura)'!$A:$A,0))</f>
        <v>724.74800000000005</v>
      </c>
      <c r="S422" s="21">
        <f t="shared" si="21"/>
        <v>18231.858932476469</v>
      </c>
      <c r="T422" s="21">
        <f t="shared" si="22"/>
        <v>3464.0531971705291</v>
      </c>
      <c r="U422" s="19">
        <v>0</v>
      </c>
      <c r="V422" s="21">
        <f t="shared" si="23"/>
        <v>21695.912129646997</v>
      </c>
    </row>
    <row r="423" spans="1:22" x14ac:dyDescent="0.3">
      <c r="A423" s="7" t="s">
        <v>145</v>
      </c>
      <c r="B423" s="7">
        <v>6</v>
      </c>
      <c r="C423" s="8" t="s">
        <v>186</v>
      </c>
      <c r="D423" s="7" t="s">
        <v>272</v>
      </c>
      <c r="E423" s="7" t="s">
        <v>121</v>
      </c>
      <c r="F423" s="8" t="s">
        <v>273</v>
      </c>
      <c r="G423" s="7" t="s">
        <v>16</v>
      </c>
      <c r="H423" s="9">
        <v>1607.5799</v>
      </c>
      <c r="I423" s="9">
        <v>4.4424999999999999</v>
      </c>
      <c r="J423" s="9">
        <v>4.4424999999999999</v>
      </c>
      <c r="K423" s="10">
        <v>1</v>
      </c>
      <c r="L423" s="9">
        <v>51.86</v>
      </c>
      <c r="M423" s="19">
        <f>H423*INDEX('Pliegos Tarifarios (Quilicura)'!$B:$B,MATCH($B423,'Pliegos Tarifarios (Quilicura)'!$A:$A,0))</f>
        <v>191041.58015619998</v>
      </c>
      <c r="N423" s="19">
        <f>I423*INDEX('Pliegos Tarifarios (Quilicura)'!$C:$C,MATCH($B423,'Pliegos Tarifarios (Quilicura)'!$A:$A,0))</f>
        <v>15373.515587499998</v>
      </c>
      <c r="O423" s="19">
        <f>J423*INDEX('Pliegos Tarifarios (Quilicura)'!$D:$D,MATCH($B423,'Pliegos Tarifarios (Quilicura)'!$A:$A,0))</f>
        <v>62925.920082500001</v>
      </c>
      <c r="P423" s="19">
        <f>H423*INDEX('Pliegos Tarifarios (Quilicura)'!$E:$E,MATCH($B423,'Pliegos Tarifarios (Quilicura)'!$A:$A,0))</f>
        <v>20789.2232668</v>
      </c>
      <c r="Q423" s="19" cm="1">
        <f t="array" ref="Q423">H423*_xlfn.IFS(H423&lt;=350,INDEX('Pliegos Tarifarios (Quilicura)'!$F:$F,MATCH($B423,'Pliegos Tarifarios (Quilicura)'!$A:$A,0)),H423&lt;=500,INDEX('Pliegos Tarifarios (Quilicura)'!$G:$G,MATCH($B423,'Pliegos Tarifarios (Quilicura)'!$A:$A,0)),H423&lt;=1000,INDEX('Pliegos Tarifarios (Quilicura)'!$H:$H,MATCH($B423,'Pliegos Tarifarios (Quilicura)'!$A:$A,0)),H423&lt;=5000,INDEX('Pliegos Tarifarios (Quilicura)'!$I:$I,MATCH($B423,'Pliegos Tarifarios (Quilicura)'!$A:$A,0)),H423&gt;5000,INDEX('Pliegos Tarifarios (Quilicura)'!$J:$J,MATCH($B423,'Pliegos Tarifarios (Quilicura)'!$A:$A,0)))/1.19</f>
        <v>4824.0906074789909</v>
      </c>
      <c r="R423" s="19">
        <f>INDEX('Pliegos Tarifarios (Quilicura)'!$K:$K,MATCH($B423,'Pliegos Tarifarios (Quilicura)'!$A:$A,0))</f>
        <v>724.74800000000005</v>
      </c>
      <c r="S423" s="21">
        <f t="shared" si="21"/>
        <v>295679.07770047901</v>
      </c>
      <c r="T423" s="21">
        <f t="shared" si="22"/>
        <v>56179.024763091016</v>
      </c>
      <c r="U423" s="19">
        <v>0</v>
      </c>
      <c r="V423" s="21">
        <f t="shared" si="23"/>
        <v>351858.10246357002</v>
      </c>
    </row>
    <row r="424" spans="1:22" x14ac:dyDescent="0.3">
      <c r="A424" s="3" t="s">
        <v>146</v>
      </c>
      <c r="B424" s="3">
        <v>7</v>
      </c>
      <c r="C424" s="4" t="s">
        <v>186</v>
      </c>
      <c r="D424" s="3" t="s">
        <v>187</v>
      </c>
      <c r="E424" s="3" t="s">
        <v>14</v>
      </c>
      <c r="F424" s="4" t="s">
        <v>15</v>
      </c>
      <c r="G424" s="3" t="s">
        <v>16</v>
      </c>
      <c r="H424" s="5">
        <v>11259.099</v>
      </c>
      <c r="I424" s="5">
        <v>30.0685</v>
      </c>
      <c r="J424" s="5">
        <v>29.8231</v>
      </c>
      <c r="K424" s="6">
        <v>0.99183863511648407</v>
      </c>
      <c r="L424" s="5">
        <v>375.3</v>
      </c>
      <c r="M424" s="19">
        <f>H424*INDEX('Pliegos Tarifarios (Quilicura)'!$B:$B,MATCH($B424,'Pliegos Tarifarios (Quilicura)'!$A:$A,0))</f>
        <v>1483532.661537</v>
      </c>
      <c r="N424" s="19">
        <f>I424*INDEX('Pliegos Tarifarios (Quilicura)'!$C:$C,MATCH($B424,'Pliegos Tarifarios (Quilicura)'!$A:$A,0))</f>
        <v>102462.59327150001</v>
      </c>
      <c r="O424" s="19">
        <f>J424*INDEX('Pliegos Tarifarios (Quilicura)'!$D:$D,MATCH($B424,'Pliegos Tarifarios (Quilicura)'!$A:$A,0))</f>
        <v>431629.72629999998</v>
      </c>
      <c r="P424" s="19">
        <f>H424*INDEX('Pliegos Tarifarios (Quilicura)'!$E:$E,MATCH($B424,'Pliegos Tarifarios (Quilicura)'!$A:$A,0))</f>
        <v>146638.50537599999</v>
      </c>
      <c r="Q424" s="19" cm="1">
        <f t="array" ref="Q424">H424*_xlfn.IFS(H424&lt;=350,INDEX('Pliegos Tarifarios (Quilicura)'!$F:$F,MATCH($B424,'Pliegos Tarifarios (Quilicura)'!$A:$A,0)),H424&lt;=500,INDEX('Pliegos Tarifarios (Quilicura)'!$G:$G,MATCH($B424,'Pliegos Tarifarios (Quilicura)'!$A:$A,0)),H424&lt;=1000,INDEX('Pliegos Tarifarios (Quilicura)'!$H:$H,MATCH($B424,'Pliegos Tarifarios (Quilicura)'!$A:$A,0)),H424&lt;=5000,INDEX('Pliegos Tarifarios (Quilicura)'!$I:$I,MATCH($B424,'Pliegos Tarifarios (Quilicura)'!$A:$A,0)),H424&gt;5000,INDEX('Pliegos Tarifarios (Quilicura)'!$J:$J,MATCH($B424,'Pliegos Tarifarios (Quilicura)'!$A:$A,0)))/1.19</f>
        <v>36946.875289915966</v>
      </c>
      <c r="R424" s="19">
        <f>INDEX('Pliegos Tarifarios (Quilicura)'!$K:$K,MATCH($B424,'Pliegos Tarifarios (Quilicura)'!$A:$A,0))</f>
        <v>726.16</v>
      </c>
      <c r="S424" s="21">
        <f t="shared" si="21"/>
        <v>2201936.5217744163</v>
      </c>
      <c r="T424" s="21">
        <f t="shared" si="22"/>
        <v>418367.93913713912</v>
      </c>
      <c r="U424" s="19">
        <v>0</v>
      </c>
      <c r="V424" s="21">
        <f t="shared" si="23"/>
        <v>2620304.4609115552</v>
      </c>
    </row>
    <row r="425" spans="1:22" x14ac:dyDescent="0.3">
      <c r="A425" s="3" t="s">
        <v>146</v>
      </c>
      <c r="B425" s="3">
        <v>7</v>
      </c>
      <c r="C425" s="4" t="s">
        <v>186</v>
      </c>
      <c r="D425" s="3" t="s">
        <v>188</v>
      </c>
      <c r="E425" s="3" t="s">
        <v>18</v>
      </c>
      <c r="F425" s="4" t="s">
        <v>19</v>
      </c>
      <c r="G425" s="3" t="s">
        <v>16</v>
      </c>
      <c r="H425" s="5">
        <v>5613.3270000000002</v>
      </c>
      <c r="I425" s="5">
        <v>15.0801</v>
      </c>
      <c r="J425" s="5">
        <v>15.0329</v>
      </c>
      <c r="K425" s="6">
        <v>0.9968700472808536</v>
      </c>
      <c r="L425" s="5">
        <v>187.11</v>
      </c>
      <c r="M425" s="19">
        <f>H425*INDEX('Pliegos Tarifarios (Quilicura)'!$B:$B,MATCH($B425,'Pliegos Tarifarios (Quilicura)'!$A:$A,0))</f>
        <v>739628.80550100002</v>
      </c>
      <c r="N425" s="19">
        <f>I425*INDEX('Pliegos Tarifarios (Quilicura)'!$C:$C,MATCH($B425,'Pliegos Tarifarios (Quilicura)'!$A:$A,0))</f>
        <v>51387.5368839</v>
      </c>
      <c r="O425" s="19">
        <f>J425*INDEX('Pliegos Tarifarios (Quilicura)'!$D:$D,MATCH($B425,'Pliegos Tarifarios (Quilicura)'!$A:$A,0))</f>
        <v>217571.1617</v>
      </c>
      <c r="P425" s="19">
        <f>H425*INDEX('Pliegos Tarifarios (Quilicura)'!$E:$E,MATCH($B425,'Pliegos Tarifarios (Quilicura)'!$A:$A,0))</f>
        <v>73107.970847999997</v>
      </c>
      <c r="Q425" s="19" cm="1">
        <f t="array" ref="Q425">H425*_xlfn.IFS(H425&lt;=350,INDEX('Pliegos Tarifarios (Quilicura)'!$F:$F,MATCH($B425,'Pliegos Tarifarios (Quilicura)'!$A:$A,0)),H425&lt;=500,INDEX('Pliegos Tarifarios (Quilicura)'!$G:$G,MATCH($B425,'Pliegos Tarifarios (Quilicura)'!$A:$A,0)),H425&lt;=1000,INDEX('Pliegos Tarifarios (Quilicura)'!$H:$H,MATCH($B425,'Pliegos Tarifarios (Quilicura)'!$A:$A,0)),H425&lt;=5000,INDEX('Pliegos Tarifarios (Quilicura)'!$I:$I,MATCH($B425,'Pliegos Tarifarios (Quilicura)'!$A:$A,0)),H425&gt;5000,INDEX('Pliegos Tarifarios (Quilicura)'!$J:$J,MATCH($B425,'Pliegos Tarifarios (Quilicura)'!$A:$A,0)))/1.19</f>
        <v>18420.203306722691</v>
      </c>
      <c r="R425" s="19">
        <f>INDEX('Pliegos Tarifarios (Quilicura)'!$K:$K,MATCH($B425,'Pliegos Tarifarios (Quilicura)'!$A:$A,0))</f>
        <v>726.16</v>
      </c>
      <c r="S425" s="21">
        <f t="shared" si="21"/>
        <v>1100841.8382396225</v>
      </c>
      <c r="T425" s="21">
        <f t="shared" si="22"/>
        <v>209159.9492655283</v>
      </c>
      <c r="U425" s="19">
        <v>0</v>
      </c>
      <c r="V425" s="21">
        <f t="shared" si="23"/>
        <v>1310001.7875051508</v>
      </c>
    </row>
    <row r="426" spans="1:22" x14ac:dyDescent="0.3">
      <c r="A426" s="3" t="s">
        <v>146</v>
      </c>
      <c r="B426" s="3">
        <v>7</v>
      </c>
      <c r="C426" s="4" t="s">
        <v>186</v>
      </c>
      <c r="D426" s="3" t="s">
        <v>189</v>
      </c>
      <c r="E426" s="3" t="s">
        <v>18</v>
      </c>
      <c r="F426" s="4" t="s">
        <v>21</v>
      </c>
      <c r="G426" s="3" t="s">
        <v>16</v>
      </c>
      <c r="H426" s="5">
        <v>4502.1127999999999</v>
      </c>
      <c r="I426" s="5">
        <v>12.2799</v>
      </c>
      <c r="J426" s="5">
        <v>12.028</v>
      </c>
      <c r="K426" s="6">
        <v>0.97948680363846619</v>
      </c>
      <c r="L426" s="5">
        <v>150.07</v>
      </c>
      <c r="M426" s="19">
        <f>H426*INDEX('Pliegos Tarifarios (Quilicura)'!$B:$B,MATCH($B426,'Pliegos Tarifarios (Quilicura)'!$A:$A,0))</f>
        <v>593211.8888664</v>
      </c>
      <c r="N426" s="19">
        <f>I426*INDEX('Pliegos Tarifarios (Quilicura)'!$C:$C,MATCH($B426,'Pliegos Tarifarios (Quilicura)'!$A:$A,0))</f>
        <v>41845.466156100003</v>
      </c>
      <c r="O426" s="19">
        <f>J426*INDEX('Pliegos Tarifarios (Quilicura)'!$D:$D,MATCH($B426,'Pliegos Tarifarios (Quilicura)'!$A:$A,0))</f>
        <v>174081.24400000001</v>
      </c>
      <c r="P426" s="19">
        <f>H426*INDEX('Pliegos Tarifarios (Quilicura)'!$E:$E,MATCH($B426,'Pliegos Tarifarios (Quilicura)'!$A:$A,0))</f>
        <v>58635.517107199994</v>
      </c>
      <c r="Q426" s="19" cm="1">
        <f t="array" ref="Q426">H426*_xlfn.IFS(H426&lt;=350,INDEX('Pliegos Tarifarios (Quilicura)'!$F:$F,MATCH($B426,'Pliegos Tarifarios (Quilicura)'!$A:$A,0)),H426&lt;=500,INDEX('Pliegos Tarifarios (Quilicura)'!$G:$G,MATCH($B426,'Pliegos Tarifarios (Quilicura)'!$A:$A,0)),H426&lt;=1000,INDEX('Pliegos Tarifarios (Quilicura)'!$H:$H,MATCH($B426,'Pliegos Tarifarios (Quilicura)'!$A:$A,0)),H426&lt;=5000,INDEX('Pliegos Tarifarios (Quilicura)'!$I:$I,MATCH($B426,'Pliegos Tarifarios (Quilicura)'!$A:$A,0)),H426&gt;5000,INDEX('Pliegos Tarifarios (Quilicura)'!$J:$J,MATCH($B426,'Pliegos Tarifarios (Quilicura)'!$A:$A,0)))/1.19</f>
        <v>13510.121688067225</v>
      </c>
      <c r="R426" s="19">
        <f>INDEX('Pliegos Tarifarios (Quilicura)'!$K:$K,MATCH($B426,'Pliegos Tarifarios (Quilicura)'!$A:$A,0))</f>
        <v>726.16</v>
      </c>
      <c r="S426" s="21">
        <f t="shared" si="21"/>
        <v>882010.39781776723</v>
      </c>
      <c r="T426" s="21">
        <f t="shared" si="22"/>
        <v>167581.97558537577</v>
      </c>
      <c r="U426" s="19">
        <v>0</v>
      </c>
      <c r="V426" s="21">
        <f t="shared" si="23"/>
        <v>1049592.3734031429</v>
      </c>
    </row>
    <row r="427" spans="1:22" x14ac:dyDescent="0.3">
      <c r="A427" s="3" t="s">
        <v>146</v>
      </c>
      <c r="B427" s="3">
        <v>7</v>
      </c>
      <c r="C427" s="4" t="s">
        <v>186</v>
      </c>
      <c r="D427" s="3" t="s">
        <v>190</v>
      </c>
      <c r="E427" s="3" t="s">
        <v>18</v>
      </c>
      <c r="F427" s="4" t="s">
        <v>23</v>
      </c>
      <c r="G427" s="3" t="s">
        <v>16</v>
      </c>
      <c r="H427" s="5">
        <v>3750.0221000000001</v>
      </c>
      <c r="I427" s="5">
        <v>10.2866</v>
      </c>
      <c r="J427" s="5">
        <v>10.2866</v>
      </c>
      <c r="K427" s="6">
        <v>1</v>
      </c>
      <c r="L427" s="5">
        <v>125</v>
      </c>
      <c r="M427" s="19">
        <f>H427*INDEX('Pliegos Tarifarios (Quilicura)'!$B:$B,MATCH($B427,'Pliegos Tarifarios (Quilicura)'!$A:$A,0))</f>
        <v>494114.16196230002</v>
      </c>
      <c r="N427" s="19">
        <f>I427*INDEX('Pliegos Tarifarios (Quilicura)'!$C:$C,MATCH($B427,'Pliegos Tarifarios (Quilicura)'!$A:$A,0))</f>
        <v>35053.019337400001</v>
      </c>
      <c r="O427" s="19">
        <f>J427*INDEX('Pliegos Tarifarios (Quilicura)'!$D:$D,MATCH($B427,'Pliegos Tarifarios (Quilicura)'!$A:$A,0))</f>
        <v>148877.96179999999</v>
      </c>
      <c r="P427" s="19">
        <f>H427*INDEX('Pliegos Tarifarios (Quilicura)'!$E:$E,MATCH($B427,'Pliegos Tarifarios (Quilicura)'!$A:$A,0))</f>
        <v>48840.287830399997</v>
      </c>
      <c r="Q427" s="19" cm="1">
        <f t="array" ref="Q427">H427*_xlfn.IFS(H427&lt;=350,INDEX('Pliegos Tarifarios (Quilicura)'!$F:$F,MATCH($B427,'Pliegos Tarifarios (Quilicura)'!$A:$A,0)),H427&lt;=500,INDEX('Pliegos Tarifarios (Quilicura)'!$G:$G,MATCH($B427,'Pliegos Tarifarios (Quilicura)'!$A:$A,0)),H427&lt;=1000,INDEX('Pliegos Tarifarios (Quilicura)'!$H:$H,MATCH($B427,'Pliegos Tarifarios (Quilicura)'!$A:$A,0)),H427&lt;=5000,INDEX('Pliegos Tarifarios (Quilicura)'!$I:$I,MATCH($B427,'Pliegos Tarifarios (Quilicura)'!$A:$A,0)),H427&gt;5000,INDEX('Pliegos Tarifarios (Quilicura)'!$J:$J,MATCH($B427,'Pliegos Tarifarios (Quilicura)'!$A:$A,0)))/1.19</f>
        <v>11253.217579075632</v>
      </c>
      <c r="R427" s="19">
        <f>INDEX('Pliegos Tarifarios (Quilicura)'!$K:$K,MATCH($B427,'Pliegos Tarifarios (Quilicura)'!$A:$A,0))</f>
        <v>726.16</v>
      </c>
      <c r="S427" s="21">
        <f t="shared" si="21"/>
        <v>738864.80850917578</v>
      </c>
      <c r="T427" s="21">
        <f t="shared" si="22"/>
        <v>140384.3136167434</v>
      </c>
      <c r="U427" s="19">
        <v>0</v>
      </c>
      <c r="V427" s="21">
        <f t="shared" si="23"/>
        <v>879249.12212591921</v>
      </c>
    </row>
    <row r="428" spans="1:22" x14ac:dyDescent="0.3">
      <c r="A428" s="3" t="s">
        <v>146</v>
      </c>
      <c r="B428" s="3">
        <v>7</v>
      </c>
      <c r="C428" s="4" t="s">
        <v>186</v>
      </c>
      <c r="D428" s="3" t="s">
        <v>191</v>
      </c>
      <c r="E428" s="3" t="s">
        <v>18</v>
      </c>
      <c r="F428" s="4" t="s">
        <v>25</v>
      </c>
      <c r="G428" s="3" t="s">
        <v>16</v>
      </c>
      <c r="H428" s="5">
        <v>4050.6223</v>
      </c>
      <c r="I428" s="5">
        <v>10.807600000000001</v>
      </c>
      <c r="J428" s="5">
        <v>10.778</v>
      </c>
      <c r="K428" s="6">
        <v>0.99726118657241203</v>
      </c>
      <c r="L428" s="5">
        <v>135.02000000000001</v>
      </c>
      <c r="M428" s="19">
        <f>H428*INDEX('Pliegos Tarifarios (Quilicura)'!$B:$B,MATCH($B428,'Pliegos Tarifarios (Quilicura)'!$A:$A,0))</f>
        <v>533722.14611490001</v>
      </c>
      <c r="N428" s="19">
        <f>I428*INDEX('Pliegos Tarifarios (Quilicura)'!$C:$C,MATCH($B428,'Pliegos Tarifarios (Quilicura)'!$A:$A,0))</f>
        <v>36828.399256400007</v>
      </c>
      <c r="O428" s="19">
        <f>J428*INDEX('Pliegos Tarifarios (Quilicura)'!$D:$D,MATCH($B428,'Pliegos Tarifarios (Quilicura)'!$A:$A,0))</f>
        <v>155989.99400000001</v>
      </c>
      <c r="P428" s="19">
        <f>H428*INDEX('Pliegos Tarifarios (Quilicura)'!$E:$E,MATCH($B428,'Pliegos Tarifarios (Quilicura)'!$A:$A,0))</f>
        <v>52755.304835199997</v>
      </c>
      <c r="Q428" s="19" cm="1">
        <f t="array" ref="Q428">H428*_xlfn.IFS(H428&lt;=350,INDEX('Pliegos Tarifarios (Quilicura)'!$F:$F,MATCH($B428,'Pliegos Tarifarios (Quilicura)'!$A:$A,0)),H428&lt;=500,INDEX('Pliegos Tarifarios (Quilicura)'!$G:$G,MATCH($B428,'Pliegos Tarifarios (Quilicura)'!$A:$A,0)),H428&lt;=1000,INDEX('Pliegos Tarifarios (Quilicura)'!$H:$H,MATCH($B428,'Pliegos Tarifarios (Quilicura)'!$A:$A,0)),H428&lt;=5000,INDEX('Pliegos Tarifarios (Quilicura)'!$I:$I,MATCH($B428,'Pliegos Tarifarios (Quilicura)'!$A:$A,0)),H428&gt;5000,INDEX('Pliegos Tarifarios (Quilicura)'!$J:$J,MATCH($B428,'Pliegos Tarifarios (Quilicura)'!$A:$A,0)))/1.19</f>
        <v>12155.270784285713</v>
      </c>
      <c r="R428" s="19">
        <f>INDEX('Pliegos Tarifarios (Quilicura)'!$K:$K,MATCH($B428,'Pliegos Tarifarios (Quilicura)'!$A:$A,0))</f>
        <v>726.16</v>
      </c>
      <c r="S428" s="21">
        <f t="shared" si="21"/>
        <v>792177.27499078575</v>
      </c>
      <c r="T428" s="21">
        <f t="shared" si="22"/>
        <v>150513.6822482493</v>
      </c>
      <c r="U428" s="19">
        <v>0</v>
      </c>
      <c r="V428" s="21">
        <f t="shared" si="23"/>
        <v>942690.95723903505</v>
      </c>
    </row>
    <row r="429" spans="1:22" x14ac:dyDescent="0.3">
      <c r="A429" s="3" t="s">
        <v>146</v>
      </c>
      <c r="B429" s="3">
        <v>7</v>
      </c>
      <c r="C429" s="4" t="s">
        <v>186</v>
      </c>
      <c r="D429" s="3" t="s">
        <v>192</v>
      </c>
      <c r="E429" s="3" t="s">
        <v>18</v>
      </c>
      <c r="F429" s="4" t="s">
        <v>27</v>
      </c>
      <c r="G429" s="3" t="s">
        <v>16</v>
      </c>
      <c r="H429" s="5">
        <v>2703.0479999999998</v>
      </c>
      <c r="I429" s="5">
        <v>7.3617999999999997</v>
      </c>
      <c r="J429" s="5">
        <v>7.3617999999999997</v>
      </c>
      <c r="K429" s="6">
        <v>1</v>
      </c>
      <c r="L429" s="5">
        <v>90.1</v>
      </c>
      <c r="M429" s="19">
        <f>H429*INDEX('Pliegos Tarifarios (Quilicura)'!$B:$B,MATCH($B429,'Pliegos Tarifarios (Quilicura)'!$A:$A,0))</f>
        <v>356161.71362399997</v>
      </c>
      <c r="N429" s="19">
        <f>I429*INDEX('Pliegos Tarifarios (Quilicura)'!$C:$C,MATCH($B429,'Pliegos Tarifarios (Quilicura)'!$A:$A,0))</f>
        <v>25086.3567902</v>
      </c>
      <c r="O429" s="19">
        <f>J429*INDEX('Pliegos Tarifarios (Quilicura)'!$D:$D,MATCH($B429,'Pliegos Tarifarios (Quilicura)'!$A:$A,0))</f>
        <v>106547.3314</v>
      </c>
      <c r="P429" s="19">
        <f>H429*INDEX('Pliegos Tarifarios (Quilicura)'!$E:$E,MATCH($B429,'Pliegos Tarifarios (Quilicura)'!$A:$A,0))</f>
        <v>35204.497151999996</v>
      </c>
      <c r="Q429" s="19" cm="1">
        <f t="array" ref="Q429">H429*_xlfn.IFS(H429&lt;=350,INDEX('Pliegos Tarifarios (Quilicura)'!$F:$F,MATCH($B429,'Pliegos Tarifarios (Quilicura)'!$A:$A,0)),H429&lt;=500,INDEX('Pliegos Tarifarios (Quilicura)'!$G:$G,MATCH($B429,'Pliegos Tarifarios (Quilicura)'!$A:$A,0)),H429&lt;=1000,INDEX('Pliegos Tarifarios (Quilicura)'!$H:$H,MATCH($B429,'Pliegos Tarifarios (Quilicura)'!$A:$A,0)),H429&lt;=5000,INDEX('Pliegos Tarifarios (Quilicura)'!$I:$I,MATCH($B429,'Pliegos Tarifarios (Quilicura)'!$A:$A,0)),H429&gt;5000,INDEX('Pliegos Tarifarios (Quilicura)'!$J:$J,MATCH($B429,'Pliegos Tarifarios (Quilicura)'!$A:$A,0)))/1.19</f>
        <v>8111.4154689075622</v>
      </c>
      <c r="R429" s="19">
        <f>INDEX('Pliegos Tarifarios (Quilicura)'!$K:$K,MATCH($B429,'Pliegos Tarifarios (Quilicura)'!$A:$A,0))</f>
        <v>726.16</v>
      </c>
      <c r="S429" s="21">
        <f t="shared" si="21"/>
        <v>531837.47443510755</v>
      </c>
      <c r="T429" s="21">
        <f t="shared" si="22"/>
        <v>101049.12014267044</v>
      </c>
      <c r="U429" s="19">
        <v>0</v>
      </c>
      <c r="V429" s="21">
        <f t="shared" si="23"/>
        <v>632886.59457777801</v>
      </c>
    </row>
    <row r="430" spans="1:22" x14ac:dyDescent="0.3">
      <c r="A430" s="3" t="s">
        <v>146</v>
      </c>
      <c r="B430" s="3">
        <v>7</v>
      </c>
      <c r="C430" s="4" t="s">
        <v>186</v>
      </c>
      <c r="D430" s="3" t="s">
        <v>193</v>
      </c>
      <c r="E430" s="3" t="s">
        <v>18</v>
      </c>
      <c r="F430" s="4" t="s">
        <v>29</v>
      </c>
      <c r="G430" s="3" t="s">
        <v>30</v>
      </c>
      <c r="H430" s="5">
        <v>901.18269999999995</v>
      </c>
      <c r="I430" s="5">
        <v>2.3843999999999999</v>
      </c>
      <c r="J430" s="5">
        <v>2.3843999999999999</v>
      </c>
      <c r="K430" s="6">
        <v>1</v>
      </c>
      <c r="L430" s="5">
        <v>30.04</v>
      </c>
      <c r="M430" s="19">
        <f>H430*INDEX('Pliegos Tarifarios (Quilicura)'!$B:$B,MATCH($B430,'Pliegos Tarifarios (Quilicura)'!$A:$A,0))</f>
        <v>118742.5361001</v>
      </c>
      <c r="N430" s="19">
        <f>I430*INDEX('Pliegos Tarifarios (Quilicura)'!$C:$C,MATCH($B430,'Pliegos Tarifarios (Quilicura)'!$A:$A,0))</f>
        <v>8125.1744315999995</v>
      </c>
      <c r="O430" s="19">
        <f>J430*INDEX('Pliegos Tarifarios (Quilicura)'!$D:$D,MATCH($B430,'Pliegos Tarifarios (Quilicura)'!$A:$A,0))</f>
        <v>34509.421199999997</v>
      </c>
      <c r="P430" s="19">
        <f>H430*INDEX('Pliegos Tarifarios (Quilicura)'!$E:$E,MATCH($B430,'Pliegos Tarifarios (Quilicura)'!$A:$A,0))</f>
        <v>11737.003484799998</v>
      </c>
      <c r="Q430" s="19" cm="1">
        <f t="array" ref="Q430">H430*_xlfn.IFS(H430&lt;=350,INDEX('Pliegos Tarifarios (Quilicura)'!$F:$F,MATCH($B430,'Pliegos Tarifarios (Quilicura)'!$A:$A,0)),H430&lt;=500,INDEX('Pliegos Tarifarios (Quilicura)'!$G:$G,MATCH($B430,'Pliegos Tarifarios (Quilicura)'!$A:$A,0)),H430&lt;=1000,INDEX('Pliegos Tarifarios (Quilicura)'!$H:$H,MATCH($B430,'Pliegos Tarifarios (Quilicura)'!$A:$A,0)),H430&lt;=5000,INDEX('Pliegos Tarifarios (Quilicura)'!$I:$I,MATCH($B430,'Pliegos Tarifarios (Quilicura)'!$A:$A,0)),H430&gt;5000,INDEX('Pliegos Tarifarios (Quilicura)'!$J:$J,MATCH($B430,'Pliegos Tarifarios (Quilicura)'!$A:$A,0)))/1.19</f>
        <v>2113.61421487395</v>
      </c>
      <c r="R430" s="19">
        <f>INDEX('Pliegos Tarifarios (Quilicura)'!$K:$K,MATCH($B430,'Pliegos Tarifarios (Quilicura)'!$A:$A,0))</f>
        <v>726.16</v>
      </c>
      <c r="S430" s="21">
        <f t="shared" si="21"/>
        <v>175953.90943137393</v>
      </c>
      <c r="T430" s="21">
        <f t="shared" si="22"/>
        <v>33431.242791961049</v>
      </c>
      <c r="U430" s="19">
        <v>0</v>
      </c>
      <c r="V430" s="21">
        <f t="shared" si="23"/>
        <v>209385.152223335</v>
      </c>
    </row>
    <row r="431" spans="1:22" x14ac:dyDescent="0.3">
      <c r="A431" s="3" t="s">
        <v>146</v>
      </c>
      <c r="B431" s="3">
        <v>7</v>
      </c>
      <c r="C431" s="4" t="s">
        <v>186</v>
      </c>
      <c r="D431" s="3" t="s">
        <v>194</v>
      </c>
      <c r="E431" s="3" t="s">
        <v>18</v>
      </c>
      <c r="F431" s="4" t="s">
        <v>32</v>
      </c>
      <c r="G431" s="3" t="s">
        <v>16</v>
      </c>
      <c r="H431" s="5">
        <v>2699.3458999999998</v>
      </c>
      <c r="I431" s="5">
        <v>7.4608999999999996</v>
      </c>
      <c r="J431" s="5">
        <v>7.4608999999999996</v>
      </c>
      <c r="K431" s="6">
        <v>1</v>
      </c>
      <c r="L431" s="5">
        <v>89.98</v>
      </c>
      <c r="M431" s="19">
        <f>H431*INDEX('Pliegos Tarifarios (Quilicura)'!$B:$B,MATCH($B431,'Pliegos Tarifarios (Quilicura)'!$A:$A,0))</f>
        <v>355673.91382169997</v>
      </c>
      <c r="N431" s="19">
        <f>I431*INDEX('Pliegos Tarifarios (Quilicura)'!$C:$C,MATCH($B431,'Pliegos Tarifarios (Quilicura)'!$A:$A,0))</f>
        <v>25424.0538151</v>
      </c>
      <c r="O431" s="19">
        <f>J431*INDEX('Pliegos Tarifarios (Quilicura)'!$D:$D,MATCH($B431,'Pliegos Tarifarios (Quilicura)'!$A:$A,0))</f>
        <v>107981.6057</v>
      </c>
      <c r="P431" s="19">
        <f>H431*INDEX('Pliegos Tarifarios (Quilicura)'!$E:$E,MATCH($B431,'Pliegos Tarifarios (Quilicura)'!$A:$A,0))</f>
        <v>35156.281001599993</v>
      </c>
      <c r="Q431" s="19" cm="1">
        <f t="array" ref="Q431">H431*_xlfn.IFS(H431&lt;=350,INDEX('Pliegos Tarifarios (Quilicura)'!$F:$F,MATCH($B431,'Pliegos Tarifarios (Quilicura)'!$A:$A,0)),H431&lt;=500,INDEX('Pliegos Tarifarios (Quilicura)'!$G:$G,MATCH($B431,'Pliegos Tarifarios (Quilicura)'!$A:$A,0)),H431&lt;=1000,INDEX('Pliegos Tarifarios (Quilicura)'!$H:$H,MATCH($B431,'Pliegos Tarifarios (Quilicura)'!$A:$A,0)),H431&lt;=5000,INDEX('Pliegos Tarifarios (Quilicura)'!$I:$I,MATCH($B431,'Pliegos Tarifarios (Quilicura)'!$A:$A,0)),H431&gt;5000,INDEX('Pliegos Tarifarios (Quilicura)'!$J:$J,MATCH($B431,'Pliegos Tarifarios (Quilicura)'!$A:$A,0)))/1.19</f>
        <v>8100.306057899159</v>
      </c>
      <c r="R431" s="19">
        <f>INDEX('Pliegos Tarifarios (Quilicura)'!$K:$K,MATCH($B431,'Pliegos Tarifarios (Quilicura)'!$A:$A,0))</f>
        <v>726.16</v>
      </c>
      <c r="S431" s="21">
        <f t="shared" si="21"/>
        <v>533062.32039629912</v>
      </c>
      <c r="T431" s="21">
        <f t="shared" si="22"/>
        <v>101281.84087529684</v>
      </c>
      <c r="U431" s="19">
        <v>0</v>
      </c>
      <c r="V431" s="21">
        <f t="shared" si="23"/>
        <v>634344.16127159598</v>
      </c>
    </row>
    <row r="432" spans="1:22" x14ac:dyDescent="0.3">
      <c r="A432" s="3" t="s">
        <v>146</v>
      </c>
      <c r="B432" s="3">
        <v>7</v>
      </c>
      <c r="C432" s="4" t="s">
        <v>186</v>
      </c>
      <c r="D432" s="3" t="s">
        <v>195</v>
      </c>
      <c r="E432" s="3" t="s">
        <v>34</v>
      </c>
      <c r="F432" s="4" t="s">
        <v>35</v>
      </c>
      <c r="G432" s="3" t="s">
        <v>30</v>
      </c>
      <c r="H432" s="5">
        <v>1124.6374000000001</v>
      </c>
      <c r="I432" s="5">
        <v>3.0247000000000002</v>
      </c>
      <c r="J432" s="5">
        <v>3.0247000000000002</v>
      </c>
      <c r="K432" s="6">
        <v>1</v>
      </c>
      <c r="L432" s="5">
        <v>37.49</v>
      </c>
      <c r="M432" s="19">
        <f>H432*INDEX('Pliegos Tarifarios (Quilicura)'!$B:$B,MATCH($B432,'Pliegos Tarifarios (Quilicura)'!$A:$A,0))</f>
        <v>148185.59773620003</v>
      </c>
      <c r="N432" s="19">
        <f>I432*INDEX('Pliegos Tarifarios (Quilicura)'!$C:$C,MATCH($B432,'Pliegos Tarifarios (Quilicura)'!$A:$A,0))</f>
        <v>10307.085683300002</v>
      </c>
      <c r="O432" s="19">
        <f>J432*INDEX('Pliegos Tarifarios (Quilicura)'!$D:$D,MATCH($B432,'Pliegos Tarifarios (Quilicura)'!$A:$A,0))</f>
        <v>43776.483100000005</v>
      </c>
      <c r="P432" s="19">
        <f>H432*INDEX('Pliegos Tarifarios (Quilicura)'!$E:$E,MATCH($B432,'Pliegos Tarifarios (Quilicura)'!$A:$A,0))</f>
        <v>14647.2774976</v>
      </c>
      <c r="Q432" s="19" cm="1">
        <f t="array" ref="Q432">H432*_xlfn.IFS(H432&lt;=350,INDEX('Pliegos Tarifarios (Quilicura)'!$F:$F,MATCH($B432,'Pliegos Tarifarios (Quilicura)'!$A:$A,0)),H432&lt;=500,INDEX('Pliegos Tarifarios (Quilicura)'!$G:$G,MATCH($B432,'Pliegos Tarifarios (Quilicura)'!$A:$A,0)),H432&lt;=1000,INDEX('Pliegos Tarifarios (Quilicura)'!$H:$H,MATCH($B432,'Pliegos Tarifarios (Quilicura)'!$A:$A,0)),H432&lt;=5000,INDEX('Pliegos Tarifarios (Quilicura)'!$I:$I,MATCH($B432,'Pliegos Tarifarios (Quilicura)'!$A:$A,0)),H432&gt;5000,INDEX('Pliegos Tarifarios (Quilicura)'!$J:$J,MATCH($B432,'Pliegos Tarifarios (Quilicura)'!$A:$A,0)))/1.19</f>
        <v>3374.8572734453783</v>
      </c>
      <c r="R432" s="19">
        <f>INDEX('Pliegos Tarifarios (Quilicura)'!$K:$K,MATCH($B432,'Pliegos Tarifarios (Quilicura)'!$A:$A,0))</f>
        <v>726.16</v>
      </c>
      <c r="S432" s="21">
        <f t="shared" si="21"/>
        <v>221017.46129054544</v>
      </c>
      <c r="T432" s="21">
        <f t="shared" si="22"/>
        <v>41993.317645203635</v>
      </c>
      <c r="U432" s="19">
        <v>0</v>
      </c>
      <c r="V432" s="21">
        <f t="shared" si="23"/>
        <v>263010.77893574908</v>
      </c>
    </row>
    <row r="433" spans="1:22" x14ac:dyDescent="0.3">
      <c r="A433" s="3" t="s">
        <v>146</v>
      </c>
      <c r="B433" s="3">
        <v>7</v>
      </c>
      <c r="C433" s="4" t="s">
        <v>186</v>
      </c>
      <c r="D433" s="3" t="s">
        <v>196</v>
      </c>
      <c r="E433" s="3" t="s">
        <v>34</v>
      </c>
      <c r="F433" s="4" t="s">
        <v>37</v>
      </c>
      <c r="G433" s="3" t="s">
        <v>30</v>
      </c>
      <c r="H433" s="5">
        <v>900.52620000000002</v>
      </c>
      <c r="I433" s="5">
        <v>2.3883999999999999</v>
      </c>
      <c r="J433" s="5">
        <v>2.379</v>
      </c>
      <c r="K433" s="6">
        <v>0.99606431083570601</v>
      </c>
      <c r="L433" s="5">
        <v>30.02</v>
      </c>
      <c r="M433" s="19">
        <f>H433*INDEX('Pliegos Tarifarios (Quilicura)'!$B:$B,MATCH($B433,'Pliegos Tarifarios (Quilicura)'!$A:$A,0))</f>
        <v>118656.0336906</v>
      </c>
      <c r="N433" s="19">
        <f>I433*INDEX('Pliegos Tarifarios (Quilicura)'!$C:$C,MATCH($B433,'Pliegos Tarifarios (Quilicura)'!$A:$A,0))</f>
        <v>8138.8049875999995</v>
      </c>
      <c r="O433" s="19">
        <f>J433*INDEX('Pliegos Tarifarios (Quilicura)'!$D:$D,MATCH($B433,'Pliegos Tarifarios (Quilicura)'!$A:$A,0))</f>
        <v>34431.267</v>
      </c>
      <c r="P433" s="19">
        <f>H433*INDEX('Pliegos Tarifarios (Quilicura)'!$E:$E,MATCH($B433,'Pliegos Tarifarios (Quilicura)'!$A:$A,0))</f>
        <v>11728.453228799999</v>
      </c>
      <c r="Q433" s="19" cm="1">
        <f t="array" ref="Q433">H433*_xlfn.IFS(H433&lt;=350,INDEX('Pliegos Tarifarios (Quilicura)'!$F:$F,MATCH($B433,'Pliegos Tarifarios (Quilicura)'!$A:$A,0)),H433&lt;=500,INDEX('Pliegos Tarifarios (Quilicura)'!$G:$G,MATCH($B433,'Pliegos Tarifarios (Quilicura)'!$A:$A,0)),H433&lt;=1000,INDEX('Pliegos Tarifarios (Quilicura)'!$H:$H,MATCH($B433,'Pliegos Tarifarios (Quilicura)'!$A:$A,0)),H433&lt;=5000,INDEX('Pliegos Tarifarios (Quilicura)'!$I:$I,MATCH($B433,'Pliegos Tarifarios (Quilicura)'!$A:$A,0)),H433&gt;5000,INDEX('Pliegos Tarifarios (Quilicura)'!$J:$J,MATCH($B433,'Pliegos Tarifarios (Quilicura)'!$A:$A,0)))/1.19</f>
        <v>2112.0744741176472</v>
      </c>
      <c r="R433" s="19">
        <f>INDEX('Pliegos Tarifarios (Quilicura)'!$K:$K,MATCH($B433,'Pliegos Tarifarios (Quilicura)'!$A:$A,0))</f>
        <v>726.16</v>
      </c>
      <c r="S433" s="21">
        <f t="shared" si="21"/>
        <v>175792.79338111766</v>
      </c>
      <c r="T433" s="21">
        <f t="shared" si="22"/>
        <v>33400.630742412359</v>
      </c>
      <c r="U433" s="19">
        <v>0</v>
      </c>
      <c r="V433" s="21">
        <f t="shared" si="23"/>
        <v>209193.42412353001</v>
      </c>
    </row>
    <row r="434" spans="1:22" x14ac:dyDescent="0.3">
      <c r="A434" s="3" t="s">
        <v>146</v>
      </c>
      <c r="B434" s="3">
        <v>7</v>
      </c>
      <c r="C434" s="4" t="s">
        <v>186</v>
      </c>
      <c r="D434" s="3" t="s">
        <v>197</v>
      </c>
      <c r="E434" s="3" t="s">
        <v>34</v>
      </c>
      <c r="F434" s="4" t="s">
        <v>39</v>
      </c>
      <c r="G434" s="3" t="s">
        <v>30</v>
      </c>
      <c r="H434" s="5">
        <v>900.048</v>
      </c>
      <c r="I434" s="5">
        <v>2.4157999999999999</v>
      </c>
      <c r="J434" s="5">
        <v>2.3908</v>
      </c>
      <c r="K434" s="6">
        <v>0.98965146121367664</v>
      </c>
      <c r="L434" s="5">
        <v>30</v>
      </c>
      <c r="M434" s="19">
        <f>H434*INDEX('Pliegos Tarifarios (Quilicura)'!$B:$B,MATCH($B434,'Pliegos Tarifarios (Quilicura)'!$A:$A,0))</f>
        <v>118593.024624</v>
      </c>
      <c r="N434" s="19">
        <f>I434*INDEX('Pliegos Tarifarios (Quilicura)'!$C:$C,MATCH($B434,'Pliegos Tarifarios (Quilicura)'!$A:$A,0))</f>
        <v>8232.1742962000008</v>
      </c>
      <c r="O434" s="19">
        <f>J434*INDEX('Pliegos Tarifarios (Quilicura)'!$D:$D,MATCH($B434,'Pliegos Tarifarios (Quilicura)'!$A:$A,0))</f>
        <v>34602.0484</v>
      </c>
      <c r="P434" s="19">
        <f>H434*INDEX('Pliegos Tarifarios (Quilicura)'!$E:$E,MATCH($B434,'Pliegos Tarifarios (Quilicura)'!$A:$A,0))</f>
        <v>11722.225151999999</v>
      </c>
      <c r="Q434" s="19" cm="1">
        <f t="array" ref="Q434">H434*_xlfn.IFS(H434&lt;=350,INDEX('Pliegos Tarifarios (Quilicura)'!$F:$F,MATCH($B434,'Pliegos Tarifarios (Quilicura)'!$A:$A,0)),H434&lt;=500,INDEX('Pliegos Tarifarios (Quilicura)'!$G:$G,MATCH($B434,'Pliegos Tarifarios (Quilicura)'!$A:$A,0)),H434&lt;=1000,INDEX('Pliegos Tarifarios (Quilicura)'!$H:$H,MATCH($B434,'Pliegos Tarifarios (Quilicura)'!$A:$A,0)),H434&lt;=5000,INDEX('Pliegos Tarifarios (Quilicura)'!$I:$I,MATCH($B434,'Pliegos Tarifarios (Quilicura)'!$A:$A,0)),H434&gt;5000,INDEX('Pliegos Tarifarios (Quilicura)'!$J:$J,MATCH($B434,'Pliegos Tarifarios (Quilicura)'!$A:$A,0)))/1.19</f>
        <v>2110.9529142857145</v>
      </c>
      <c r="R434" s="19">
        <f>INDEX('Pliegos Tarifarios (Quilicura)'!$K:$K,MATCH($B434,'Pliegos Tarifarios (Quilicura)'!$A:$A,0))</f>
        <v>726.16</v>
      </c>
      <c r="S434" s="21">
        <f t="shared" si="21"/>
        <v>175986.58538648571</v>
      </c>
      <c r="T434" s="21">
        <f t="shared" si="22"/>
        <v>33437.451223432283</v>
      </c>
      <c r="U434" s="19">
        <v>0</v>
      </c>
      <c r="V434" s="21">
        <f t="shared" si="23"/>
        <v>209424.036609918</v>
      </c>
    </row>
    <row r="435" spans="1:22" x14ac:dyDescent="0.3">
      <c r="A435" s="3" t="s">
        <v>146</v>
      </c>
      <c r="B435" s="3">
        <v>7</v>
      </c>
      <c r="C435" s="4" t="s">
        <v>186</v>
      </c>
      <c r="D435" s="3" t="s">
        <v>198</v>
      </c>
      <c r="E435" s="3" t="s">
        <v>34</v>
      </c>
      <c r="F435" s="4" t="s">
        <v>41</v>
      </c>
      <c r="G435" s="3" t="s">
        <v>30</v>
      </c>
      <c r="H435" s="5">
        <v>675.30849999999998</v>
      </c>
      <c r="I435" s="5">
        <v>1.7858000000000001</v>
      </c>
      <c r="J435" s="5">
        <v>1.7858000000000001</v>
      </c>
      <c r="K435" s="6">
        <v>1</v>
      </c>
      <c r="L435" s="5">
        <v>22.51</v>
      </c>
      <c r="M435" s="19">
        <f>H435*INDEX('Pliegos Tarifarios (Quilicura)'!$B:$B,MATCH($B435,'Pliegos Tarifarios (Quilicura)'!$A:$A,0))</f>
        <v>88980.6738855</v>
      </c>
      <c r="N435" s="19">
        <f>I435*INDEX('Pliegos Tarifarios (Quilicura)'!$C:$C,MATCH($B435,'Pliegos Tarifarios (Quilicura)'!$A:$A,0))</f>
        <v>6085.3617262000007</v>
      </c>
      <c r="O435" s="19">
        <f>J435*INDEX('Pliegos Tarifarios (Quilicura)'!$D:$D,MATCH($B435,'Pliegos Tarifarios (Quilicura)'!$A:$A,0))</f>
        <v>25845.883400000002</v>
      </c>
      <c r="P435" s="19">
        <f>H435*INDEX('Pliegos Tarifarios (Quilicura)'!$E:$E,MATCH($B435,'Pliegos Tarifarios (Quilicura)'!$A:$A,0))</f>
        <v>8795.2179039999992</v>
      </c>
      <c r="Q435" s="19" cm="1">
        <f t="array" ref="Q435">H435*_xlfn.IFS(H435&lt;=350,INDEX('Pliegos Tarifarios (Quilicura)'!$F:$F,MATCH($B435,'Pliegos Tarifarios (Quilicura)'!$A:$A,0)),H435&lt;=500,INDEX('Pliegos Tarifarios (Quilicura)'!$G:$G,MATCH($B435,'Pliegos Tarifarios (Quilicura)'!$A:$A,0)),H435&lt;=1000,INDEX('Pliegos Tarifarios (Quilicura)'!$H:$H,MATCH($B435,'Pliegos Tarifarios (Quilicura)'!$A:$A,0)),H435&lt;=5000,INDEX('Pliegos Tarifarios (Quilicura)'!$I:$I,MATCH($B435,'Pliegos Tarifarios (Quilicura)'!$A:$A,0)),H435&gt;5000,INDEX('Pliegos Tarifarios (Quilicura)'!$J:$J,MATCH($B435,'Pliegos Tarifarios (Quilicura)'!$A:$A,0)))/1.19</f>
        <v>1583.8538012605045</v>
      </c>
      <c r="R435" s="19">
        <f>INDEX('Pliegos Tarifarios (Quilicura)'!$K:$K,MATCH($B435,'Pliegos Tarifarios (Quilicura)'!$A:$A,0))</f>
        <v>726.16</v>
      </c>
      <c r="S435" s="21">
        <f t="shared" si="21"/>
        <v>132017.15071696052</v>
      </c>
      <c r="T435" s="21">
        <f t="shared" si="22"/>
        <v>25083.258636222497</v>
      </c>
      <c r="U435" s="19">
        <v>0</v>
      </c>
      <c r="V435" s="21">
        <f t="shared" si="23"/>
        <v>157100.409353183</v>
      </c>
    </row>
    <row r="436" spans="1:22" x14ac:dyDescent="0.3">
      <c r="A436" s="3" t="s">
        <v>146</v>
      </c>
      <c r="B436" s="3">
        <v>7</v>
      </c>
      <c r="C436" s="4" t="s">
        <v>186</v>
      </c>
      <c r="D436" s="3" t="s">
        <v>199</v>
      </c>
      <c r="E436" s="3" t="s">
        <v>34</v>
      </c>
      <c r="F436" s="4" t="s">
        <v>43</v>
      </c>
      <c r="G436" s="3" t="s">
        <v>30</v>
      </c>
      <c r="H436" s="5">
        <v>673.85730000000001</v>
      </c>
      <c r="I436" s="5">
        <v>1.8283</v>
      </c>
      <c r="J436" s="5">
        <v>1.7965</v>
      </c>
      <c r="K436" s="6">
        <v>0.98260679319586497</v>
      </c>
      <c r="L436" s="5">
        <v>22.46</v>
      </c>
      <c r="M436" s="19">
        <f>H436*INDEX('Pliegos Tarifarios (Quilicura)'!$B:$B,MATCH($B436,'Pliegos Tarifarios (Quilicura)'!$A:$A,0))</f>
        <v>88789.459419899998</v>
      </c>
      <c r="N436" s="19">
        <f>I436*INDEX('Pliegos Tarifarios (Quilicura)'!$C:$C,MATCH($B436,'Pliegos Tarifarios (Quilicura)'!$A:$A,0))</f>
        <v>6230.1863837000001</v>
      </c>
      <c r="O436" s="19">
        <f>J436*INDEX('Pliegos Tarifarios (Quilicura)'!$D:$D,MATCH($B436,'Pliegos Tarifarios (Quilicura)'!$A:$A,0))</f>
        <v>26000.744500000001</v>
      </c>
      <c r="P436" s="19">
        <f>H436*INDEX('Pliegos Tarifarios (Quilicura)'!$E:$E,MATCH($B436,'Pliegos Tarifarios (Quilicura)'!$A:$A,0))</f>
        <v>8776.3174751999995</v>
      </c>
      <c r="Q436" s="19" cm="1">
        <f t="array" ref="Q436">H436*_xlfn.IFS(H436&lt;=350,INDEX('Pliegos Tarifarios (Quilicura)'!$F:$F,MATCH($B436,'Pliegos Tarifarios (Quilicura)'!$A:$A,0)),H436&lt;=500,INDEX('Pliegos Tarifarios (Quilicura)'!$G:$G,MATCH($B436,'Pliegos Tarifarios (Quilicura)'!$A:$A,0)),H436&lt;=1000,INDEX('Pliegos Tarifarios (Quilicura)'!$H:$H,MATCH($B436,'Pliegos Tarifarios (Quilicura)'!$A:$A,0)),H436&lt;=5000,INDEX('Pliegos Tarifarios (Quilicura)'!$I:$I,MATCH($B436,'Pliegos Tarifarios (Quilicura)'!$A:$A,0)),H436&gt;5000,INDEX('Pliegos Tarifarios (Quilicura)'!$J:$J,MATCH($B436,'Pliegos Tarifarios (Quilicura)'!$A:$A,0)))/1.19</f>
        <v>1580.4501884873953</v>
      </c>
      <c r="R436" s="19">
        <f>INDEX('Pliegos Tarifarios (Quilicura)'!$K:$K,MATCH($B436,'Pliegos Tarifarios (Quilicura)'!$A:$A,0))</f>
        <v>726.16</v>
      </c>
      <c r="S436" s="21">
        <f t="shared" si="21"/>
        <v>132103.31796728741</v>
      </c>
      <c r="T436" s="21">
        <f t="shared" si="22"/>
        <v>25099.630413784609</v>
      </c>
      <c r="U436" s="19">
        <v>0</v>
      </c>
      <c r="V436" s="21">
        <f t="shared" si="23"/>
        <v>157202.94838107203</v>
      </c>
    </row>
    <row r="437" spans="1:22" x14ac:dyDescent="0.3">
      <c r="A437" s="3" t="s">
        <v>146</v>
      </c>
      <c r="B437" s="3">
        <v>7</v>
      </c>
      <c r="C437" s="4" t="s">
        <v>186</v>
      </c>
      <c r="D437" s="3" t="s">
        <v>200</v>
      </c>
      <c r="E437" s="3" t="s">
        <v>34</v>
      </c>
      <c r="F437" s="4" t="s">
        <v>45</v>
      </c>
      <c r="G437" s="3" t="s">
        <v>30</v>
      </c>
      <c r="H437" s="5">
        <v>675.72400000000005</v>
      </c>
      <c r="I437" s="5">
        <v>1.8472</v>
      </c>
      <c r="J437" s="5">
        <v>1.7841</v>
      </c>
      <c r="K437" s="6">
        <v>0.96584019055868342</v>
      </c>
      <c r="L437" s="5">
        <v>22.52</v>
      </c>
      <c r="M437" s="19">
        <f>H437*INDEX('Pliegos Tarifarios (Quilicura)'!$B:$B,MATCH($B437,'Pliegos Tarifarios (Quilicura)'!$A:$A,0))</f>
        <v>89035.421412000011</v>
      </c>
      <c r="N437" s="19">
        <f>I437*INDEX('Pliegos Tarifarios (Quilicura)'!$C:$C,MATCH($B437,'Pliegos Tarifarios (Quilicura)'!$A:$A,0))</f>
        <v>6294.5907607999998</v>
      </c>
      <c r="O437" s="19">
        <f>J437*INDEX('Pliegos Tarifarios (Quilicura)'!$D:$D,MATCH($B437,'Pliegos Tarifarios (Quilicura)'!$A:$A,0))</f>
        <v>25821.279300000002</v>
      </c>
      <c r="P437" s="19">
        <f>H437*INDEX('Pliegos Tarifarios (Quilicura)'!$E:$E,MATCH($B437,'Pliegos Tarifarios (Quilicura)'!$A:$A,0))</f>
        <v>8800.6293760000008</v>
      </c>
      <c r="Q437" s="19" cm="1">
        <f t="array" ref="Q437">H437*_xlfn.IFS(H437&lt;=350,INDEX('Pliegos Tarifarios (Quilicura)'!$F:$F,MATCH($B437,'Pliegos Tarifarios (Quilicura)'!$A:$A,0)),H437&lt;=500,INDEX('Pliegos Tarifarios (Quilicura)'!$G:$G,MATCH($B437,'Pliegos Tarifarios (Quilicura)'!$A:$A,0)),H437&lt;=1000,INDEX('Pliegos Tarifarios (Quilicura)'!$H:$H,MATCH($B437,'Pliegos Tarifarios (Quilicura)'!$A:$A,0)),H437&lt;=5000,INDEX('Pliegos Tarifarios (Quilicura)'!$I:$I,MATCH($B437,'Pliegos Tarifarios (Quilicura)'!$A:$A,0)),H437&gt;5000,INDEX('Pliegos Tarifarios (Quilicura)'!$J:$J,MATCH($B437,'Pliegos Tarifarios (Quilicura)'!$A:$A,0)))/1.19</f>
        <v>1584.8283058823533</v>
      </c>
      <c r="R437" s="19">
        <f>INDEX('Pliegos Tarifarios (Quilicura)'!$K:$K,MATCH($B437,'Pliegos Tarifarios (Quilicura)'!$A:$A,0))</f>
        <v>726.16</v>
      </c>
      <c r="S437" s="21">
        <f t="shared" si="21"/>
        <v>132262.90915468236</v>
      </c>
      <c r="T437" s="21">
        <f t="shared" si="22"/>
        <v>25129.95273938965</v>
      </c>
      <c r="U437" s="19">
        <v>0</v>
      </c>
      <c r="V437" s="21">
        <f t="shared" si="23"/>
        <v>157392.861894072</v>
      </c>
    </row>
    <row r="438" spans="1:22" x14ac:dyDescent="0.3">
      <c r="A438" s="3" t="s">
        <v>146</v>
      </c>
      <c r="B438" s="3">
        <v>7</v>
      </c>
      <c r="C438" s="4" t="s">
        <v>186</v>
      </c>
      <c r="D438" s="3" t="s">
        <v>201</v>
      </c>
      <c r="E438" s="3" t="s">
        <v>47</v>
      </c>
      <c r="F438" s="4" t="s">
        <v>48</v>
      </c>
      <c r="G438" s="3" t="s">
        <v>30</v>
      </c>
      <c r="H438" s="5">
        <v>676.31020000000001</v>
      </c>
      <c r="I438" s="5">
        <v>1.8226</v>
      </c>
      <c r="J438" s="5">
        <v>1.7991999999999999</v>
      </c>
      <c r="K438" s="6">
        <v>0.98716119828815974</v>
      </c>
      <c r="L438" s="5">
        <v>22.54</v>
      </c>
      <c r="M438" s="19">
        <f>H438*INDEX('Pliegos Tarifarios (Quilicura)'!$B:$B,MATCH($B438,'Pliegos Tarifarios (Quilicura)'!$A:$A,0))</f>
        <v>89112.660882600001</v>
      </c>
      <c r="N438" s="19">
        <f>I438*INDEX('Pliegos Tarifarios (Quilicura)'!$C:$C,MATCH($B438,'Pliegos Tarifarios (Quilicura)'!$A:$A,0))</f>
        <v>6210.7628414000001</v>
      </c>
      <c r="O438" s="19">
        <f>J438*INDEX('Pliegos Tarifarios (Quilicura)'!$D:$D,MATCH($B438,'Pliegos Tarifarios (Quilicura)'!$A:$A,0))</f>
        <v>26039.821599999999</v>
      </c>
      <c r="P438" s="19">
        <f>H438*INDEX('Pliegos Tarifarios (Quilicura)'!$E:$E,MATCH($B438,'Pliegos Tarifarios (Quilicura)'!$A:$A,0))</f>
        <v>8808.2640448000002</v>
      </c>
      <c r="Q438" s="19" cm="1">
        <f t="array" ref="Q438">H438*_xlfn.IFS(H438&lt;=350,INDEX('Pliegos Tarifarios (Quilicura)'!$F:$F,MATCH($B438,'Pliegos Tarifarios (Quilicura)'!$A:$A,0)),H438&lt;=500,INDEX('Pliegos Tarifarios (Quilicura)'!$G:$G,MATCH($B438,'Pliegos Tarifarios (Quilicura)'!$A:$A,0)),H438&lt;=1000,INDEX('Pliegos Tarifarios (Quilicura)'!$H:$H,MATCH($B438,'Pliegos Tarifarios (Quilicura)'!$A:$A,0)),H438&lt;=5000,INDEX('Pliegos Tarifarios (Quilicura)'!$I:$I,MATCH($B438,'Pliegos Tarifarios (Quilicura)'!$A:$A,0)),H438&gt;5000,INDEX('Pliegos Tarifarios (Quilicura)'!$J:$J,MATCH($B438,'Pliegos Tarifarios (Quilicura)'!$A:$A,0)))/1.19</f>
        <v>1586.2031665546222</v>
      </c>
      <c r="R438" s="19">
        <f>INDEX('Pliegos Tarifarios (Quilicura)'!$K:$K,MATCH($B438,'Pliegos Tarifarios (Quilicura)'!$A:$A,0))</f>
        <v>726.16</v>
      </c>
      <c r="S438" s="21">
        <f t="shared" si="21"/>
        <v>132483.87253535463</v>
      </c>
      <c r="T438" s="21">
        <f t="shared" si="22"/>
        <v>25171.93578171738</v>
      </c>
      <c r="U438" s="19">
        <v>0</v>
      </c>
      <c r="V438" s="21">
        <f t="shared" si="23"/>
        <v>157655.80831707202</v>
      </c>
    </row>
    <row r="439" spans="1:22" x14ac:dyDescent="0.3">
      <c r="A439" s="3" t="s">
        <v>146</v>
      </c>
      <c r="B439" s="3">
        <v>7</v>
      </c>
      <c r="C439" s="4" t="s">
        <v>186</v>
      </c>
      <c r="D439" s="3" t="s">
        <v>202</v>
      </c>
      <c r="E439" s="3" t="s">
        <v>47</v>
      </c>
      <c r="F439" s="4" t="s">
        <v>50</v>
      </c>
      <c r="G439" s="3" t="s">
        <v>30</v>
      </c>
      <c r="H439" s="5">
        <v>675.82449999999994</v>
      </c>
      <c r="I439" s="5">
        <v>1.7962</v>
      </c>
      <c r="J439" s="5">
        <v>1.7608999999999999</v>
      </c>
      <c r="K439" s="6">
        <v>0.98034740006680765</v>
      </c>
      <c r="L439" s="5">
        <v>22.53</v>
      </c>
      <c r="M439" s="19">
        <f>H439*INDEX('Pliegos Tarifarios (Quilicura)'!$B:$B,MATCH($B439,'Pliegos Tarifarios (Quilicura)'!$A:$A,0))</f>
        <v>89048.663593499994</v>
      </c>
      <c r="N439" s="19">
        <f>I439*INDEX('Pliegos Tarifarios (Quilicura)'!$C:$C,MATCH($B439,'Pliegos Tarifarios (Quilicura)'!$A:$A,0))</f>
        <v>6120.8011718000007</v>
      </c>
      <c r="O439" s="19">
        <f>J439*INDEX('Pliegos Tarifarios (Quilicura)'!$D:$D,MATCH($B439,'Pliegos Tarifarios (Quilicura)'!$A:$A,0))</f>
        <v>25485.505699999998</v>
      </c>
      <c r="P439" s="19">
        <f>H439*INDEX('Pliegos Tarifarios (Quilicura)'!$E:$E,MATCH($B439,'Pliegos Tarifarios (Quilicura)'!$A:$A,0))</f>
        <v>8801.9382879999994</v>
      </c>
      <c r="Q439" s="19" cm="1">
        <f t="array" ref="Q439">H439*_xlfn.IFS(H439&lt;=350,INDEX('Pliegos Tarifarios (Quilicura)'!$F:$F,MATCH($B439,'Pliegos Tarifarios (Quilicura)'!$A:$A,0)),H439&lt;=500,INDEX('Pliegos Tarifarios (Quilicura)'!$G:$G,MATCH($B439,'Pliegos Tarifarios (Quilicura)'!$A:$A,0)),H439&lt;=1000,INDEX('Pliegos Tarifarios (Quilicura)'!$H:$H,MATCH($B439,'Pliegos Tarifarios (Quilicura)'!$A:$A,0)),H439&lt;=5000,INDEX('Pliegos Tarifarios (Quilicura)'!$I:$I,MATCH($B439,'Pliegos Tarifarios (Quilicura)'!$A:$A,0)),H439&gt;5000,INDEX('Pliegos Tarifarios (Quilicura)'!$J:$J,MATCH($B439,'Pliegos Tarifarios (Quilicura)'!$A:$A,0)))/1.19</f>
        <v>1585.0640163865548</v>
      </c>
      <c r="R439" s="19">
        <f>INDEX('Pliegos Tarifarios (Quilicura)'!$K:$K,MATCH($B439,'Pliegos Tarifarios (Quilicura)'!$A:$A,0))</f>
        <v>726.16</v>
      </c>
      <c r="S439" s="21">
        <f t="shared" si="21"/>
        <v>131768.13276968655</v>
      </c>
      <c r="T439" s="21">
        <f t="shared" si="22"/>
        <v>25035.945226240445</v>
      </c>
      <c r="U439" s="19">
        <v>0</v>
      </c>
      <c r="V439" s="21">
        <f t="shared" si="23"/>
        <v>156804.07799592699</v>
      </c>
    </row>
    <row r="440" spans="1:22" x14ac:dyDescent="0.3">
      <c r="A440" s="3" t="s">
        <v>146</v>
      </c>
      <c r="B440" s="3">
        <v>7</v>
      </c>
      <c r="C440" s="4" t="s">
        <v>186</v>
      </c>
      <c r="D440" s="3" t="s">
        <v>203</v>
      </c>
      <c r="E440" s="3" t="s">
        <v>52</v>
      </c>
      <c r="F440" s="4" t="s">
        <v>53</v>
      </c>
      <c r="G440" s="3" t="s">
        <v>30</v>
      </c>
      <c r="H440" s="5">
        <v>675.35069999999996</v>
      </c>
      <c r="I440" s="5">
        <v>1.7948</v>
      </c>
      <c r="J440" s="5">
        <v>1.7948</v>
      </c>
      <c r="K440" s="6">
        <v>1</v>
      </c>
      <c r="L440" s="5">
        <v>22.51</v>
      </c>
      <c r="M440" s="19">
        <f>H440*INDEX('Pliegos Tarifarios (Quilicura)'!$B:$B,MATCH($B440,'Pliegos Tarifarios (Quilicura)'!$A:$A,0))</f>
        <v>88986.234284099992</v>
      </c>
      <c r="N440" s="19">
        <f>I440*INDEX('Pliegos Tarifarios (Quilicura)'!$C:$C,MATCH($B440,'Pliegos Tarifarios (Quilicura)'!$A:$A,0))</f>
        <v>6116.0304772</v>
      </c>
      <c r="O440" s="19">
        <f>J440*INDEX('Pliegos Tarifarios (Quilicura)'!$D:$D,MATCH($B440,'Pliegos Tarifarios (Quilicura)'!$A:$A,0))</f>
        <v>25976.1404</v>
      </c>
      <c r="P440" s="19">
        <f>H440*INDEX('Pliegos Tarifarios (Quilicura)'!$E:$E,MATCH($B440,'Pliegos Tarifarios (Quilicura)'!$A:$A,0))</f>
        <v>8795.7675167999987</v>
      </c>
      <c r="Q440" s="19" cm="1">
        <f t="array" ref="Q440">H440*_xlfn.IFS(H440&lt;=350,INDEX('Pliegos Tarifarios (Quilicura)'!$F:$F,MATCH($B440,'Pliegos Tarifarios (Quilicura)'!$A:$A,0)),H440&lt;=500,INDEX('Pliegos Tarifarios (Quilicura)'!$G:$G,MATCH($B440,'Pliegos Tarifarios (Quilicura)'!$A:$A,0)),H440&lt;=1000,INDEX('Pliegos Tarifarios (Quilicura)'!$H:$H,MATCH($B440,'Pliegos Tarifarios (Quilicura)'!$A:$A,0)),H440&lt;=5000,INDEX('Pliegos Tarifarios (Quilicura)'!$I:$I,MATCH($B440,'Pliegos Tarifarios (Quilicura)'!$A:$A,0)),H440&gt;5000,INDEX('Pliegos Tarifarios (Quilicura)'!$J:$J,MATCH($B440,'Pliegos Tarifarios (Quilicura)'!$A:$A,0)))/1.19</f>
        <v>1583.9527762184878</v>
      </c>
      <c r="R440" s="19">
        <f>INDEX('Pliegos Tarifarios (Quilicura)'!$K:$K,MATCH($B440,'Pliegos Tarifarios (Quilicura)'!$A:$A,0))</f>
        <v>726.16</v>
      </c>
      <c r="S440" s="21">
        <f t="shared" si="21"/>
        <v>132184.28545431848</v>
      </c>
      <c r="T440" s="21">
        <f t="shared" si="22"/>
        <v>25115.014236320512</v>
      </c>
      <c r="U440" s="19">
        <v>0</v>
      </c>
      <c r="V440" s="21">
        <f t="shared" si="23"/>
        <v>157299.29969063899</v>
      </c>
    </row>
    <row r="441" spans="1:22" x14ac:dyDescent="0.3">
      <c r="A441" s="3" t="s">
        <v>146</v>
      </c>
      <c r="B441" s="3">
        <v>7</v>
      </c>
      <c r="C441" s="4" t="s">
        <v>186</v>
      </c>
      <c r="D441" s="3" t="s">
        <v>204</v>
      </c>
      <c r="E441" s="3" t="s">
        <v>55</v>
      </c>
      <c r="F441" s="4" t="s">
        <v>56</v>
      </c>
      <c r="G441" s="3" t="s">
        <v>30</v>
      </c>
      <c r="H441" s="5">
        <v>449.28070000000002</v>
      </c>
      <c r="I441" s="5">
        <v>1.2145999999999999</v>
      </c>
      <c r="J441" s="5">
        <v>1.1843999999999999</v>
      </c>
      <c r="K441" s="6">
        <v>0.97513584719249136</v>
      </c>
      <c r="L441" s="5">
        <v>14.98</v>
      </c>
      <c r="M441" s="19">
        <f>H441*INDEX('Pliegos Tarifarios (Quilicura)'!$B:$B,MATCH($B441,'Pliegos Tarifarios (Quilicura)'!$A:$A,0))</f>
        <v>59198.572874100006</v>
      </c>
      <c r="N441" s="19">
        <f>I441*INDEX('Pliegos Tarifarios (Quilicura)'!$C:$C,MATCH($B441,'Pliegos Tarifarios (Quilicura)'!$A:$A,0))</f>
        <v>4138.9183293999995</v>
      </c>
      <c r="O441" s="19">
        <f>J441*INDEX('Pliegos Tarifarios (Quilicura)'!$D:$D,MATCH($B441,'Pliegos Tarifarios (Quilicura)'!$A:$A,0))</f>
        <v>17141.821199999998</v>
      </c>
      <c r="P441" s="19">
        <f>H441*INDEX('Pliegos Tarifarios (Quilicura)'!$E:$E,MATCH($B441,'Pliegos Tarifarios (Quilicura)'!$A:$A,0))</f>
        <v>5851.4318368000004</v>
      </c>
      <c r="Q441" s="19" cm="1">
        <f t="array" ref="Q441">H441*_xlfn.IFS(H441&lt;=350,INDEX('Pliegos Tarifarios (Quilicura)'!$F:$F,MATCH($B441,'Pliegos Tarifarios (Quilicura)'!$A:$A,0)),H441&lt;=500,INDEX('Pliegos Tarifarios (Quilicura)'!$G:$G,MATCH($B441,'Pliegos Tarifarios (Quilicura)'!$A:$A,0)),H441&lt;=1000,INDEX('Pliegos Tarifarios (Quilicura)'!$H:$H,MATCH($B441,'Pliegos Tarifarios (Quilicura)'!$A:$A,0)),H441&lt;=5000,INDEX('Pliegos Tarifarios (Quilicura)'!$I:$I,MATCH($B441,'Pliegos Tarifarios (Quilicura)'!$A:$A,0)),H441&gt;5000,INDEX('Pliegos Tarifarios (Quilicura)'!$J:$J,MATCH($B441,'Pliegos Tarifarios (Quilicura)'!$A:$A,0)))/1.19</f>
        <v>632.76844806722693</v>
      </c>
      <c r="R441" s="19">
        <f>INDEX('Pliegos Tarifarios (Quilicura)'!$K:$K,MATCH($B441,'Pliegos Tarifarios (Quilicura)'!$A:$A,0))</f>
        <v>726.16</v>
      </c>
      <c r="S441" s="21">
        <f t="shared" si="21"/>
        <v>87689.672688367224</v>
      </c>
      <c r="T441" s="21">
        <f t="shared" si="22"/>
        <v>16661.037810789774</v>
      </c>
      <c r="U441" s="19">
        <v>0</v>
      </c>
      <c r="V441" s="21">
        <f t="shared" si="23"/>
        <v>104350.71049915699</v>
      </c>
    </row>
    <row r="442" spans="1:22" x14ac:dyDescent="0.3">
      <c r="A442" s="3" t="s">
        <v>146</v>
      </c>
      <c r="B442" s="3">
        <v>7</v>
      </c>
      <c r="C442" s="4" t="s">
        <v>186</v>
      </c>
      <c r="D442" s="3" t="s">
        <v>205</v>
      </c>
      <c r="E442" s="3" t="s">
        <v>58</v>
      </c>
      <c r="F442" s="4" t="s">
        <v>59</v>
      </c>
      <c r="G442" s="3" t="s">
        <v>30</v>
      </c>
      <c r="H442" s="5">
        <v>451.46859999999998</v>
      </c>
      <c r="I442" s="5">
        <v>1.2233000000000001</v>
      </c>
      <c r="J442" s="5">
        <v>1.2109000000000001</v>
      </c>
      <c r="K442" s="6">
        <v>0.98986348401863811</v>
      </c>
      <c r="L442" s="5">
        <v>15.05</v>
      </c>
      <c r="M442" s="19">
        <f>H442*INDEX('Pliegos Tarifarios (Quilicura)'!$B:$B,MATCH($B442,'Pliegos Tarifarios (Quilicura)'!$A:$A,0))</f>
        <v>59486.857141799999</v>
      </c>
      <c r="N442" s="19">
        <f>I442*INDEX('Pliegos Tarifarios (Quilicura)'!$C:$C,MATCH($B442,'Pliegos Tarifarios (Quilicura)'!$A:$A,0))</f>
        <v>4168.5647887000005</v>
      </c>
      <c r="O442" s="19">
        <f>J442*INDEX('Pliegos Tarifarios (Quilicura)'!$D:$D,MATCH($B442,'Pliegos Tarifarios (Quilicura)'!$A:$A,0))</f>
        <v>17525.3557</v>
      </c>
      <c r="P442" s="19">
        <f>H442*INDEX('Pliegos Tarifarios (Quilicura)'!$E:$E,MATCH($B442,'Pliegos Tarifarios (Quilicura)'!$A:$A,0))</f>
        <v>5879.9270463999992</v>
      </c>
      <c r="Q442" s="19" cm="1">
        <f t="array" ref="Q442">H442*_xlfn.IFS(H442&lt;=350,INDEX('Pliegos Tarifarios (Quilicura)'!$F:$F,MATCH($B442,'Pliegos Tarifarios (Quilicura)'!$A:$A,0)),H442&lt;=500,INDEX('Pliegos Tarifarios (Quilicura)'!$G:$G,MATCH($B442,'Pliegos Tarifarios (Quilicura)'!$A:$A,0)),H442&lt;=1000,INDEX('Pliegos Tarifarios (Quilicura)'!$H:$H,MATCH($B442,'Pliegos Tarifarios (Quilicura)'!$A:$A,0)),H442&lt;=5000,INDEX('Pliegos Tarifarios (Quilicura)'!$I:$I,MATCH($B442,'Pliegos Tarifarios (Quilicura)'!$A:$A,0)),H442&gt;5000,INDEX('Pliegos Tarifarios (Quilicura)'!$J:$J,MATCH($B442,'Pliegos Tarifarios (Quilicura)'!$A:$A,0)))/1.19</f>
        <v>635.84989378151272</v>
      </c>
      <c r="R442" s="19">
        <f>INDEX('Pliegos Tarifarios (Quilicura)'!$K:$K,MATCH($B442,'Pliegos Tarifarios (Quilicura)'!$A:$A,0))</f>
        <v>726.16</v>
      </c>
      <c r="S442" s="21">
        <f t="shared" si="21"/>
        <v>88422.714570681521</v>
      </c>
      <c r="T442" s="21">
        <f t="shared" si="22"/>
        <v>16800.315768429489</v>
      </c>
      <c r="U442" s="19">
        <v>0</v>
      </c>
      <c r="V442" s="21">
        <f t="shared" si="23"/>
        <v>105223.03033911101</v>
      </c>
    </row>
    <row r="443" spans="1:22" x14ac:dyDescent="0.3">
      <c r="A443" s="3" t="s">
        <v>146</v>
      </c>
      <c r="B443" s="3">
        <v>7</v>
      </c>
      <c r="C443" s="4" t="s">
        <v>186</v>
      </c>
      <c r="D443" s="3" t="s">
        <v>206</v>
      </c>
      <c r="E443" s="3" t="s">
        <v>61</v>
      </c>
      <c r="F443" s="4" t="s">
        <v>62</v>
      </c>
      <c r="G443" s="3" t="s">
        <v>30</v>
      </c>
      <c r="H443" s="5">
        <v>450.25229999999999</v>
      </c>
      <c r="I443" s="5">
        <v>1.2149000000000001</v>
      </c>
      <c r="J443" s="5">
        <v>1.2149000000000001</v>
      </c>
      <c r="K443" s="6">
        <v>1</v>
      </c>
      <c r="L443" s="5">
        <v>15.01</v>
      </c>
      <c r="M443" s="19">
        <f>H443*INDEX('Pliegos Tarifarios (Quilicura)'!$B:$B,MATCH($B443,'Pliegos Tarifarios (Quilicura)'!$A:$A,0))</f>
        <v>59326.593804900003</v>
      </c>
      <c r="N443" s="19">
        <f>I443*INDEX('Pliegos Tarifarios (Quilicura)'!$C:$C,MATCH($B443,'Pliegos Tarifarios (Quilicura)'!$A:$A,0))</f>
        <v>4139.9406211000005</v>
      </c>
      <c r="O443" s="19">
        <f>J443*INDEX('Pliegos Tarifarios (Quilicura)'!$D:$D,MATCH($B443,'Pliegos Tarifarios (Quilicura)'!$A:$A,0))</f>
        <v>17583.2477</v>
      </c>
      <c r="P443" s="19">
        <f>H443*INDEX('Pliegos Tarifarios (Quilicura)'!$E:$E,MATCH($B443,'Pliegos Tarifarios (Quilicura)'!$A:$A,0))</f>
        <v>5864.0859551999993</v>
      </c>
      <c r="Q443" s="19" cm="1">
        <f t="array" ref="Q443">H443*_xlfn.IFS(H443&lt;=350,INDEX('Pliegos Tarifarios (Quilicura)'!$F:$F,MATCH($B443,'Pliegos Tarifarios (Quilicura)'!$A:$A,0)),H443&lt;=500,INDEX('Pliegos Tarifarios (Quilicura)'!$G:$G,MATCH($B443,'Pliegos Tarifarios (Quilicura)'!$A:$A,0)),H443&lt;=1000,INDEX('Pliegos Tarifarios (Quilicura)'!$H:$H,MATCH($B443,'Pliegos Tarifarios (Quilicura)'!$A:$A,0)),H443&lt;=5000,INDEX('Pliegos Tarifarios (Quilicura)'!$I:$I,MATCH($B443,'Pliegos Tarifarios (Quilicura)'!$A:$A,0)),H443&gt;5000,INDEX('Pliegos Tarifarios (Quilicura)'!$J:$J,MATCH($B443,'Pliegos Tarifarios (Quilicura)'!$A:$A,0)))/1.19</f>
        <v>634.13685277310924</v>
      </c>
      <c r="R443" s="19">
        <f>INDEX('Pliegos Tarifarios (Quilicura)'!$K:$K,MATCH($B443,'Pliegos Tarifarios (Quilicura)'!$A:$A,0))</f>
        <v>726.16</v>
      </c>
      <c r="S443" s="21">
        <f t="shared" si="21"/>
        <v>88274.164933973123</v>
      </c>
      <c r="T443" s="21">
        <f t="shared" si="22"/>
        <v>16772.091337454895</v>
      </c>
      <c r="U443" s="19">
        <v>0</v>
      </c>
      <c r="V443" s="21">
        <f t="shared" si="23"/>
        <v>105046.25627142802</v>
      </c>
    </row>
    <row r="444" spans="1:22" x14ac:dyDescent="0.3">
      <c r="A444" s="3" t="s">
        <v>146</v>
      </c>
      <c r="B444" s="3">
        <v>7</v>
      </c>
      <c r="C444" s="4" t="s">
        <v>186</v>
      </c>
      <c r="D444" s="3" t="s">
        <v>207</v>
      </c>
      <c r="E444" s="3" t="s">
        <v>34</v>
      </c>
      <c r="F444" s="4" t="s">
        <v>64</v>
      </c>
      <c r="G444" s="3" t="s">
        <v>30</v>
      </c>
      <c r="H444" s="5">
        <v>901.67790000000002</v>
      </c>
      <c r="I444" s="5">
        <v>2.4115000000000002</v>
      </c>
      <c r="J444" s="5">
        <v>2.3759000000000001</v>
      </c>
      <c r="K444" s="6">
        <v>0.98523740410532856</v>
      </c>
      <c r="L444" s="5">
        <v>30.06</v>
      </c>
      <c r="M444" s="19">
        <f>H444*INDEX('Pliegos Tarifarios (Quilicura)'!$B:$B,MATCH($B444,'Pliegos Tarifarios (Quilicura)'!$A:$A,0))</f>
        <v>118807.7851377</v>
      </c>
      <c r="N444" s="19">
        <f>I444*INDEX('Pliegos Tarifarios (Quilicura)'!$C:$C,MATCH($B444,'Pliegos Tarifarios (Quilicura)'!$A:$A,0))</f>
        <v>8217.5214485000015</v>
      </c>
      <c r="O444" s="19">
        <f>J444*INDEX('Pliegos Tarifarios (Quilicura)'!$D:$D,MATCH($B444,'Pliegos Tarifarios (Quilicura)'!$A:$A,0))</f>
        <v>34386.400699999998</v>
      </c>
      <c r="P444" s="19">
        <f>H444*INDEX('Pliegos Tarifarios (Quilicura)'!$E:$E,MATCH($B444,'Pliegos Tarifarios (Quilicura)'!$A:$A,0))</f>
        <v>11743.452969599999</v>
      </c>
      <c r="Q444" s="19" cm="1">
        <f t="array" ref="Q444">H444*_xlfn.IFS(H444&lt;=350,INDEX('Pliegos Tarifarios (Quilicura)'!$F:$F,MATCH($B444,'Pliegos Tarifarios (Quilicura)'!$A:$A,0)),H444&lt;=500,INDEX('Pliegos Tarifarios (Quilicura)'!$G:$G,MATCH($B444,'Pliegos Tarifarios (Quilicura)'!$A:$A,0)),H444&lt;=1000,INDEX('Pliegos Tarifarios (Quilicura)'!$H:$H,MATCH($B444,'Pliegos Tarifarios (Quilicura)'!$A:$A,0)),H444&lt;=5000,INDEX('Pliegos Tarifarios (Quilicura)'!$I:$I,MATCH($B444,'Pliegos Tarifarios (Quilicura)'!$A:$A,0)),H444&gt;5000,INDEX('Pliegos Tarifarios (Quilicura)'!$J:$J,MATCH($B444,'Pliegos Tarifarios (Quilicura)'!$A:$A,0)))/1.19</f>
        <v>2114.7756461344543</v>
      </c>
      <c r="R444" s="19">
        <f>INDEX('Pliegos Tarifarios (Quilicura)'!$K:$K,MATCH($B444,'Pliegos Tarifarios (Quilicura)'!$A:$A,0))</f>
        <v>726.16</v>
      </c>
      <c r="S444" s="21">
        <f t="shared" si="21"/>
        <v>175996.09590193449</v>
      </c>
      <c r="T444" s="21">
        <f t="shared" si="22"/>
        <v>33439.258221367556</v>
      </c>
      <c r="U444" s="19">
        <v>0</v>
      </c>
      <c r="V444" s="21">
        <f t="shared" si="23"/>
        <v>209435.35412330204</v>
      </c>
    </row>
    <row r="445" spans="1:22" x14ac:dyDescent="0.3">
      <c r="A445" s="3" t="s">
        <v>146</v>
      </c>
      <c r="B445" s="3">
        <v>7</v>
      </c>
      <c r="C445" s="4" t="s">
        <v>186</v>
      </c>
      <c r="D445" s="3" t="s">
        <v>208</v>
      </c>
      <c r="E445" s="3" t="s">
        <v>34</v>
      </c>
      <c r="F445" s="4" t="s">
        <v>66</v>
      </c>
      <c r="G445" s="3" t="s">
        <v>30</v>
      </c>
      <c r="H445" s="5">
        <v>898.15480000000002</v>
      </c>
      <c r="I445" s="5">
        <v>2.4548999999999999</v>
      </c>
      <c r="J445" s="5">
        <v>2.4325000000000001</v>
      </c>
      <c r="K445" s="6">
        <v>0.99087539207299702</v>
      </c>
      <c r="L445" s="5">
        <v>29.94</v>
      </c>
      <c r="M445" s="19">
        <f>H445*INDEX('Pliegos Tarifarios (Quilicura)'!$B:$B,MATCH($B445,'Pliegos Tarifarios (Quilicura)'!$A:$A,0))</f>
        <v>118343.57091240001</v>
      </c>
      <c r="N445" s="19">
        <f>I445*INDEX('Pliegos Tarifarios (Quilicura)'!$C:$C,MATCH($B445,'Pliegos Tarifarios (Quilicura)'!$A:$A,0))</f>
        <v>8365.4129811000003</v>
      </c>
      <c r="O445" s="19">
        <f>J445*INDEX('Pliegos Tarifarios (Quilicura)'!$D:$D,MATCH($B445,'Pliegos Tarifarios (Quilicura)'!$A:$A,0))</f>
        <v>35205.572500000002</v>
      </c>
      <c r="P445" s="19">
        <f>H445*INDEX('Pliegos Tarifarios (Quilicura)'!$E:$E,MATCH($B445,'Pliegos Tarifarios (Quilicura)'!$A:$A,0))</f>
        <v>11697.5681152</v>
      </c>
      <c r="Q445" s="19" cm="1">
        <f t="array" ref="Q445">H445*_xlfn.IFS(H445&lt;=350,INDEX('Pliegos Tarifarios (Quilicura)'!$F:$F,MATCH($B445,'Pliegos Tarifarios (Quilicura)'!$A:$A,0)),H445&lt;=500,INDEX('Pliegos Tarifarios (Quilicura)'!$G:$G,MATCH($B445,'Pliegos Tarifarios (Quilicura)'!$A:$A,0)),H445&lt;=1000,INDEX('Pliegos Tarifarios (Quilicura)'!$H:$H,MATCH($B445,'Pliegos Tarifarios (Quilicura)'!$A:$A,0)),H445&lt;=5000,INDEX('Pliegos Tarifarios (Quilicura)'!$I:$I,MATCH($B445,'Pliegos Tarifarios (Quilicura)'!$A:$A,0)),H445&gt;5000,INDEX('Pliegos Tarifarios (Quilicura)'!$J:$J,MATCH($B445,'Pliegos Tarifarios (Quilicura)'!$A:$A,0)))/1.19</f>
        <v>2106.5126443697482</v>
      </c>
      <c r="R445" s="19">
        <f>INDEX('Pliegos Tarifarios (Quilicura)'!$K:$K,MATCH($B445,'Pliegos Tarifarios (Quilicura)'!$A:$A,0))</f>
        <v>726.16</v>
      </c>
      <c r="S445" s="21">
        <f t="shared" si="21"/>
        <v>176444.79715306975</v>
      </c>
      <c r="T445" s="21">
        <f t="shared" si="22"/>
        <v>33524.511459083253</v>
      </c>
      <c r="U445" s="19">
        <v>0</v>
      </c>
      <c r="V445" s="21">
        <f t="shared" si="23"/>
        <v>209969.30861215299</v>
      </c>
    </row>
    <row r="446" spans="1:22" x14ac:dyDescent="0.3">
      <c r="A446" s="3" t="s">
        <v>146</v>
      </c>
      <c r="B446" s="3">
        <v>7</v>
      </c>
      <c r="C446" s="4" t="s">
        <v>186</v>
      </c>
      <c r="D446" s="3" t="s">
        <v>209</v>
      </c>
      <c r="E446" s="3" t="s">
        <v>34</v>
      </c>
      <c r="F446" s="4" t="s">
        <v>68</v>
      </c>
      <c r="G446" s="3" t="s">
        <v>30</v>
      </c>
      <c r="H446" s="5">
        <v>900.01310000000001</v>
      </c>
      <c r="I446" s="5">
        <v>2.4537</v>
      </c>
      <c r="J446" s="5">
        <v>2.3908</v>
      </c>
      <c r="K446" s="6">
        <v>0.97436524432489713</v>
      </c>
      <c r="L446" s="5">
        <v>30</v>
      </c>
      <c r="M446" s="19">
        <f>H446*INDEX('Pliegos Tarifarios (Quilicura)'!$B:$B,MATCH($B446,'Pliegos Tarifarios (Quilicura)'!$A:$A,0))</f>
        <v>118588.4260953</v>
      </c>
      <c r="N446" s="19">
        <f>I446*INDEX('Pliegos Tarifarios (Quilicura)'!$C:$C,MATCH($B446,'Pliegos Tarifarios (Quilicura)'!$A:$A,0))</f>
        <v>8361.3238142999999</v>
      </c>
      <c r="O446" s="19">
        <f>J446*INDEX('Pliegos Tarifarios (Quilicura)'!$D:$D,MATCH($B446,'Pliegos Tarifarios (Quilicura)'!$A:$A,0))</f>
        <v>34602.0484</v>
      </c>
      <c r="P446" s="19">
        <f>H446*INDEX('Pliegos Tarifarios (Quilicura)'!$E:$E,MATCH($B446,'Pliegos Tarifarios (Quilicura)'!$A:$A,0))</f>
        <v>11721.770614399999</v>
      </c>
      <c r="Q446" s="19" cm="1">
        <f t="array" ref="Q446">H446*_xlfn.IFS(H446&lt;=350,INDEX('Pliegos Tarifarios (Quilicura)'!$F:$F,MATCH($B446,'Pliegos Tarifarios (Quilicura)'!$A:$A,0)),H446&lt;=500,INDEX('Pliegos Tarifarios (Quilicura)'!$G:$G,MATCH($B446,'Pliegos Tarifarios (Quilicura)'!$A:$A,0)),H446&lt;=1000,INDEX('Pliegos Tarifarios (Quilicura)'!$H:$H,MATCH($B446,'Pliegos Tarifarios (Quilicura)'!$A:$A,0)),H446&lt;=5000,INDEX('Pliegos Tarifarios (Quilicura)'!$I:$I,MATCH($B446,'Pliegos Tarifarios (Quilicura)'!$A:$A,0)),H446&gt;5000,INDEX('Pliegos Tarifarios (Quilicura)'!$J:$J,MATCH($B446,'Pliegos Tarifarios (Quilicura)'!$A:$A,0)))/1.19</f>
        <v>2110.8710605882357</v>
      </c>
      <c r="R446" s="19">
        <f>INDEX('Pliegos Tarifarios (Quilicura)'!$K:$K,MATCH($B446,'Pliegos Tarifarios (Quilicura)'!$A:$A,0))</f>
        <v>726.16</v>
      </c>
      <c r="S446" s="21">
        <f t="shared" si="21"/>
        <v>176110.59998458825</v>
      </c>
      <c r="T446" s="21">
        <f t="shared" si="22"/>
        <v>33461.013997071765</v>
      </c>
      <c r="U446" s="19">
        <v>0</v>
      </c>
      <c r="V446" s="21">
        <f t="shared" si="23"/>
        <v>209571.61398166002</v>
      </c>
    </row>
    <row r="447" spans="1:22" x14ac:dyDescent="0.3">
      <c r="A447" s="3" t="s">
        <v>146</v>
      </c>
      <c r="B447" s="3">
        <v>7</v>
      </c>
      <c r="C447" s="4" t="s">
        <v>186</v>
      </c>
      <c r="D447" s="3" t="s">
        <v>210</v>
      </c>
      <c r="E447" s="3" t="s">
        <v>70</v>
      </c>
      <c r="F447" s="4" t="s">
        <v>71</v>
      </c>
      <c r="G447" s="3" t="s">
        <v>30</v>
      </c>
      <c r="H447" s="5">
        <v>1123.7380000000001</v>
      </c>
      <c r="I447" s="5">
        <v>3.0198999999999998</v>
      </c>
      <c r="J447" s="5">
        <v>2.9565999999999999</v>
      </c>
      <c r="K447" s="6">
        <v>0.97903904102784867</v>
      </c>
      <c r="L447" s="5">
        <v>37.46</v>
      </c>
      <c r="M447" s="19">
        <f>H447*INDEX('Pliegos Tarifarios (Quilicura)'!$B:$B,MATCH($B447,'Pliegos Tarifarios (Quilicura)'!$A:$A,0))</f>
        <v>148067.09009400001</v>
      </c>
      <c r="N447" s="19">
        <f>I447*INDEX('Pliegos Tarifarios (Quilicura)'!$C:$C,MATCH($B447,'Pliegos Tarifarios (Quilicura)'!$A:$A,0))</f>
        <v>10290.7290161</v>
      </c>
      <c r="O447" s="19">
        <f>J447*INDEX('Pliegos Tarifarios (Quilicura)'!$D:$D,MATCH($B447,'Pliegos Tarifarios (Quilicura)'!$A:$A,0))</f>
        <v>42790.871800000001</v>
      </c>
      <c r="P447" s="19">
        <f>H447*INDEX('Pliegos Tarifarios (Quilicura)'!$E:$E,MATCH($B447,'Pliegos Tarifarios (Quilicura)'!$A:$A,0))</f>
        <v>14635.563711999999</v>
      </c>
      <c r="Q447" s="19" cm="1">
        <f t="array" ref="Q447">H447*_xlfn.IFS(H447&lt;=350,INDEX('Pliegos Tarifarios (Quilicura)'!$F:$F,MATCH($B447,'Pliegos Tarifarios (Quilicura)'!$A:$A,0)),H447&lt;=500,INDEX('Pliegos Tarifarios (Quilicura)'!$G:$G,MATCH($B447,'Pliegos Tarifarios (Quilicura)'!$A:$A,0)),H447&lt;=1000,INDEX('Pliegos Tarifarios (Quilicura)'!$H:$H,MATCH($B447,'Pliegos Tarifarios (Quilicura)'!$A:$A,0)),H447&lt;=5000,INDEX('Pliegos Tarifarios (Quilicura)'!$I:$I,MATCH($B447,'Pliegos Tarifarios (Quilicura)'!$A:$A,0)),H447&gt;5000,INDEX('Pliegos Tarifarios (Quilicura)'!$J:$J,MATCH($B447,'Pliegos Tarifarios (Quilicura)'!$A:$A,0)))/1.19</f>
        <v>3372.158317647059</v>
      </c>
      <c r="R447" s="19">
        <f>INDEX('Pliegos Tarifarios (Quilicura)'!$K:$K,MATCH($B447,'Pliegos Tarifarios (Quilicura)'!$A:$A,0))</f>
        <v>726.16</v>
      </c>
      <c r="S447" s="21">
        <f t="shared" si="21"/>
        <v>219882.57293974707</v>
      </c>
      <c r="T447" s="21">
        <f t="shared" si="22"/>
        <v>41777.688858551941</v>
      </c>
      <c r="U447" s="19">
        <v>0</v>
      </c>
      <c r="V447" s="21">
        <f t="shared" si="23"/>
        <v>261660.26179829901</v>
      </c>
    </row>
    <row r="448" spans="1:22" x14ac:dyDescent="0.3">
      <c r="A448" s="3" t="s">
        <v>146</v>
      </c>
      <c r="B448" s="3">
        <v>7</v>
      </c>
      <c r="C448" s="4" t="s">
        <v>186</v>
      </c>
      <c r="D448" s="3" t="s">
        <v>211</v>
      </c>
      <c r="E448" s="3" t="s">
        <v>73</v>
      </c>
      <c r="F448" s="4" t="s">
        <v>74</v>
      </c>
      <c r="G448" s="3" t="s">
        <v>16</v>
      </c>
      <c r="H448" s="5">
        <v>1801.8018999999999</v>
      </c>
      <c r="I448" s="5">
        <v>4.8914</v>
      </c>
      <c r="J448" s="5">
        <v>4.8673000000000002</v>
      </c>
      <c r="K448" s="6">
        <v>0.9950729852393998</v>
      </c>
      <c r="L448" s="5">
        <v>60.06</v>
      </c>
      <c r="M448" s="19">
        <f>H448*INDEX('Pliegos Tarifarios (Quilicura)'!$B:$B,MATCH($B448,'Pliegos Tarifarios (Quilicura)'!$A:$A,0))</f>
        <v>237410.82374970001</v>
      </c>
      <c r="N448" s="19">
        <f>I448*INDEX('Pliegos Tarifarios (Quilicura)'!$C:$C,MATCH($B448,'Pliegos Tarifarios (Quilicura)'!$A:$A,0))</f>
        <v>16668.125404599999</v>
      </c>
      <c r="O448" s="19">
        <f>J448*INDEX('Pliegos Tarifarios (Quilicura)'!$D:$D,MATCH($B448,'Pliegos Tarifarios (Quilicura)'!$A:$A,0))</f>
        <v>70444.4329</v>
      </c>
      <c r="P448" s="19">
        <f>H448*INDEX('Pliegos Tarifarios (Quilicura)'!$E:$E,MATCH($B448,'Pliegos Tarifarios (Quilicura)'!$A:$A,0))</f>
        <v>23466.667945599998</v>
      </c>
      <c r="Q448" s="19" cm="1">
        <f t="array" ref="Q448">H448*_xlfn.IFS(H448&lt;=350,INDEX('Pliegos Tarifarios (Quilicura)'!$F:$F,MATCH($B448,'Pliegos Tarifarios (Quilicura)'!$A:$A,0)),H448&lt;=500,INDEX('Pliegos Tarifarios (Quilicura)'!$G:$G,MATCH($B448,'Pliegos Tarifarios (Quilicura)'!$A:$A,0)),H448&lt;=1000,INDEX('Pliegos Tarifarios (Quilicura)'!$H:$H,MATCH($B448,'Pliegos Tarifarios (Quilicura)'!$A:$A,0)),H448&lt;=5000,INDEX('Pliegos Tarifarios (Quilicura)'!$I:$I,MATCH($B448,'Pliegos Tarifarios (Quilicura)'!$A:$A,0)),H448&gt;5000,INDEX('Pliegos Tarifarios (Quilicura)'!$J:$J,MATCH($B448,'Pliegos Tarifarios (Quilicura)'!$A:$A,0)))/1.19</f>
        <v>5406.919819243697</v>
      </c>
      <c r="R448" s="19">
        <f>INDEX('Pliegos Tarifarios (Quilicura)'!$K:$K,MATCH($B448,'Pliegos Tarifarios (Quilicura)'!$A:$A,0))</f>
        <v>726.16</v>
      </c>
      <c r="S448" s="21">
        <f t="shared" si="21"/>
        <v>354123.12981914368</v>
      </c>
      <c r="T448" s="21">
        <f t="shared" si="22"/>
        <v>67283.394665637301</v>
      </c>
      <c r="U448" s="19">
        <v>0</v>
      </c>
      <c r="V448" s="21">
        <f t="shared" si="23"/>
        <v>421406.52448478097</v>
      </c>
    </row>
    <row r="449" spans="1:22" x14ac:dyDescent="0.3">
      <c r="A449" s="3" t="s">
        <v>146</v>
      </c>
      <c r="B449" s="3">
        <v>7</v>
      </c>
      <c r="C449" s="4" t="s">
        <v>186</v>
      </c>
      <c r="D449" s="3" t="s">
        <v>212</v>
      </c>
      <c r="E449" s="3" t="s">
        <v>73</v>
      </c>
      <c r="F449" s="4" t="s">
        <v>76</v>
      </c>
      <c r="G449" s="3" t="s">
        <v>16</v>
      </c>
      <c r="H449" s="5">
        <v>1348.6704</v>
      </c>
      <c r="I449" s="5">
        <v>3.6865999999999999</v>
      </c>
      <c r="J449" s="5">
        <v>3.6865999999999999</v>
      </c>
      <c r="K449" s="6">
        <v>1</v>
      </c>
      <c r="L449" s="5">
        <v>44.96</v>
      </c>
      <c r="M449" s="19">
        <f>H449*INDEX('Pliegos Tarifarios (Quilicura)'!$B:$B,MATCH($B449,'Pliegos Tarifarios (Quilicura)'!$A:$A,0))</f>
        <v>177704.8579152</v>
      </c>
      <c r="N449" s="19">
        <f>I449*INDEX('Pliegos Tarifarios (Quilicura)'!$C:$C,MATCH($B449,'Pliegos Tarifarios (Quilicura)'!$A:$A,0))</f>
        <v>12562.601937400001</v>
      </c>
      <c r="O449" s="19">
        <f>J449*INDEX('Pliegos Tarifarios (Quilicura)'!$D:$D,MATCH($B449,'Pliegos Tarifarios (Quilicura)'!$A:$A,0))</f>
        <v>53356.161800000002</v>
      </c>
      <c r="P449" s="19">
        <f>H449*INDEX('Pliegos Tarifarios (Quilicura)'!$E:$E,MATCH($B449,'Pliegos Tarifarios (Quilicura)'!$A:$A,0))</f>
        <v>17565.083289599999</v>
      </c>
      <c r="Q449" s="19" cm="1">
        <f t="array" ref="Q449">H449*_xlfn.IFS(H449&lt;=350,INDEX('Pliegos Tarifarios (Quilicura)'!$F:$F,MATCH($B449,'Pliegos Tarifarios (Quilicura)'!$A:$A,0)),H449&lt;=500,INDEX('Pliegos Tarifarios (Quilicura)'!$G:$G,MATCH($B449,'Pliegos Tarifarios (Quilicura)'!$A:$A,0)),H449&lt;=1000,INDEX('Pliegos Tarifarios (Quilicura)'!$H:$H,MATCH($B449,'Pliegos Tarifarios (Quilicura)'!$A:$A,0)),H449&lt;=5000,INDEX('Pliegos Tarifarios (Quilicura)'!$I:$I,MATCH($B449,'Pliegos Tarifarios (Quilicura)'!$A:$A,0)),H449&gt;5000,INDEX('Pliegos Tarifarios (Quilicura)'!$J:$J,MATCH($B449,'Pliegos Tarifarios (Quilicura)'!$A:$A,0)))/1.19</f>
        <v>4047.1445364705878</v>
      </c>
      <c r="R449" s="19">
        <f>INDEX('Pliegos Tarifarios (Quilicura)'!$K:$K,MATCH($B449,'Pliegos Tarifarios (Quilicura)'!$A:$A,0))</f>
        <v>726.16</v>
      </c>
      <c r="S449" s="21">
        <f t="shared" si="21"/>
        <v>265962.0094786706</v>
      </c>
      <c r="T449" s="21">
        <f t="shared" si="22"/>
        <v>50532.781800947414</v>
      </c>
      <c r="U449" s="19">
        <v>0</v>
      </c>
      <c r="V449" s="21">
        <f t="shared" si="23"/>
        <v>316494.79127961805</v>
      </c>
    </row>
    <row r="450" spans="1:22" x14ac:dyDescent="0.3">
      <c r="A450" s="3" t="s">
        <v>146</v>
      </c>
      <c r="B450" s="3">
        <v>7</v>
      </c>
      <c r="C450" s="4" t="s">
        <v>186</v>
      </c>
      <c r="D450" s="3" t="s">
        <v>213</v>
      </c>
      <c r="E450" s="3" t="s">
        <v>78</v>
      </c>
      <c r="F450" s="4" t="s">
        <v>79</v>
      </c>
      <c r="G450" s="3" t="s">
        <v>16</v>
      </c>
      <c r="H450" s="5">
        <v>1126.8751</v>
      </c>
      <c r="I450" s="5">
        <v>3.0878999999999999</v>
      </c>
      <c r="J450" s="5">
        <v>3.0878999999999999</v>
      </c>
      <c r="K450" s="6">
        <v>1</v>
      </c>
      <c r="L450" s="5">
        <v>37.56</v>
      </c>
      <c r="M450" s="19">
        <f>H450*INDEX('Pliegos Tarifarios (Quilicura)'!$B:$B,MATCH($B450,'Pliegos Tarifarios (Quilicura)'!$A:$A,0))</f>
        <v>148480.44380129999</v>
      </c>
      <c r="N450" s="19">
        <f>I450*INDEX('Pliegos Tarifarios (Quilicura)'!$C:$C,MATCH($B450,'Pliegos Tarifarios (Quilicura)'!$A:$A,0))</f>
        <v>10522.448468099999</v>
      </c>
      <c r="O450" s="19">
        <f>J450*INDEX('Pliegos Tarifarios (Quilicura)'!$D:$D,MATCH($B450,'Pliegos Tarifarios (Quilicura)'!$A:$A,0))</f>
        <v>44691.176699999996</v>
      </c>
      <c r="P450" s="19">
        <f>H450*INDEX('Pliegos Tarifarios (Quilicura)'!$E:$E,MATCH($B450,'Pliegos Tarifarios (Quilicura)'!$A:$A,0))</f>
        <v>14676.421302399998</v>
      </c>
      <c r="Q450" s="19" cm="1">
        <f t="array" ref="Q450">H450*_xlfn.IFS(H450&lt;=350,INDEX('Pliegos Tarifarios (Quilicura)'!$F:$F,MATCH($B450,'Pliegos Tarifarios (Quilicura)'!$A:$A,0)),H450&lt;=500,INDEX('Pliegos Tarifarios (Quilicura)'!$G:$G,MATCH($B450,'Pliegos Tarifarios (Quilicura)'!$A:$A,0)),H450&lt;=1000,INDEX('Pliegos Tarifarios (Quilicura)'!$H:$H,MATCH($B450,'Pliegos Tarifarios (Quilicura)'!$A:$A,0)),H450&lt;=5000,INDEX('Pliegos Tarifarios (Quilicura)'!$I:$I,MATCH($B450,'Pliegos Tarifarios (Quilicura)'!$A:$A,0)),H450&gt;5000,INDEX('Pliegos Tarifarios (Quilicura)'!$J:$J,MATCH($B450,'Pliegos Tarifarios (Quilicura)'!$A:$A,0)))/1.19</f>
        <v>3381.5722538655459</v>
      </c>
      <c r="R450" s="19">
        <f>INDEX('Pliegos Tarifarios (Quilicura)'!$K:$K,MATCH($B450,'Pliegos Tarifarios (Quilicura)'!$A:$A,0))</f>
        <v>726.16</v>
      </c>
      <c r="S450" s="21">
        <f t="shared" si="21"/>
        <v>222478.22252566551</v>
      </c>
      <c r="T450" s="21">
        <f t="shared" si="22"/>
        <v>42270.862279876448</v>
      </c>
      <c r="U450" s="19">
        <v>0</v>
      </c>
      <c r="V450" s="21">
        <f t="shared" si="23"/>
        <v>264749.08480554196</v>
      </c>
    </row>
    <row r="451" spans="1:22" x14ac:dyDescent="0.3">
      <c r="A451" s="3" t="s">
        <v>146</v>
      </c>
      <c r="B451" s="3">
        <v>7</v>
      </c>
      <c r="C451" s="4" t="s">
        <v>186</v>
      </c>
      <c r="D451" s="3" t="s">
        <v>214</v>
      </c>
      <c r="E451" s="3" t="s">
        <v>78</v>
      </c>
      <c r="F451" s="4" t="s">
        <v>81</v>
      </c>
      <c r="G451" s="3" t="s">
        <v>16</v>
      </c>
      <c r="H451" s="5">
        <v>748.46090000000004</v>
      </c>
      <c r="I451" s="5">
        <v>2.0354999999999999</v>
      </c>
      <c r="J451" s="5">
        <v>2.0354999999999999</v>
      </c>
      <c r="K451" s="6">
        <v>1</v>
      </c>
      <c r="L451" s="5">
        <v>24.95</v>
      </c>
      <c r="M451" s="19">
        <f>H451*INDEX('Pliegos Tarifarios (Quilicura)'!$B:$B,MATCH($B451,'Pliegos Tarifarios (Quilicura)'!$A:$A,0))</f>
        <v>98619.453566700002</v>
      </c>
      <c r="N451" s="19">
        <f>I451*INDEX('Pliegos Tarifarios (Quilicura)'!$C:$C,MATCH($B451,'Pliegos Tarifarios (Quilicura)'!$A:$A,0))</f>
        <v>6936.2491844999995</v>
      </c>
      <c r="O451" s="19">
        <f>J451*INDEX('Pliegos Tarifarios (Quilicura)'!$D:$D,MATCH($B451,'Pliegos Tarifarios (Quilicura)'!$A:$A,0))</f>
        <v>29459.791499999999</v>
      </c>
      <c r="P451" s="19">
        <f>H451*INDEX('Pliegos Tarifarios (Quilicura)'!$E:$E,MATCH($B451,'Pliegos Tarifarios (Quilicura)'!$A:$A,0))</f>
        <v>9747.9547616</v>
      </c>
      <c r="Q451" s="19" cm="1">
        <f t="array" ref="Q451">H451*_xlfn.IFS(H451&lt;=350,INDEX('Pliegos Tarifarios (Quilicura)'!$F:$F,MATCH($B451,'Pliegos Tarifarios (Quilicura)'!$A:$A,0)),H451&lt;=500,INDEX('Pliegos Tarifarios (Quilicura)'!$G:$G,MATCH($B451,'Pliegos Tarifarios (Quilicura)'!$A:$A,0)),H451&lt;=1000,INDEX('Pliegos Tarifarios (Quilicura)'!$H:$H,MATCH($B451,'Pliegos Tarifarios (Quilicura)'!$A:$A,0)),H451&lt;=5000,INDEX('Pliegos Tarifarios (Quilicura)'!$I:$I,MATCH($B451,'Pliegos Tarifarios (Quilicura)'!$A:$A,0)),H451&gt;5000,INDEX('Pliegos Tarifarios (Quilicura)'!$J:$J,MATCH($B451,'Pliegos Tarifarios (Quilicura)'!$A:$A,0)))/1.19</f>
        <v>1755.4238419327735</v>
      </c>
      <c r="R451" s="19">
        <f>INDEX('Pliegos Tarifarios (Quilicura)'!$K:$K,MATCH($B451,'Pliegos Tarifarios (Quilicura)'!$A:$A,0))</f>
        <v>726.16</v>
      </c>
      <c r="S451" s="21">
        <f t="shared" si="21"/>
        <v>147245.03285473277</v>
      </c>
      <c r="T451" s="21">
        <f t="shared" si="22"/>
        <v>27976.556242399227</v>
      </c>
      <c r="U451" s="19">
        <v>0</v>
      </c>
      <c r="V451" s="21">
        <f t="shared" si="23"/>
        <v>175221.589097132</v>
      </c>
    </row>
    <row r="452" spans="1:22" x14ac:dyDescent="0.3">
      <c r="A452" s="3" t="s">
        <v>146</v>
      </c>
      <c r="B452" s="3">
        <v>7</v>
      </c>
      <c r="C452" s="4" t="s">
        <v>186</v>
      </c>
      <c r="D452" s="3" t="s">
        <v>215</v>
      </c>
      <c r="E452" s="3" t="s">
        <v>78</v>
      </c>
      <c r="F452" s="4" t="s">
        <v>83</v>
      </c>
      <c r="G452" s="3" t="s">
        <v>16</v>
      </c>
      <c r="H452" s="5">
        <v>751.21019999999999</v>
      </c>
      <c r="I452" s="5">
        <v>2.0628000000000002</v>
      </c>
      <c r="J452" s="5">
        <v>2.0322</v>
      </c>
      <c r="K452" s="6">
        <v>0.98516579406631755</v>
      </c>
      <c r="L452" s="5">
        <v>25.04</v>
      </c>
      <c r="M452" s="19">
        <f>H452*INDEX('Pliegos Tarifarios (Quilicura)'!$B:$B,MATCH($B452,'Pliegos Tarifarios (Quilicura)'!$A:$A,0))</f>
        <v>98981.7095826</v>
      </c>
      <c r="N452" s="19">
        <f>I452*INDEX('Pliegos Tarifarios (Quilicura)'!$C:$C,MATCH($B452,'Pliegos Tarifarios (Quilicura)'!$A:$A,0))</f>
        <v>7029.277729200001</v>
      </c>
      <c r="O452" s="19">
        <f>J452*INDEX('Pliegos Tarifarios (Quilicura)'!$D:$D,MATCH($B452,'Pliegos Tarifarios (Quilicura)'!$A:$A,0))</f>
        <v>29412.030600000002</v>
      </c>
      <c r="P452" s="19">
        <f>H452*INDEX('Pliegos Tarifarios (Quilicura)'!$E:$E,MATCH($B452,'Pliegos Tarifarios (Quilicura)'!$A:$A,0))</f>
        <v>9783.761644799999</v>
      </c>
      <c r="Q452" s="19" cm="1">
        <f t="array" ref="Q452">H452*_xlfn.IFS(H452&lt;=350,INDEX('Pliegos Tarifarios (Quilicura)'!$F:$F,MATCH($B452,'Pliegos Tarifarios (Quilicura)'!$A:$A,0)),H452&lt;=500,INDEX('Pliegos Tarifarios (Quilicura)'!$G:$G,MATCH($B452,'Pliegos Tarifarios (Quilicura)'!$A:$A,0)),H452&lt;=1000,INDEX('Pliegos Tarifarios (Quilicura)'!$H:$H,MATCH($B452,'Pliegos Tarifarios (Quilicura)'!$A:$A,0)),H452&lt;=5000,INDEX('Pliegos Tarifarios (Quilicura)'!$I:$I,MATCH($B452,'Pliegos Tarifarios (Quilicura)'!$A:$A,0)),H452&gt;5000,INDEX('Pliegos Tarifarios (Quilicura)'!$J:$J,MATCH($B452,'Pliegos Tarifarios (Quilicura)'!$A:$A,0)))/1.19</f>
        <v>1761.871990084034</v>
      </c>
      <c r="R452" s="19">
        <f>INDEX('Pliegos Tarifarios (Quilicura)'!$K:$K,MATCH($B452,'Pliegos Tarifarios (Quilicura)'!$A:$A,0))</f>
        <v>726.16</v>
      </c>
      <c r="S452" s="21">
        <f t="shared" si="21"/>
        <v>147694.81154668404</v>
      </c>
      <c r="T452" s="21">
        <f t="shared" si="22"/>
        <v>28062.014193869967</v>
      </c>
      <c r="U452" s="19">
        <v>0</v>
      </c>
      <c r="V452" s="21">
        <f t="shared" si="23"/>
        <v>175756.82574055402</v>
      </c>
    </row>
    <row r="453" spans="1:22" x14ac:dyDescent="0.3">
      <c r="A453" s="3" t="s">
        <v>146</v>
      </c>
      <c r="B453" s="3">
        <v>7</v>
      </c>
      <c r="C453" s="4" t="s">
        <v>186</v>
      </c>
      <c r="D453" s="3" t="s">
        <v>216</v>
      </c>
      <c r="E453" s="3" t="s">
        <v>78</v>
      </c>
      <c r="F453" s="4" t="s">
        <v>85</v>
      </c>
      <c r="G453" s="3" t="s">
        <v>16</v>
      </c>
      <c r="H453" s="5">
        <v>900.64269999999999</v>
      </c>
      <c r="I453" s="5">
        <v>2.5061</v>
      </c>
      <c r="J453" s="5">
        <v>2.4601000000000002</v>
      </c>
      <c r="K453" s="6">
        <v>0.98164478672040234</v>
      </c>
      <c r="L453" s="5">
        <v>30.02</v>
      </c>
      <c r="M453" s="19">
        <f>H453*INDEX('Pliegos Tarifarios (Quilicura)'!$B:$B,MATCH($B453,'Pliegos Tarifarios (Quilicura)'!$A:$A,0))</f>
        <v>118671.3840801</v>
      </c>
      <c r="N453" s="19">
        <f>I453*INDEX('Pliegos Tarifarios (Quilicura)'!$C:$C,MATCH($B453,'Pliegos Tarifarios (Quilicura)'!$A:$A,0))</f>
        <v>8539.8840978999997</v>
      </c>
      <c r="O453" s="19">
        <f>J453*INDEX('Pliegos Tarifarios (Quilicura)'!$D:$D,MATCH($B453,'Pliegos Tarifarios (Quilicura)'!$A:$A,0))</f>
        <v>35605.027300000002</v>
      </c>
      <c r="P453" s="19">
        <f>H453*INDEX('Pliegos Tarifarios (Quilicura)'!$E:$E,MATCH($B453,'Pliegos Tarifarios (Quilicura)'!$A:$A,0))</f>
        <v>11729.970524799999</v>
      </c>
      <c r="Q453" s="19" cm="1">
        <f t="array" ref="Q453">H453*_xlfn.IFS(H453&lt;=350,INDEX('Pliegos Tarifarios (Quilicura)'!$F:$F,MATCH($B453,'Pliegos Tarifarios (Quilicura)'!$A:$A,0)),H453&lt;=500,INDEX('Pliegos Tarifarios (Quilicura)'!$G:$G,MATCH($B453,'Pliegos Tarifarios (Quilicura)'!$A:$A,0)),H453&lt;=1000,INDEX('Pliegos Tarifarios (Quilicura)'!$H:$H,MATCH($B453,'Pliegos Tarifarios (Quilicura)'!$A:$A,0)),H453&lt;=5000,INDEX('Pliegos Tarifarios (Quilicura)'!$I:$I,MATCH($B453,'Pliegos Tarifarios (Quilicura)'!$A:$A,0)),H453&gt;5000,INDEX('Pliegos Tarifarios (Quilicura)'!$J:$J,MATCH($B453,'Pliegos Tarifarios (Quilicura)'!$A:$A,0)))/1.19</f>
        <v>2112.3477106722694</v>
      </c>
      <c r="R453" s="19">
        <f>INDEX('Pliegos Tarifarios (Quilicura)'!$K:$K,MATCH($B453,'Pliegos Tarifarios (Quilicura)'!$A:$A,0))</f>
        <v>726.16</v>
      </c>
      <c r="S453" s="21">
        <f t="shared" si="21"/>
        <v>177384.7737134723</v>
      </c>
      <c r="T453" s="21">
        <f t="shared" si="22"/>
        <v>33703.107005559737</v>
      </c>
      <c r="U453" s="19">
        <v>0</v>
      </c>
      <c r="V453" s="21">
        <f t="shared" si="23"/>
        <v>211087.88071903202</v>
      </c>
    </row>
    <row r="454" spans="1:22" x14ac:dyDescent="0.3">
      <c r="A454" s="3" t="s">
        <v>146</v>
      </c>
      <c r="B454" s="3">
        <v>7</v>
      </c>
      <c r="C454" s="4" t="s">
        <v>186</v>
      </c>
      <c r="D454" s="3" t="s">
        <v>217</v>
      </c>
      <c r="E454" s="3" t="s">
        <v>78</v>
      </c>
      <c r="F454" s="4" t="s">
        <v>87</v>
      </c>
      <c r="G454" s="3" t="s">
        <v>16</v>
      </c>
      <c r="H454" s="5">
        <v>896.69529999999997</v>
      </c>
      <c r="I454" s="5">
        <v>2.3980999999999999</v>
      </c>
      <c r="J454" s="5">
        <v>2.3940999999999999</v>
      </c>
      <c r="K454" s="6">
        <v>0.99833201284350115</v>
      </c>
      <c r="L454" s="5">
        <v>29.89</v>
      </c>
      <c r="M454" s="19">
        <f>H454*INDEX('Pliegos Tarifarios (Quilicura)'!$B:$B,MATCH($B454,'Pliegos Tarifarios (Quilicura)'!$A:$A,0))</f>
        <v>118151.2628139</v>
      </c>
      <c r="N454" s="19">
        <f>I454*INDEX('Pliegos Tarifarios (Quilicura)'!$C:$C,MATCH($B454,'Pliegos Tarifarios (Quilicura)'!$A:$A,0))</f>
        <v>8171.8590858999996</v>
      </c>
      <c r="O454" s="19">
        <f>J454*INDEX('Pliegos Tarifarios (Quilicura)'!$D:$D,MATCH($B454,'Pliegos Tarifarios (Quilicura)'!$A:$A,0))</f>
        <v>34649.809300000001</v>
      </c>
      <c r="P454" s="19">
        <f>H454*INDEX('Pliegos Tarifarios (Quilicura)'!$E:$E,MATCH($B454,'Pliegos Tarifarios (Quilicura)'!$A:$A,0))</f>
        <v>11678.559587199999</v>
      </c>
      <c r="Q454" s="19" cm="1">
        <f t="array" ref="Q454">H454*_xlfn.IFS(H454&lt;=350,INDEX('Pliegos Tarifarios (Quilicura)'!$F:$F,MATCH($B454,'Pliegos Tarifarios (Quilicura)'!$A:$A,0)),H454&lt;=500,INDEX('Pliegos Tarifarios (Quilicura)'!$G:$G,MATCH($B454,'Pliegos Tarifarios (Quilicura)'!$A:$A,0)),H454&lt;=1000,INDEX('Pliegos Tarifarios (Quilicura)'!$H:$H,MATCH($B454,'Pliegos Tarifarios (Quilicura)'!$A:$A,0)),H454&lt;=5000,INDEX('Pliegos Tarifarios (Quilicura)'!$I:$I,MATCH($B454,'Pliegos Tarifarios (Quilicura)'!$A:$A,0)),H454&gt;5000,INDEX('Pliegos Tarifarios (Quilicura)'!$J:$J,MATCH($B454,'Pliegos Tarifarios (Quilicura)'!$A:$A,0)))/1.19</f>
        <v>2103.0895649579834</v>
      </c>
      <c r="R454" s="19">
        <f>INDEX('Pliegos Tarifarios (Quilicura)'!$K:$K,MATCH($B454,'Pliegos Tarifarios (Quilicura)'!$A:$A,0))</f>
        <v>726.16</v>
      </c>
      <c r="S454" s="21">
        <f t="shared" si="21"/>
        <v>175480.74035195797</v>
      </c>
      <c r="T454" s="21">
        <f t="shared" si="22"/>
        <v>33341.340666872013</v>
      </c>
      <c r="U454" s="19">
        <v>0</v>
      </c>
      <c r="V454" s="21">
        <f t="shared" si="23"/>
        <v>208822.08101882998</v>
      </c>
    </row>
    <row r="455" spans="1:22" x14ac:dyDescent="0.3">
      <c r="A455" s="3" t="s">
        <v>146</v>
      </c>
      <c r="B455" s="3">
        <v>7</v>
      </c>
      <c r="C455" s="4" t="s">
        <v>186</v>
      </c>
      <c r="D455" s="3" t="s">
        <v>218</v>
      </c>
      <c r="E455" s="3" t="s">
        <v>78</v>
      </c>
      <c r="F455" s="4" t="s">
        <v>89</v>
      </c>
      <c r="G455" s="3" t="s">
        <v>16</v>
      </c>
      <c r="H455" s="5">
        <v>1127.5504000000001</v>
      </c>
      <c r="I455" s="5">
        <v>3.0571999999999999</v>
      </c>
      <c r="J455" s="5">
        <v>2.9982000000000002</v>
      </c>
      <c r="K455" s="6">
        <v>0.98070129530289163</v>
      </c>
      <c r="L455" s="5">
        <v>37.590000000000003</v>
      </c>
      <c r="M455" s="19">
        <f>H455*INDEX('Pliegos Tarifarios (Quilicura)'!$B:$B,MATCH($B455,'Pliegos Tarifarios (Quilicura)'!$A:$A,0))</f>
        <v>148569.42335520001</v>
      </c>
      <c r="N455" s="19">
        <f>I455*INDEX('Pliegos Tarifarios (Quilicura)'!$C:$C,MATCH($B455,'Pliegos Tarifarios (Quilicura)'!$A:$A,0))</f>
        <v>10417.833950800001</v>
      </c>
      <c r="O455" s="19">
        <f>J455*INDEX('Pliegos Tarifarios (Quilicura)'!$D:$D,MATCH($B455,'Pliegos Tarifarios (Quilicura)'!$A:$A,0))</f>
        <v>43392.948600000003</v>
      </c>
      <c r="P455" s="19">
        <f>H455*INDEX('Pliegos Tarifarios (Quilicura)'!$E:$E,MATCH($B455,'Pliegos Tarifarios (Quilicura)'!$A:$A,0))</f>
        <v>14685.2164096</v>
      </c>
      <c r="Q455" s="19" cm="1">
        <f t="array" ref="Q455">H455*_xlfn.IFS(H455&lt;=350,INDEX('Pliegos Tarifarios (Quilicura)'!$F:$F,MATCH($B455,'Pliegos Tarifarios (Quilicura)'!$A:$A,0)),H455&lt;=500,INDEX('Pliegos Tarifarios (Quilicura)'!$G:$G,MATCH($B455,'Pliegos Tarifarios (Quilicura)'!$A:$A,0)),H455&lt;=1000,INDEX('Pliegos Tarifarios (Quilicura)'!$H:$H,MATCH($B455,'Pliegos Tarifarios (Quilicura)'!$A:$A,0)),H455&lt;=5000,INDEX('Pliegos Tarifarios (Quilicura)'!$I:$I,MATCH($B455,'Pliegos Tarifarios (Quilicura)'!$A:$A,0)),H455&gt;5000,INDEX('Pliegos Tarifarios (Quilicura)'!$J:$J,MATCH($B455,'Pliegos Tarifarios (Quilicura)'!$A:$A,0)))/1.19</f>
        <v>3383.5987213445378</v>
      </c>
      <c r="R455" s="19">
        <f>INDEX('Pliegos Tarifarios (Quilicura)'!$K:$K,MATCH($B455,'Pliegos Tarifarios (Quilicura)'!$A:$A,0))</f>
        <v>726.16</v>
      </c>
      <c r="S455" s="21">
        <f t="shared" si="21"/>
        <v>221175.18103694456</v>
      </c>
      <c r="T455" s="21">
        <f t="shared" si="22"/>
        <v>42023.284397019466</v>
      </c>
      <c r="U455" s="19">
        <v>0</v>
      </c>
      <c r="V455" s="21">
        <f t="shared" si="23"/>
        <v>263198.46543396404</v>
      </c>
    </row>
    <row r="456" spans="1:22" x14ac:dyDescent="0.3">
      <c r="A456" s="3" t="s">
        <v>146</v>
      </c>
      <c r="B456" s="3">
        <v>7</v>
      </c>
      <c r="C456" s="4" t="s">
        <v>186</v>
      </c>
      <c r="D456" s="3" t="s">
        <v>219</v>
      </c>
      <c r="E456" s="3" t="s">
        <v>91</v>
      </c>
      <c r="F456" s="4" t="s">
        <v>92</v>
      </c>
      <c r="G456" s="3" t="s">
        <v>16</v>
      </c>
      <c r="H456" s="5">
        <v>900.83119999999997</v>
      </c>
      <c r="I456" s="5">
        <v>2.4508999999999999</v>
      </c>
      <c r="J456" s="5">
        <v>2.4508999999999999</v>
      </c>
      <c r="K456" s="6">
        <v>1</v>
      </c>
      <c r="L456" s="5">
        <v>30.03</v>
      </c>
      <c r="M456" s="19">
        <f>H456*INDEX('Pliegos Tarifarios (Quilicura)'!$B:$B,MATCH($B456,'Pliegos Tarifarios (Quilicura)'!$A:$A,0))</f>
        <v>118696.22140559999</v>
      </c>
      <c r="N456" s="19">
        <f>I456*INDEX('Pliegos Tarifarios (Quilicura)'!$C:$C,MATCH($B456,'Pliegos Tarifarios (Quilicura)'!$A:$A,0))</f>
        <v>8351.7824251000002</v>
      </c>
      <c r="O456" s="19">
        <f>J456*INDEX('Pliegos Tarifarios (Quilicura)'!$D:$D,MATCH($B456,'Pliegos Tarifarios (Quilicura)'!$A:$A,0))</f>
        <v>35471.875699999997</v>
      </c>
      <c r="P456" s="19">
        <f>H456*INDEX('Pliegos Tarifarios (Quilicura)'!$E:$E,MATCH($B456,'Pliegos Tarifarios (Quilicura)'!$A:$A,0))</f>
        <v>11732.425548799998</v>
      </c>
      <c r="Q456" s="19" cm="1">
        <f t="array" ref="Q456">H456*_xlfn.IFS(H456&lt;=350,INDEX('Pliegos Tarifarios (Quilicura)'!$F:$F,MATCH($B456,'Pliegos Tarifarios (Quilicura)'!$A:$A,0)),H456&lt;=500,INDEX('Pliegos Tarifarios (Quilicura)'!$G:$G,MATCH($B456,'Pliegos Tarifarios (Quilicura)'!$A:$A,0)),H456&lt;=1000,INDEX('Pliegos Tarifarios (Quilicura)'!$H:$H,MATCH($B456,'Pliegos Tarifarios (Quilicura)'!$A:$A,0)),H456&lt;=5000,INDEX('Pliegos Tarifarios (Quilicura)'!$I:$I,MATCH($B456,'Pliegos Tarifarios (Quilicura)'!$A:$A,0)),H456&gt;5000,INDEX('Pliegos Tarifarios (Quilicura)'!$J:$J,MATCH($B456,'Pliegos Tarifarios (Quilicura)'!$A:$A,0)))/1.19</f>
        <v>2112.7898144537821</v>
      </c>
      <c r="R456" s="19">
        <f>INDEX('Pliegos Tarifarios (Quilicura)'!$K:$K,MATCH($B456,'Pliegos Tarifarios (Quilicura)'!$A:$A,0))</f>
        <v>726.16</v>
      </c>
      <c r="S456" s="21">
        <f t="shared" si="21"/>
        <v>177091.25489395377</v>
      </c>
      <c r="T456" s="21">
        <f t="shared" si="22"/>
        <v>33647.338429851217</v>
      </c>
      <c r="U456" s="19">
        <v>0</v>
      </c>
      <c r="V456" s="21">
        <f t="shared" si="23"/>
        <v>210738.59332380499</v>
      </c>
    </row>
    <row r="457" spans="1:22" x14ac:dyDescent="0.3">
      <c r="A457" s="3" t="s">
        <v>146</v>
      </c>
      <c r="B457" s="3">
        <v>7</v>
      </c>
      <c r="C457" s="4" t="s">
        <v>186</v>
      </c>
      <c r="D457" s="3" t="s">
        <v>220</v>
      </c>
      <c r="E457" s="3" t="s">
        <v>94</v>
      </c>
      <c r="F457" s="4" t="s">
        <v>95</v>
      </c>
      <c r="G457" s="3" t="s">
        <v>16</v>
      </c>
      <c r="H457" s="5">
        <v>674.80989999999997</v>
      </c>
      <c r="I457" s="5">
        <v>1.8399000000000001</v>
      </c>
      <c r="J457" s="5">
        <v>1.764</v>
      </c>
      <c r="K457" s="6">
        <v>0.95874775803032775</v>
      </c>
      <c r="L457" s="5">
        <v>22.49</v>
      </c>
      <c r="M457" s="19">
        <f>H457*INDEX('Pliegos Tarifarios (Quilicura)'!$B:$B,MATCH($B457,'Pliegos Tarifarios (Quilicura)'!$A:$A,0))</f>
        <v>88914.976853700005</v>
      </c>
      <c r="N457" s="19">
        <f>I457*INDEX('Pliegos Tarifarios (Quilicura)'!$C:$C,MATCH($B457,'Pliegos Tarifarios (Quilicura)'!$A:$A,0))</f>
        <v>6269.7149961000005</v>
      </c>
      <c r="O457" s="19">
        <f>J457*INDEX('Pliegos Tarifarios (Quilicura)'!$D:$D,MATCH($B457,'Pliegos Tarifarios (Quilicura)'!$A:$A,0))</f>
        <v>25530.371999999999</v>
      </c>
      <c r="P457" s="19">
        <f>H457*INDEX('Pliegos Tarifarios (Quilicura)'!$E:$E,MATCH($B457,'Pliegos Tarifarios (Quilicura)'!$A:$A,0))</f>
        <v>8788.7241375999984</v>
      </c>
      <c r="Q457" s="19" cm="1">
        <f t="array" ref="Q457">H457*_xlfn.IFS(H457&lt;=350,INDEX('Pliegos Tarifarios (Quilicura)'!$F:$F,MATCH($B457,'Pliegos Tarifarios (Quilicura)'!$A:$A,0)),H457&lt;=500,INDEX('Pliegos Tarifarios (Quilicura)'!$G:$G,MATCH($B457,'Pliegos Tarifarios (Quilicura)'!$A:$A,0)),H457&lt;=1000,INDEX('Pliegos Tarifarios (Quilicura)'!$H:$H,MATCH($B457,'Pliegos Tarifarios (Quilicura)'!$A:$A,0)),H457&lt;=5000,INDEX('Pliegos Tarifarios (Quilicura)'!$I:$I,MATCH($B457,'Pliegos Tarifarios (Quilicura)'!$A:$A,0)),H457&gt;5000,INDEX('Pliegos Tarifarios (Quilicura)'!$J:$J,MATCH($B457,'Pliegos Tarifarios (Quilicura)'!$A:$A,0)))/1.19</f>
        <v>1582.6843957142858</v>
      </c>
      <c r="R457" s="19">
        <f>INDEX('Pliegos Tarifarios (Quilicura)'!$K:$K,MATCH($B457,'Pliegos Tarifarios (Quilicura)'!$A:$A,0))</f>
        <v>726.16</v>
      </c>
      <c r="S457" s="21">
        <f t="shared" si="21"/>
        <v>131812.63238311431</v>
      </c>
      <c r="T457" s="21">
        <f t="shared" si="22"/>
        <v>25044.400152791721</v>
      </c>
      <c r="U457" s="19">
        <v>0</v>
      </c>
      <c r="V457" s="21">
        <f t="shared" si="23"/>
        <v>156857.03253590604</v>
      </c>
    </row>
    <row r="458" spans="1:22" x14ac:dyDescent="0.3">
      <c r="A458" s="3" t="s">
        <v>146</v>
      </c>
      <c r="B458" s="3">
        <v>7</v>
      </c>
      <c r="C458" s="4" t="s">
        <v>186</v>
      </c>
      <c r="D458" s="3" t="s">
        <v>221</v>
      </c>
      <c r="E458" s="3" t="s">
        <v>91</v>
      </c>
      <c r="F458" s="4" t="s">
        <v>97</v>
      </c>
      <c r="G458" s="3" t="s">
        <v>16</v>
      </c>
      <c r="H458" s="5">
        <v>674.3537</v>
      </c>
      <c r="I458" s="5">
        <v>1.8029999999999999</v>
      </c>
      <c r="J458" s="5">
        <v>1.7989999999999999</v>
      </c>
      <c r="K458" s="6">
        <v>0.99778147531891292</v>
      </c>
      <c r="L458" s="5">
        <v>22.48</v>
      </c>
      <c r="M458" s="19">
        <f>H458*INDEX('Pliegos Tarifarios (Quilicura)'!$B:$B,MATCH($B458,'Pliegos Tarifarios (Quilicura)'!$A:$A,0))</f>
        <v>88854.866573100007</v>
      </c>
      <c r="N458" s="19">
        <f>I458*INDEX('Pliegos Tarifarios (Quilicura)'!$C:$C,MATCH($B458,'Pliegos Tarifarios (Quilicura)'!$A:$A,0))</f>
        <v>6143.9731170000005</v>
      </c>
      <c r="O458" s="19">
        <f>J458*INDEX('Pliegos Tarifarios (Quilicura)'!$D:$D,MATCH($B458,'Pliegos Tarifarios (Quilicura)'!$A:$A,0))</f>
        <v>26036.927</v>
      </c>
      <c r="P458" s="19">
        <f>H458*INDEX('Pliegos Tarifarios (Quilicura)'!$E:$E,MATCH($B458,'Pliegos Tarifarios (Quilicura)'!$A:$A,0))</f>
        <v>8782.7825887999988</v>
      </c>
      <c r="Q458" s="19" cm="1">
        <f t="array" ref="Q458">H458*_xlfn.IFS(H458&lt;=350,INDEX('Pliegos Tarifarios (Quilicura)'!$F:$F,MATCH($B458,'Pliegos Tarifarios (Quilicura)'!$A:$A,0)),H458&lt;=500,INDEX('Pliegos Tarifarios (Quilicura)'!$G:$G,MATCH($B458,'Pliegos Tarifarios (Quilicura)'!$A:$A,0)),H458&lt;=1000,INDEX('Pliegos Tarifarios (Quilicura)'!$H:$H,MATCH($B458,'Pliegos Tarifarios (Quilicura)'!$A:$A,0)),H458&lt;=5000,INDEX('Pliegos Tarifarios (Quilicura)'!$I:$I,MATCH($B458,'Pliegos Tarifarios (Quilicura)'!$A:$A,0)),H458&gt;5000,INDEX('Pliegos Tarifarios (Quilicura)'!$J:$J,MATCH($B458,'Pliegos Tarifarios (Quilicura)'!$A:$A,0)))/1.19</f>
        <v>1581.614434201681</v>
      </c>
      <c r="R458" s="19">
        <f>INDEX('Pliegos Tarifarios (Quilicura)'!$K:$K,MATCH($B458,'Pliegos Tarifarios (Quilicura)'!$A:$A,0))</f>
        <v>726.16</v>
      </c>
      <c r="S458" s="21">
        <f t="shared" si="21"/>
        <v>132126.32371310168</v>
      </c>
      <c r="T458" s="21">
        <f t="shared" si="22"/>
        <v>25104.001505489319</v>
      </c>
      <c r="U458" s="19">
        <v>0</v>
      </c>
      <c r="V458" s="21">
        <f t="shared" si="23"/>
        <v>157230.325218591</v>
      </c>
    </row>
    <row r="459" spans="1:22" x14ac:dyDescent="0.3">
      <c r="A459" s="3" t="s">
        <v>146</v>
      </c>
      <c r="B459" s="3">
        <v>7</v>
      </c>
      <c r="C459" s="4" t="s">
        <v>186</v>
      </c>
      <c r="D459" s="3" t="s">
        <v>222</v>
      </c>
      <c r="E459" s="3" t="s">
        <v>99</v>
      </c>
      <c r="F459" s="4" t="s">
        <v>100</v>
      </c>
      <c r="G459" s="3" t="s">
        <v>16</v>
      </c>
      <c r="H459" s="5">
        <v>3372.8984</v>
      </c>
      <c r="I459" s="5">
        <v>9.1405999999999992</v>
      </c>
      <c r="J459" s="5">
        <v>9.0021000000000004</v>
      </c>
      <c r="K459" s="6">
        <v>0.98484782180600849</v>
      </c>
      <c r="L459" s="5">
        <v>112.43</v>
      </c>
      <c r="M459" s="19">
        <f>H459*INDEX('Pliegos Tarifarios (Quilicura)'!$B:$B,MATCH($B459,'Pliegos Tarifarios (Quilicura)'!$A:$A,0))</f>
        <v>444423.21187920001</v>
      </c>
      <c r="N459" s="19">
        <f>I459*INDEX('Pliegos Tarifarios (Quilicura)'!$C:$C,MATCH($B459,'Pliegos Tarifarios (Quilicura)'!$A:$A,0))</f>
        <v>31147.865043399997</v>
      </c>
      <c r="O459" s="19">
        <f>J459*INDEX('Pliegos Tarifarios (Quilicura)'!$D:$D,MATCH($B459,'Pliegos Tarifarios (Quilicura)'!$A:$A,0))</f>
        <v>130287.39330000001</v>
      </c>
      <c r="P459" s="19">
        <f>H459*INDEX('Pliegos Tarifarios (Quilicura)'!$E:$E,MATCH($B459,'Pliegos Tarifarios (Quilicura)'!$A:$A,0))</f>
        <v>43928.628761599997</v>
      </c>
      <c r="Q459" s="19" cm="1">
        <f t="array" ref="Q459">H459*_xlfn.IFS(H459&lt;=350,INDEX('Pliegos Tarifarios (Quilicura)'!$F:$F,MATCH($B459,'Pliegos Tarifarios (Quilicura)'!$A:$A,0)),H459&lt;=500,INDEX('Pliegos Tarifarios (Quilicura)'!$G:$G,MATCH($B459,'Pliegos Tarifarios (Quilicura)'!$A:$A,0)),H459&lt;=1000,INDEX('Pliegos Tarifarios (Quilicura)'!$H:$H,MATCH($B459,'Pliegos Tarifarios (Quilicura)'!$A:$A,0)),H459&lt;=5000,INDEX('Pliegos Tarifarios (Quilicura)'!$I:$I,MATCH($B459,'Pliegos Tarifarios (Quilicura)'!$A:$A,0)),H459&gt;5000,INDEX('Pliegos Tarifarios (Quilicura)'!$J:$J,MATCH($B459,'Pliegos Tarifarios (Quilicura)'!$A:$A,0)))/1.19</f>
        <v>10121.529568403361</v>
      </c>
      <c r="R459" s="19">
        <f>INDEX('Pliegos Tarifarios (Quilicura)'!$K:$K,MATCH($B459,'Pliegos Tarifarios (Quilicura)'!$A:$A,0))</f>
        <v>726.16</v>
      </c>
      <c r="S459" s="21">
        <f t="shared" ref="S459:S522" si="24">SUM(M459:R459)</f>
        <v>660634.78855260345</v>
      </c>
      <c r="T459" s="21">
        <f t="shared" ref="T459:T522" si="25">S459*0.19</f>
        <v>125520.60982499465</v>
      </c>
      <c r="U459" s="19">
        <v>0</v>
      </c>
      <c r="V459" s="21">
        <f t="shared" ref="V459:V522" si="26">SUM(S459:T459)</f>
        <v>786155.39837759815</v>
      </c>
    </row>
    <row r="460" spans="1:22" x14ac:dyDescent="0.3">
      <c r="A460" s="3" t="s">
        <v>146</v>
      </c>
      <c r="B460" s="3">
        <v>7</v>
      </c>
      <c r="C460" s="4" t="s">
        <v>186</v>
      </c>
      <c r="D460" s="3" t="s">
        <v>223</v>
      </c>
      <c r="E460" s="3" t="s">
        <v>102</v>
      </c>
      <c r="F460" s="4" t="s">
        <v>103</v>
      </c>
      <c r="G460" s="3" t="s">
        <v>16</v>
      </c>
      <c r="H460" s="5">
        <v>2700.7136999999998</v>
      </c>
      <c r="I460" s="5">
        <v>7.2910000000000004</v>
      </c>
      <c r="J460" s="5">
        <v>7.1144999999999996</v>
      </c>
      <c r="K460" s="6">
        <v>0.97579207241804955</v>
      </c>
      <c r="L460" s="5">
        <v>90.02</v>
      </c>
      <c r="M460" s="19">
        <f>H460*INDEX('Pliegos Tarifarios (Quilicura)'!$B:$B,MATCH($B460,'Pliegos Tarifarios (Quilicura)'!$A:$A,0))</f>
        <v>355854.13925309997</v>
      </c>
      <c r="N460" s="19">
        <f>I460*INDEX('Pliegos Tarifarios (Quilicura)'!$C:$C,MATCH($B460,'Pliegos Tarifarios (Quilicura)'!$A:$A,0))</f>
        <v>24845.095949000002</v>
      </c>
      <c r="O460" s="19">
        <f>J460*INDEX('Pliegos Tarifarios (Quilicura)'!$D:$D,MATCH($B460,'Pliegos Tarifarios (Quilicura)'!$A:$A,0))</f>
        <v>102968.15849999999</v>
      </c>
      <c r="P460" s="19">
        <f>H460*INDEX('Pliegos Tarifarios (Quilicura)'!$E:$E,MATCH($B460,'Pliegos Tarifarios (Quilicura)'!$A:$A,0))</f>
        <v>35174.095228799997</v>
      </c>
      <c r="Q460" s="19" cm="1">
        <f t="array" ref="Q460">H460*_xlfn.IFS(H460&lt;=350,INDEX('Pliegos Tarifarios (Quilicura)'!$F:$F,MATCH($B460,'Pliegos Tarifarios (Quilicura)'!$A:$A,0)),H460&lt;=500,INDEX('Pliegos Tarifarios (Quilicura)'!$G:$G,MATCH($B460,'Pliegos Tarifarios (Quilicura)'!$A:$A,0)),H460&lt;=1000,INDEX('Pliegos Tarifarios (Quilicura)'!$H:$H,MATCH($B460,'Pliegos Tarifarios (Quilicura)'!$A:$A,0)),H460&lt;=5000,INDEX('Pliegos Tarifarios (Quilicura)'!$I:$I,MATCH($B460,'Pliegos Tarifarios (Quilicura)'!$A:$A,0)),H460&gt;5000,INDEX('Pliegos Tarifarios (Quilicura)'!$J:$J,MATCH($B460,'Pliegos Tarifarios (Quilicura)'!$A:$A,0)))/1.19</f>
        <v>8104.4106073109242</v>
      </c>
      <c r="R460" s="19">
        <f>INDEX('Pliegos Tarifarios (Quilicura)'!$K:$K,MATCH($B460,'Pliegos Tarifarios (Quilicura)'!$A:$A,0))</f>
        <v>726.16</v>
      </c>
      <c r="S460" s="21">
        <f t="shared" si="24"/>
        <v>527672.05953821086</v>
      </c>
      <c r="T460" s="21">
        <f t="shared" si="25"/>
        <v>100257.69131226007</v>
      </c>
      <c r="U460" s="19">
        <v>0</v>
      </c>
      <c r="V460" s="21">
        <f t="shared" si="26"/>
        <v>627929.75085047097</v>
      </c>
    </row>
    <row r="461" spans="1:22" x14ac:dyDescent="0.3">
      <c r="A461" s="3" t="s">
        <v>146</v>
      </c>
      <c r="B461" s="3">
        <v>7</v>
      </c>
      <c r="C461" s="4" t="s">
        <v>186</v>
      </c>
      <c r="D461" s="3" t="s">
        <v>224</v>
      </c>
      <c r="E461" s="3" t="s">
        <v>105</v>
      </c>
      <c r="F461" s="4" t="s">
        <v>106</v>
      </c>
      <c r="G461" s="3" t="s">
        <v>30</v>
      </c>
      <c r="H461" s="5">
        <v>902.39279999999997</v>
      </c>
      <c r="I461" s="5">
        <v>2.4097</v>
      </c>
      <c r="J461" s="5">
        <v>2.4097</v>
      </c>
      <c r="K461" s="6">
        <v>1</v>
      </c>
      <c r="L461" s="5">
        <v>30.08</v>
      </c>
      <c r="M461" s="19">
        <f>H461*INDEX('Pliegos Tarifarios (Quilicura)'!$B:$B,MATCH($B461,'Pliegos Tarifarios (Quilicura)'!$A:$A,0))</f>
        <v>118901.9825064</v>
      </c>
      <c r="N461" s="19">
        <f>I461*INDEX('Pliegos Tarifarios (Quilicura)'!$C:$C,MATCH($B461,'Pliegos Tarifarios (Quilicura)'!$A:$A,0))</f>
        <v>8211.3876983000009</v>
      </c>
      <c r="O461" s="19">
        <f>J461*INDEX('Pliegos Tarifarios (Quilicura)'!$D:$D,MATCH($B461,'Pliegos Tarifarios (Quilicura)'!$A:$A,0))</f>
        <v>34875.588100000001</v>
      </c>
      <c r="P461" s="19">
        <f>H461*INDEX('Pliegos Tarifarios (Quilicura)'!$E:$E,MATCH($B461,'Pliegos Tarifarios (Quilicura)'!$A:$A,0))</f>
        <v>11752.763827199999</v>
      </c>
      <c r="Q461" s="19" cm="1">
        <f t="array" ref="Q461">H461*_xlfn.IFS(H461&lt;=350,INDEX('Pliegos Tarifarios (Quilicura)'!$F:$F,MATCH($B461,'Pliegos Tarifarios (Quilicura)'!$A:$A,0)),H461&lt;=500,INDEX('Pliegos Tarifarios (Quilicura)'!$G:$G,MATCH($B461,'Pliegos Tarifarios (Quilicura)'!$A:$A,0)),H461&lt;=1000,INDEX('Pliegos Tarifarios (Quilicura)'!$H:$H,MATCH($B461,'Pliegos Tarifarios (Quilicura)'!$A:$A,0)),H461&lt;=5000,INDEX('Pliegos Tarifarios (Quilicura)'!$I:$I,MATCH($B461,'Pliegos Tarifarios (Quilicura)'!$A:$A,0)),H461&gt;5000,INDEX('Pliegos Tarifarios (Quilicura)'!$J:$J,MATCH($B461,'Pliegos Tarifarios (Quilicura)'!$A:$A,0)))/1.19</f>
        <v>2116.4523569747903</v>
      </c>
      <c r="R461" s="19">
        <f>INDEX('Pliegos Tarifarios (Quilicura)'!$K:$K,MATCH($B461,'Pliegos Tarifarios (Quilicura)'!$A:$A,0))</f>
        <v>726.16</v>
      </c>
      <c r="S461" s="21">
        <f t="shared" si="24"/>
        <v>176584.3344888748</v>
      </c>
      <c r="T461" s="21">
        <f t="shared" si="25"/>
        <v>33551.02355288621</v>
      </c>
      <c r="U461" s="19">
        <v>0</v>
      </c>
      <c r="V461" s="21">
        <f t="shared" si="26"/>
        <v>210135.35804176101</v>
      </c>
    </row>
    <row r="462" spans="1:22" x14ac:dyDescent="0.3">
      <c r="A462" s="3" t="s">
        <v>146</v>
      </c>
      <c r="B462" s="3">
        <v>7</v>
      </c>
      <c r="C462" s="4" t="s">
        <v>186</v>
      </c>
      <c r="D462" s="3" t="s">
        <v>225</v>
      </c>
      <c r="E462" s="3" t="s">
        <v>105</v>
      </c>
      <c r="F462" s="4" t="s">
        <v>108</v>
      </c>
      <c r="G462" s="3" t="s">
        <v>30</v>
      </c>
      <c r="H462" s="5">
        <v>899.74189999999999</v>
      </c>
      <c r="I462" s="5">
        <v>2.4980000000000002</v>
      </c>
      <c r="J462" s="5">
        <v>2.4443999999999999</v>
      </c>
      <c r="K462" s="6">
        <v>0.97854283426741384</v>
      </c>
      <c r="L462" s="5">
        <v>29.99</v>
      </c>
      <c r="M462" s="19">
        <f>H462*INDEX('Pliegos Tarifarios (Quilicura)'!$B:$B,MATCH($B462,'Pliegos Tarifarios (Quilicura)'!$A:$A,0))</f>
        <v>118552.6919697</v>
      </c>
      <c r="N462" s="19">
        <f>I462*INDEX('Pliegos Tarifarios (Quilicura)'!$C:$C,MATCH($B462,'Pliegos Tarifarios (Quilicura)'!$A:$A,0))</f>
        <v>8512.2822220000016</v>
      </c>
      <c r="O462" s="19">
        <f>J462*INDEX('Pliegos Tarifarios (Quilicura)'!$D:$D,MATCH($B462,'Pliegos Tarifarios (Quilicura)'!$A:$A,0))</f>
        <v>35377.801200000002</v>
      </c>
      <c r="P462" s="19">
        <f>H462*INDEX('Pliegos Tarifarios (Quilicura)'!$E:$E,MATCH($B462,'Pliegos Tarifarios (Quilicura)'!$A:$A,0))</f>
        <v>11718.238505599998</v>
      </c>
      <c r="Q462" s="19" cm="1">
        <f t="array" ref="Q462">H462*_xlfn.IFS(H462&lt;=350,INDEX('Pliegos Tarifarios (Quilicura)'!$F:$F,MATCH($B462,'Pliegos Tarifarios (Quilicura)'!$A:$A,0)),H462&lt;=500,INDEX('Pliegos Tarifarios (Quilicura)'!$G:$G,MATCH($B462,'Pliegos Tarifarios (Quilicura)'!$A:$A,0)),H462&lt;=1000,INDEX('Pliegos Tarifarios (Quilicura)'!$H:$H,MATCH($B462,'Pliegos Tarifarios (Quilicura)'!$A:$A,0)),H462&lt;=5000,INDEX('Pliegos Tarifarios (Quilicura)'!$I:$I,MATCH($B462,'Pliegos Tarifarios (Quilicura)'!$A:$A,0)),H462&gt;5000,INDEX('Pliegos Tarifarios (Quilicura)'!$J:$J,MATCH($B462,'Pliegos Tarifarios (Quilicura)'!$A:$A,0)))/1.19</f>
        <v>2110.2349940336135</v>
      </c>
      <c r="R462" s="19">
        <f>INDEX('Pliegos Tarifarios (Quilicura)'!$K:$K,MATCH($B462,'Pliegos Tarifarios (Quilicura)'!$A:$A,0))</f>
        <v>726.16</v>
      </c>
      <c r="S462" s="21">
        <f t="shared" si="24"/>
        <v>176997.40889133359</v>
      </c>
      <c r="T462" s="21">
        <f t="shared" si="25"/>
        <v>33629.507689353384</v>
      </c>
      <c r="U462" s="19">
        <v>0</v>
      </c>
      <c r="V462" s="21">
        <f t="shared" si="26"/>
        <v>210626.91658068699</v>
      </c>
    </row>
    <row r="463" spans="1:22" x14ac:dyDescent="0.3">
      <c r="A463" s="3" t="s">
        <v>146</v>
      </c>
      <c r="B463" s="3">
        <v>7</v>
      </c>
      <c r="C463" s="4" t="s">
        <v>186</v>
      </c>
      <c r="D463" s="3" t="s">
        <v>226</v>
      </c>
      <c r="E463" s="3" t="s">
        <v>110</v>
      </c>
      <c r="F463" s="4" t="s">
        <v>111</v>
      </c>
      <c r="G463" s="3" t="s">
        <v>30</v>
      </c>
      <c r="H463" s="5">
        <v>451.28660000000002</v>
      </c>
      <c r="I463" s="5">
        <v>1.2081</v>
      </c>
      <c r="J463" s="5">
        <v>1.2043999999999999</v>
      </c>
      <c r="K463" s="6">
        <v>0.99693733962420328</v>
      </c>
      <c r="L463" s="5">
        <v>15.04</v>
      </c>
      <c r="M463" s="19">
        <f>H463*INDEX('Pliegos Tarifarios (Quilicura)'!$B:$B,MATCH($B463,'Pliegos Tarifarios (Quilicura)'!$A:$A,0))</f>
        <v>59462.876275800008</v>
      </c>
      <c r="N463" s="19">
        <f>I463*INDEX('Pliegos Tarifarios (Quilicura)'!$C:$C,MATCH($B463,'Pliegos Tarifarios (Quilicura)'!$A:$A,0))</f>
        <v>4116.7686758999998</v>
      </c>
      <c r="O463" s="19">
        <f>J463*INDEX('Pliegos Tarifarios (Quilicura)'!$D:$D,MATCH($B463,'Pliegos Tarifarios (Quilicura)'!$A:$A,0))</f>
        <v>17431.281199999998</v>
      </c>
      <c r="P463" s="19">
        <f>H463*INDEX('Pliegos Tarifarios (Quilicura)'!$E:$E,MATCH($B463,'Pliegos Tarifarios (Quilicura)'!$A:$A,0))</f>
        <v>5877.5566784000002</v>
      </c>
      <c r="Q463" s="19" cm="1">
        <f t="array" ref="Q463">H463*_xlfn.IFS(H463&lt;=350,INDEX('Pliegos Tarifarios (Quilicura)'!$F:$F,MATCH($B463,'Pliegos Tarifarios (Quilicura)'!$A:$A,0)),H463&lt;=500,INDEX('Pliegos Tarifarios (Quilicura)'!$G:$G,MATCH($B463,'Pliegos Tarifarios (Quilicura)'!$A:$A,0)),H463&lt;=1000,INDEX('Pliegos Tarifarios (Quilicura)'!$H:$H,MATCH($B463,'Pliegos Tarifarios (Quilicura)'!$A:$A,0)),H463&lt;=5000,INDEX('Pliegos Tarifarios (Quilicura)'!$I:$I,MATCH($B463,'Pliegos Tarifarios (Quilicura)'!$A:$A,0)),H463&gt;5000,INDEX('Pliegos Tarifarios (Quilicura)'!$J:$J,MATCH($B463,'Pliegos Tarifarios (Quilicura)'!$A:$A,0)))/1.19</f>
        <v>635.59356436974804</v>
      </c>
      <c r="R463" s="19">
        <f>INDEX('Pliegos Tarifarios (Quilicura)'!$K:$K,MATCH($B463,'Pliegos Tarifarios (Quilicura)'!$A:$A,0))</f>
        <v>726.16</v>
      </c>
      <c r="S463" s="21">
        <f t="shared" si="24"/>
        <v>88250.236394469743</v>
      </c>
      <c r="T463" s="21">
        <f t="shared" si="25"/>
        <v>16767.544914949252</v>
      </c>
      <c r="U463" s="19">
        <v>0</v>
      </c>
      <c r="V463" s="21">
        <f t="shared" si="26"/>
        <v>105017.78130941899</v>
      </c>
    </row>
    <row r="464" spans="1:22" x14ac:dyDescent="0.3">
      <c r="A464" s="3" t="s">
        <v>146</v>
      </c>
      <c r="B464" s="3">
        <v>7</v>
      </c>
      <c r="C464" s="4" t="s">
        <v>186</v>
      </c>
      <c r="D464" s="3" t="s">
        <v>227</v>
      </c>
      <c r="E464" s="3" t="s">
        <v>113</v>
      </c>
      <c r="F464" s="4" t="s">
        <v>114</v>
      </c>
      <c r="G464" s="3" t="s">
        <v>30</v>
      </c>
      <c r="H464" s="5">
        <v>675.44069999999999</v>
      </c>
      <c r="I464" s="5">
        <v>1.8076000000000001</v>
      </c>
      <c r="J464" s="5">
        <v>1.8076000000000001</v>
      </c>
      <c r="K464" s="6">
        <v>1</v>
      </c>
      <c r="L464" s="5">
        <v>22.51</v>
      </c>
      <c r="M464" s="19">
        <f>H464*INDEX('Pliegos Tarifarios (Quilicura)'!$B:$B,MATCH($B464,'Pliegos Tarifarios (Quilicura)'!$A:$A,0))</f>
        <v>88998.092954100008</v>
      </c>
      <c r="N464" s="19">
        <f>I464*INDEX('Pliegos Tarifarios (Quilicura)'!$C:$C,MATCH($B464,'Pliegos Tarifarios (Quilicura)'!$A:$A,0))</f>
        <v>6159.6482564000007</v>
      </c>
      <c r="O464" s="19">
        <f>J464*INDEX('Pliegos Tarifarios (Quilicura)'!$D:$D,MATCH($B464,'Pliegos Tarifarios (Quilicura)'!$A:$A,0))</f>
        <v>26161.394800000002</v>
      </c>
      <c r="P464" s="19">
        <f>H464*INDEX('Pliegos Tarifarios (Quilicura)'!$E:$E,MATCH($B464,'Pliegos Tarifarios (Quilicura)'!$A:$A,0))</f>
        <v>8796.9396767999988</v>
      </c>
      <c r="Q464" s="19" cm="1">
        <f t="array" ref="Q464">H464*_xlfn.IFS(H464&lt;=350,INDEX('Pliegos Tarifarios (Quilicura)'!$F:$F,MATCH($B464,'Pliegos Tarifarios (Quilicura)'!$A:$A,0)),H464&lt;=500,INDEX('Pliegos Tarifarios (Quilicura)'!$G:$G,MATCH($B464,'Pliegos Tarifarios (Quilicura)'!$A:$A,0)),H464&lt;=1000,INDEX('Pliegos Tarifarios (Quilicura)'!$H:$H,MATCH($B464,'Pliegos Tarifarios (Quilicura)'!$A:$A,0)),H464&lt;=5000,INDEX('Pliegos Tarifarios (Quilicura)'!$I:$I,MATCH($B464,'Pliegos Tarifarios (Quilicura)'!$A:$A,0)),H464&gt;5000,INDEX('Pliegos Tarifarios (Quilicura)'!$J:$J,MATCH($B464,'Pliegos Tarifarios (Quilicura)'!$A:$A,0)))/1.19</f>
        <v>1584.1638602521011</v>
      </c>
      <c r="R464" s="19">
        <f>INDEX('Pliegos Tarifarios (Quilicura)'!$K:$K,MATCH($B464,'Pliegos Tarifarios (Quilicura)'!$A:$A,0))</f>
        <v>726.16</v>
      </c>
      <c r="S464" s="21">
        <f t="shared" si="24"/>
        <v>132426.39954755214</v>
      </c>
      <c r="T464" s="21">
        <f t="shared" si="25"/>
        <v>25161.015914034906</v>
      </c>
      <c r="U464" s="19">
        <v>0</v>
      </c>
      <c r="V464" s="21">
        <f t="shared" si="26"/>
        <v>157587.41546158705</v>
      </c>
    </row>
    <row r="465" spans="1:22" x14ac:dyDescent="0.3">
      <c r="A465" s="3" t="s">
        <v>146</v>
      </c>
      <c r="B465" s="3">
        <v>7</v>
      </c>
      <c r="C465" s="4" t="s">
        <v>186</v>
      </c>
      <c r="D465" s="3" t="s">
        <v>228</v>
      </c>
      <c r="E465" s="3" t="s">
        <v>116</v>
      </c>
      <c r="F465" s="4" t="s">
        <v>117</v>
      </c>
      <c r="G465" s="3" t="s">
        <v>30</v>
      </c>
      <c r="H465" s="5">
        <v>112.5294</v>
      </c>
      <c r="I465" s="5">
        <v>0.30480000000000002</v>
      </c>
      <c r="J465" s="5">
        <v>0.30480000000000002</v>
      </c>
      <c r="K465" s="6">
        <v>1</v>
      </c>
      <c r="L465" s="5">
        <v>3.75</v>
      </c>
      <c r="M465" s="19">
        <f>H465*INDEX('Pliegos Tarifarios (Quilicura)'!$B:$B,MATCH($B465,'Pliegos Tarifarios (Quilicura)'!$A:$A,0))</f>
        <v>14827.2113322</v>
      </c>
      <c r="N465" s="19">
        <f>I465*INDEX('Pliegos Tarifarios (Quilicura)'!$C:$C,MATCH($B465,'Pliegos Tarifarios (Quilicura)'!$A:$A,0))</f>
        <v>1038.6483672000002</v>
      </c>
      <c r="O465" s="19">
        <f>J465*INDEX('Pliegos Tarifarios (Quilicura)'!$D:$D,MATCH($B465,'Pliegos Tarifarios (Quilicura)'!$A:$A,0))</f>
        <v>4411.3703999999998</v>
      </c>
      <c r="P465" s="19">
        <f>H465*INDEX('Pliegos Tarifarios (Quilicura)'!$E:$E,MATCH($B465,'Pliegos Tarifarios (Quilicura)'!$A:$A,0))</f>
        <v>1465.5829055999998</v>
      </c>
      <c r="Q465" s="19" cm="1">
        <f t="array" ref="Q465">H465*_xlfn.IFS(H465&lt;=350,INDEX('Pliegos Tarifarios (Quilicura)'!$F:$F,MATCH($B465,'Pliegos Tarifarios (Quilicura)'!$A:$A,0)),H465&lt;=500,INDEX('Pliegos Tarifarios (Quilicura)'!$G:$G,MATCH($B465,'Pliegos Tarifarios (Quilicura)'!$A:$A,0)),H465&lt;=1000,INDEX('Pliegos Tarifarios (Quilicura)'!$H:$H,MATCH($B465,'Pliegos Tarifarios (Quilicura)'!$A:$A,0)),H465&lt;=5000,INDEX('Pliegos Tarifarios (Quilicura)'!$I:$I,MATCH($B465,'Pliegos Tarifarios (Quilicura)'!$A:$A,0)),H465&gt;5000,INDEX('Pliegos Tarifarios (Quilicura)'!$J:$J,MATCH($B465,'Pliegos Tarifarios (Quilicura)'!$A:$A,0)))/1.19</f>
        <v>74.137016470588236</v>
      </c>
      <c r="R465" s="19">
        <f>INDEX('Pliegos Tarifarios (Quilicura)'!$K:$K,MATCH($B465,'Pliegos Tarifarios (Quilicura)'!$A:$A,0))</f>
        <v>726.16</v>
      </c>
      <c r="S465" s="21">
        <f t="shared" si="24"/>
        <v>22543.110021470588</v>
      </c>
      <c r="T465" s="21">
        <f t="shared" si="25"/>
        <v>4283.1909040794117</v>
      </c>
      <c r="U465" s="19">
        <v>0</v>
      </c>
      <c r="V465" s="21">
        <f t="shared" si="26"/>
        <v>26826.30092555</v>
      </c>
    </row>
    <row r="466" spans="1:22" x14ac:dyDescent="0.3">
      <c r="A466" s="3" t="s">
        <v>146</v>
      </c>
      <c r="B466" s="3">
        <v>7</v>
      </c>
      <c r="C466" s="4" t="s">
        <v>186</v>
      </c>
      <c r="D466" s="3" t="s">
        <v>229</v>
      </c>
      <c r="E466" s="3" t="s">
        <v>116</v>
      </c>
      <c r="F466" s="4" t="s">
        <v>119</v>
      </c>
      <c r="G466" s="3" t="s">
        <v>30</v>
      </c>
      <c r="H466" s="5">
        <v>112.2987</v>
      </c>
      <c r="I466" s="5">
        <v>0.30320000000000003</v>
      </c>
      <c r="J466" s="5">
        <v>0.29409999999999997</v>
      </c>
      <c r="K466" s="6">
        <v>0.96998680738786258</v>
      </c>
      <c r="L466" s="5">
        <v>3.74</v>
      </c>
      <c r="M466" s="19">
        <f>H466*INDEX('Pliegos Tarifarios (Quilicura)'!$B:$B,MATCH($B466,'Pliegos Tarifarios (Quilicura)'!$A:$A,0))</f>
        <v>14796.813608099999</v>
      </c>
      <c r="N466" s="19">
        <f>I466*INDEX('Pliegos Tarifarios (Quilicura)'!$C:$C,MATCH($B466,'Pliegos Tarifarios (Quilicura)'!$A:$A,0))</f>
        <v>1033.1961448000002</v>
      </c>
      <c r="O466" s="19">
        <f>J466*INDEX('Pliegos Tarifarios (Quilicura)'!$D:$D,MATCH($B466,'Pliegos Tarifarios (Quilicura)'!$A:$A,0))</f>
        <v>4256.5092999999997</v>
      </c>
      <c r="P466" s="19">
        <f>H466*INDEX('Pliegos Tarifarios (Quilicura)'!$E:$E,MATCH($B466,'Pliegos Tarifarios (Quilicura)'!$A:$A,0))</f>
        <v>1462.5782687999999</v>
      </c>
      <c r="Q466" s="19" cm="1">
        <f t="array" ref="Q466">H466*_xlfn.IFS(H466&lt;=350,INDEX('Pliegos Tarifarios (Quilicura)'!$F:$F,MATCH($B466,'Pliegos Tarifarios (Quilicura)'!$A:$A,0)),H466&lt;=500,INDEX('Pliegos Tarifarios (Quilicura)'!$G:$G,MATCH($B466,'Pliegos Tarifarios (Quilicura)'!$A:$A,0)),H466&lt;=1000,INDEX('Pliegos Tarifarios (Quilicura)'!$H:$H,MATCH($B466,'Pliegos Tarifarios (Quilicura)'!$A:$A,0)),H466&lt;=5000,INDEX('Pliegos Tarifarios (Quilicura)'!$I:$I,MATCH($B466,'Pliegos Tarifarios (Quilicura)'!$A:$A,0)),H466&gt;5000,INDEX('Pliegos Tarifarios (Quilicura)'!$J:$J,MATCH($B466,'Pliegos Tarifarios (Quilicura)'!$A:$A,0)))/1.19</f>
        <v>73.985025882352943</v>
      </c>
      <c r="R466" s="19">
        <f>INDEX('Pliegos Tarifarios (Quilicura)'!$K:$K,MATCH($B466,'Pliegos Tarifarios (Quilicura)'!$A:$A,0))</f>
        <v>726.16</v>
      </c>
      <c r="S466" s="21">
        <f t="shared" si="24"/>
        <v>22349.242347582353</v>
      </c>
      <c r="T466" s="21">
        <f t="shared" si="25"/>
        <v>4246.356046040647</v>
      </c>
      <c r="U466" s="19">
        <v>0</v>
      </c>
      <c r="V466" s="21">
        <f t="shared" si="26"/>
        <v>26595.598393623</v>
      </c>
    </row>
    <row r="467" spans="1:22" x14ac:dyDescent="0.3">
      <c r="A467" s="3" t="s">
        <v>146</v>
      </c>
      <c r="B467" s="3">
        <v>7</v>
      </c>
      <c r="C467" s="4" t="s">
        <v>186</v>
      </c>
      <c r="D467" s="3" t="s">
        <v>230</v>
      </c>
      <c r="E467" s="3" t="s">
        <v>121</v>
      </c>
      <c r="F467" s="4" t="s">
        <v>122</v>
      </c>
      <c r="G467" s="3" t="s">
        <v>30</v>
      </c>
      <c r="H467" s="5">
        <v>112.6343</v>
      </c>
      <c r="I467" s="5">
        <v>0.30480000000000002</v>
      </c>
      <c r="J467" s="5">
        <v>0.30159999999999998</v>
      </c>
      <c r="K467" s="6">
        <v>0.98950131233595784</v>
      </c>
      <c r="L467" s="5">
        <v>3.75</v>
      </c>
      <c r="M467" s="19">
        <f>H467*INDEX('Pliegos Tarifarios (Quilicura)'!$B:$B,MATCH($B467,'Pliegos Tarifarios (Quilicura)'!$A:$A,0))</f>
        <v>14841.033270899999</v>
      </c>
      <c r="N467" s="19">
        <f>I467*INDEX('Pliegos Tarifarios (Quilicura)'!$C:$C,MATCH($B467,'Pliegos Tarifarios (Quilicura)'!$A:$A,0))</f>
        <v>1038.6483672000002</v>
      </c>
      <c r="O467" s="19">
        <f>J467*INDEX('Pliegos Tarifarios (Quilicura)'!$D:$D,MATCH($B467,'Pliegos Tarifarios (Quilicura)'!$A:$A,0))</f>
        <v>4365.0567999999994</v>
      </c>
      <c r="P467" s="19">
        <f>H467*INDEX('Pliegos Tarifarios (Quilicura)'!$E:$E,MATCH($B467,'Pliegos Tarifarios (Quilicura)'!$A:$A,0))</f>
        <v>1466.9491231999998</v>
      </c>
      <c r="Q467" s="19" cm="1">
        <f t="array" ref="Q467">H467*_xlfn.IFS(H467&lt;=350,INDEX('Pliegos Tarifarios (Quilicura)'!$F:$F,MATCH($B467,'Pliegos Tarifarios (Quilicura)'!$A:$A,0)),H467&lt;=500,INDEX('Pliegos Tarifarios (Quilicura)'!$G:$G,MATCH($B467,'Pliegos Tarifarios (Quilicura)'!$A:$A,0)),H467&lt;=1000,INDEX('Pliegos Tarifarios (Quilicura)'!$H:$H,MATCH($B467,'Pliegos Tarifarios (Quilicura)'!$A:$A,0)),H467&lt;=5000,INDEX('Pliegos Tarifarios (Quilicura)'!$I:$I,MATCH($B467,'Pliegos Tarifarios (Quilicura)'!$A:$A,0)),H467&gt;5000,INDEX('Pliegos Tarifarios (Quilicura)'!$J:$J,MATCH($B467,'Pliegos Tarifarios (Quilicura)'!$A:$A,0)))/1.19</f>
        <v>74.206127058823526</v>
      </c>
      <c r="R467" s="19">
        <f>INDEX('Pliegos Tarifarios (Quilicura)'!$K:$K,MATCH($B467,'Pliegos Tarifarios (Quilicura)'!$A:$A,0))</f>
        <v>726.16</v>
      </c>
      <c r="S467" s="21">
        <f t="shared" si="24"/>
        <v>22512.053688358821</v>
      </c>
      <c r="T467" s="21">
        <f t="shared" si="25"/>
        <v>4277.2902007881758</v>
      </c>
      <c r="U467" s="19">
        <v>0</v>
      </c>
      <c r="V467" s="21">
        <f t="shared" si="26"/>
        <v>26789.343889146996</v>
      </c>
    </row>
    <row r="468" spans="1:22" x14ac:dyDescent="0.3">
      <c r="A468" s="3" t="s">
        <v>146</v>
      </c>
      <c r="B468" s="3">
        <v>7</v>
      </c>
      <c r="C468" s="4" t="s">
        <v>186</v>
      </c>
      <c r="D468" s="3" t="s">
        <v>231</v>
      </c>
      <c r="E468" s="3" t="s">
        <v>121</v>
      </c>
      <c r="F468" s="4" t="s">
        <v>124</v>
      </c>
      <c r="G468" s="3" t="s">
        <v>30</v>
      </c>
      <c r="H468" s="5">
        <v>112.47</v>
      </c>
      <c r="I468" s="5">
        <v>0.30099999999999999</v>
      </c>
      <c r="J468" s="5">
        <v>0.29930000000000001</v>
      </c>
      <c r="K468" s="6">
        <v>0.99435215946843858</v>
      </c>
      <c r="L468" s="5">
        <v>3.75</v>
      </c>
      <c r="M468" s="19">
        <f>H468*INDEX('Pliegos Tarifarios (Quilicura)'!$B:$B,MATCH($B468,'Pliegos Tarifarios (Quilicura)'!$A:$A,0))</f>
        <v>14819.384610000001</v>
      </c>
      <c r="N468" s="19">
        <f>I468*INDEX('Pliegos Tarifarios (Quilicura)'!$C:$C,MATCH($B468,'Pliegos Tarifarios (Quilicura)'!$A:$A,0))</f>
        <v>1025.699339</v>
      </c>
      <c r="O468" s="19">
        <f>J468*INDEX('Pliegos Tarifarios (Quilicura)'!$D:$D,MATCH($B468,'Pliegos Tarifarios (Quilicura)'!$A:$A,0))</f>
        <v>4331.7689</v>
      </c>
      <c r="P468" s="19">
        <f>H468*INDEX('Pliegos Tarifarios (Quilicura)'!$E:$E,MATCH($B468,'Pliegos Tarifarios (Quilicura)'!$A:$A,0))</f>
        <v>1464.8092799999999</v>
      </c>
      <c r="Q468" s="19" cm="1">
        <f t="array" ref="Q468">H468*_xlfn.IFS(H468&lt;=350,INDEX('Pliegos Tarifarios (Quilicura)'!$F:$F,MATCH($B468,'Pliegos Tarifarios (Quilicura)'!$A:$A,0)),H468&lt;=500,INDEX('Pliegos Tarifarios (Quilicura)'!$G:$G,MATCH($B468,'Pliegos Tarifarios (Quilicura)'!$A:$A,0)),H468&lt;=1000,INDEX('Pliegos Tarifarios (Quilicura)'!$H:$H,MATCH($B468,'Pliegos Tarifarios (Quilicura)'!$A:$A,0)),H468&lt;=5000,INDEX('Pliegos Tarifarios (Quilicura)'!$I:$I,MATCH($B468,'Pliegos Tarifarios (Quilicura)'!$A:$A,0)),H468&gt;5000,INDEX('Pliegos Tarifarios (Quilicura)'!$J:$J,MATCH($B468,'Pliegos Tarifarios (Quilicura)'!$A:$A,0)))/1.19</f>
        <v>74.097882352941184</v>
      </c>
      <c r="R468" s="19">
        <f>INDEX('Pliegos Tarifarios (Quilicura)'!$K:$K,MATCH($B468,'Pliegos Tarifarios (Quilicura)'!$A:$A,0))</f>
        <v>726.16</v>
      </c>
      <c r="S468" s="21">
        <f t="shared" si="24"/>
        <v>22441.920011352944</v>
      </c>
      <c r="T468" s="21">
        <f t="shared" si="25"/>
        <v>4263.9648021570592</v>
      </c>
      <c r="U468" s="19">
        <v>0</v>
      </c>
      <c r="V468" s="21">
        <f t="shared" si="26"/>
        <v>26705.884813510005</v>
      </c>
    </row>
    <row r="469" spans="1:22" x14ac:dyDescent="0.3">
      <c r="A469" s="3" t="s">
        <v>146</v>
      </c>
      <c r="B469" s="3">
        <v>7</v>
      </c>
      <c r="C469" s="4" t="s">
        <v>186</v>
      </c>
      <c r="D469" s="3" t="s">
        <v>232</v>
      </c>
      <c r="E469" s="3" t="s">
        <v>121</v>
      </c>
      <c r="F469" s="4" t="s">
        <v>126</v>
      </c>
      <c r="G469" s="3" t="s">
        <v>30</v>
      </c>
      <c r="H469" s="5">
        <v>112.72969999999999</v>
      </c>
      <c r="I469" s="5">
        <v>0.30220000000000002</v>
      </c>
      <c r="J469" s="5">
        <v>0.30059999999999998</v>
      </c>
      <c r="K469" s="6">
        <v>0.99470549305095946</v>
      </c>
      <c r="L469" s="5">
        <v>3.76</v>
      </c>
      <c r="M469" s="19">
        <f>H469*INDEX('Pliegos Tarifarios (Quilicura)'!$B:$B,MATCH($B469,'Pliegos Tarifarios (Quilicura)'!$A:$A,0))</f>
        <v>14853.6034611</v>
      </c>
      <c r="N469" s="19">
        <f>I469*INDEX('Pliegos Tarifarios (Quilicura)'!$C:$C,MATCH($B469,'Pliegos Tarifarios (Quilicura)'!$A:$A,0))</f>
        <v>1029.7885058000002</v>
      </c>
      <c r="O469" s="19">
        <f>J469*INDEX('Pliegos Tarifarios (Quilicura)'!$D:$D,MATCH($B469,'Pliegos Tarifarios (Quilicura)'!$A:$A,0))</f>
        <v>4350.5837999999994</v>
      </c>
      <c r="P469" s="19">
        <f>H469*INDEX('Pliegos Tarifarios (Quilicura)'!$E:$E,MATCH($B469,'Pliegos Tarifarios (Quilicura)'!$A:$A,0))</f>
        <v>1468.1916127999998</v>
      </c>
      <c r="Q469" s="19" cm="1">
        <f t="array" ref="Q469">H469*_xlfn.IFS(H469&lt;=350,INDEX('Pliegos Tarifarios (Quilicura)'!$F:$F,MATCH($B469,'Pliegos Tarifarios (Quilicura)'!$A:$A,0)),H469&lt;=500,INDEX('Pliegos Tarifarios (Quilicura)'!$G:$G,MATCH($B469,'Pliegos Tarifarios (Quilicura)'!$A:$A,0)),H469&lt;=1000,INDEX('Pliegos Tarifarios (Quilicura)'!$H:$H,MATCH($B469,'Pliegos Tarifarios (Quilicura)'!$A:$A,0)),H469&lt;=5000,INDEX('Pliegos Tarifarios (Quilicura)'!$I:$I,MATCH($B469,'Pliegos Tarifarios (Quilicura)'!$A:$A,0)),H469&gt;5000,INDEX('Pliegos Tarifarios (Quilicura)'!$J:$J,MATCH($B469,'Pliegos Tarifarios (Quilicura)'!$A:$A,0)))/1.19</f>
        <v>74.268978823529409</v>
      </c>
      <c r="R469" s="19">
        <f>INDEX('Pliegos Tarifarios (Quilicura)'!$K:$K,MATCH($B469,'Pliegos Tarifarios (Quilicura)'!$A:$A,0))</f>
        <v>726.16</v>
      </c>
      <c r="S469" s="21">
        <f t="shared" si="24"/>
        <v>22502.596358523529</v>
      </c>
      <c r="T469" s="21">
        <f t="shared" si="25"/>
        <v>4275.4933081194704</v>
      </c>
      <c r="U469" s="19">
        <v>0</v>
      </c>
      <c r="V469" s="21">
        <f t="shared" si="26"/>
        <v>26778.089666642998</v>
      </c>
    </row>
    <row r="470" spans="1:22" x14ac:dyDescent="0.3">
      <c r="A470" s="3" t="s">
        <v>146</v>
      </c>
      <c r="B470" s="3">
        <v>7</v>
      </c>
      <c r="C470" s="4" t="s">
        <v>186</v>
      </c>
      <c r="D470" s="3" t="s">
        <v>233</v>
      </c>
      <c r="E470" s="3" t="s">
        <v>121</v>
      </c>
      <c r="F470" s="4" t="s">
        <v>128</v>
      </c>
      <c r="G470" s="3" t="s">
        <v>30</v>
      </c>
      <c r="H470" s="5">
        <v>112.672</v>
      </c>
      <c r="I470" s="5">
        <v>0.30680000000000002</v>
      </c>
      <c r="J470" s="5">
        <v>0.30680000000000002</v>
      </c>
      <c r="K470" s="6">
        <v>1</v>
      </c>
      <c r="L470" s="5">
        <v>3.76</v>
      </c>
      <c r="M470" s="19">
        <f>H470*INDEX('Pliegos Tarifarios (Quilicura)'!$B:$B,MATCH($B470,'Pliegos Tarifarios (Quilicura)'!$A:$A,0))</f>
        <v>14846.000736</v>
      </c>
      <c r="N470" s="19">
        <f>I470*INDEX('Pliegos Tarifarios (Quilicura)'!$C:$C,MATCH($B470,'Pliegos Tarifarios (Quilicura)'!$A:$A,0))</f>
        <v>1045.4636452000002</v>
      </c>
      <c r="O470" s="19">
        <f>J470*INDEX('Pliegos Tarifarios (Quilicura)'!$D:$D,MATCH($B470,'Pliegos Tarifarios (Quilicura)'!$A:$A,0))</f>
        <v>4440.3164000000006</v>
      </c>
      <c r="P470" s="19">
        <f>H470*INDEX('Pliegos Tarifarios (Quilicura)'!$E:$E,MATCH($B470,'Pliegos Tarifarios (Quilicura)'!$A:$A,0))</f>
        <v>1467.440128</v>
      </c>
      <c r="Q470" s="19" cm="1">
        <f t="array" ref="Q470">H470*_xlfn.IFS(H470&lt;=350,INDEX('Pliegos Tarifarios (Quilicura)'!$F:$F,MATCH($B470,'Pliegos Tarifarios (Quilicura)'!$A:$A,0)),H470&lt;=500,INDEX('Pliegos Tarifarios (Quilicura)'!$G:$G,MATCH($B470,'Pliegos Tarifarios (Quilicura)'!$A:$A,0)),H470&lt;=1000,INDEX('Pliegos Tarifarios (Quilicura)'!$H:$H,MATCH($B470,'Pliegos Tarifarios (Quilicura)'!$A:$A,0)),H470&lt;=5000,INDEX('Pliegos Tarifarios (Quilicura)'!$I:$I,MATCH($B470,'Pliegos Tarifarios (Quilicura)'!$A:$A,0)),H470&gt;5000,INDEX('Pliegos Tarifarios (Quilicura)'!$J:$J,MATCH($B470,'Pliegos Tarifarios (Quilicura)'!$A:$A,0)))/1.19</f>
        <v>74.230964705882357</v>
      </c>
      <c r="R470" s="19">
        <f>INDEX('Pliegos Tarifarios (Quilicura)'!$K:$K,MATCH($B470,'Pliegos Tarifarios (Quilicura)'!$A:$A,0))</f>
        <v>726.16</v>
      </c>
      <c r="S470" s="21">
        <f t="shared" si="24"/>
        <v>22599.61187390588</v>
      </c>
      <c r="T470" s="21">
        <f t="shared" si="25"/>
        <v>4293.9262560421175</v>
      </c>
      <c r="U470" s="19">
        <v>0</v>
      </c>
      <c r="V470" s="21">
        <f t="shared" si="26"/>
        <v>26893.538129948</v>
      </c>
    </row>
    <row r="471" spans="1:22" x14ac:dyDescent="0.3">
      <c r="A471" s="3" t="s">
        <v>146</v>
      </c>
      <c r="B471" s="3">
        <v>7</v>
      </c>
      <c r="C471" s="4" t="s">
        <v>186</v>
      </c>
      <c r="D471" s="3" t="s">
        <v>234</v>
      </c>
      <c r="E471" s="3" t="s">
        <v>121</v>
      </c>
      <c r="F471" s="4" t="s">
        <v>130</v>
      </c>
      <c r="G471" s="3" t="s">
        <v>30</v>
      </c>
      <c r="H471" s="5">
        <v>112.41849999999999</v>
      </c>
      <c r="I471" s="5">
        <v>0.30630000000000002</v>
      </c>
      <c r="J471" s="5">
        <v>0.30630000000000002</v>
      </c>
      <c r="K471" s="6">
        <v>1</v>
      </c>
      <c r="L471" s="5">
        <v>3.75</v>
      </c>
      <c r="M471" s="19">
        <f>H471*INDEX('Pliegos Tarifarios (Quilicura)'!$B:$B,MATCH($B471,'Pliegos Tarifarios (Quilicura)'!$A:$A,0))</f>
        <v>14812.5988155</v>
      </c>
      <c r="N471" s="19">
        <f>I471*INDEX('Pliegos Tarifarios (Quilicura)'!$C:$C,MATCH($B471,'Pliegos Tarifarios (Quilicura)'!$A:$A,0))</f>
        <v>1043.7598257000002</v>
      </c>
      <c r="O471" s="19">
        <f>J471*INDEX('Pliegos Tarifarios (Quilicura)'!$D:$D,MATCH($B471,'Pliegos Tarifarios (Quilicura)'!$A:$A,0))</f>
        <v>4433.0799000000006</v>
      </c>
      <c r="P471" s="19">
        <f>H471*INDEX('Pliegos Tarifarios (Quilicura)'!$E:$E,MATCH($B471,'Pliegos Tarifarios (Quilicura)'!$A:$A,0))</f>
        <v>1464.1385439999999</v>
      </c>
      <c r="Q471" s="19" cm="1">
        <f t="array" ref="Q471">H471*_xlfn.IFS(H471&lt;=350,INDEX('Pliegos Tarifarios (Quilicura)'!$F:$F,MATCH($B471,'Pliegos Tarifarios (Quilicura)'!$A:$A,0)),H471&lt;=500,INDEX('Pliegos Tarifarios (Quilicura)'!$G:$G,MATCH($B471,'Pliegos Tarifarios (Quilicura)'!$A:$A,0)),H471&lt;=1000,INDEX('Pliegos Tarifarios (Quilicura)'!$H:$H,MATCH($B471,'Pliegos Tarifarios (Quilicura)'!$A:$A,0)),H471&lt;=5000,INDEX('Pliegos Tarifarios (Quilicura)'!$I:$I,MATCH($B471,'Pliegos Tarifarios (Quilicura)'!$A:$A,0)),H471&gt;5000,INDEX('Pliegos Tarifarios (Quilicura)'!$J:$J,MATCH($B471,'Pliegos Tarifarios (Quilicura)'!$A:$A,0)))/1.19</f>
        <v>74.063952941176481</v>
      </c>
      <c r="R471" s="19">
        <f>INDEX('Pliegos Tarifarios (Quilicura)'!$K:$K,MATCH($B471,'Pliegos Tarifarios (Quilicura)'!$A:$A,0))</f>
        <v>726.16</v>
      </c>
      <c r="S471" s="21">
        <f t="shared" si="24"/>
        <v>22553.80103814118</v>
      </c>
      <c r="T471" s="21">
        <f t="shared" si="25"/>
        <v>4285.2221972468242</v>
      </c>
      <c r="U471" s="19">
        <v>0</v>
      </c>
      <c r="V471" s="21">
        <f t="shared" si="26"/>
        <v>26839.023235388006</v>
      </c>
    </row>
    <row r="472" spans="1:22" x14ac:dyDescent="0.3">
      <c r="A472" s="3" t="s">
        <v>146</v>
      </c>
      <c r="B472" s="3">
        <v>7</v>
      </c>
      <c r="C472" s="4" t="s">
        <v>186</v>
      </c>
      <c r="D472" s="3" t="s">
        <v>235</v>
      </c>
      <c r="E472" s="3" t="s">
        <v>121</v>
      </c>
      <c r="F472" s="4" t="s">
        <v>132</v>
      </c>
      <c r="G472" s="3" t="s">
        <v>30</v>
      </c>
      <c r="H472" s="5">
        <v>112.6814</v>
      </c>
      <c r="I472" s="5">
        <v>0.30640000000000001</v>
      </c>
      <c r="J472" s="5">
        <v>0.2994</v>
      </c>
      <c r="K472" s="6">
        <v>0.97715404699738906</v>
      </c>
      <c r="L472" s="5">
        <v>3.76</v>
      </c>
      <c r="M472" s="19">
        <f>H472*INDEX('Pliegos Tarifarios (Quilicura)'!$B:$B,MATCH($B472,'Pliegos Tarifarios (Quilicura)'!$A:$A,0))</f>
        <v>14847.2393082</v>
      </c>
      <c r="N472" s="19">
        <f>I472*INDEX('Pliegos Tarifarios (Quilicura)'!$C:$C,MATCH($B472,'Pliegos Tarifarios (Quilicura)'!$A:$A,0))</f>
        <v>1044.1005896000001</v>
      </c>
      <c r="O472" s="19">
        <f>J472*INDEX('Pliegos Tarifarios (Quilicura)'!$D:$D,MATCH($B472,'Pliegos Tarifarios (Quilicura)'!$A:$A,0))</f>
        <v>4333.2161999999998</v>
      </c>
      <c r="P472" s="19">
        <f>H472*INDEX('Pliegos Tarifarios (Quilicura)'!$E:$E,MATCH($B472,'Pliegos Tarifarios (Quilicura)'!$A:$A,0))</f>
        <v>1467.5625535999998</v>
      </c>
      <c r="Q472" s="19" cm="1">
        <f t="array" ref="Q472">H472*_xlfn.IFS(H472&lt;=350,INDEX('Pliegos Tarifarios (Quilicura)'!$F:$F,MATCH($B472,'Pliegos Tarifarios (Quilicura)'!$A:$A,0)),H472&lt;=500,INDEX('Pliegos Tarifarios (Quilicura)'!$G:$G,MATCH($B472,'Pliegos Tarifarios (Quilicura)'!$A:$A,0)),H472&lt;=1000,INDEX('Pliegos Tarifarios (Quilicura)'!$H:$H,MATCH($B472,'Pliegos Tarifarios (Quilicura)'!$A:$A,0)),H472&lt;=5000,INDEX('Pliegos Tarifarios (Quilicura)'!$I:$I,MATCH($B472,'Pliegos Tarifarios (Quilicura)'!$A:$A,0)),H472&gt;5000,INDEX('Pliegos Tarifarios (Quilicura)'!$J:$J,MATCH($B472,'Pliegos Tarifarios (Quilicura)'!$A:$A,0)))/1.19</f>
        <v>74.237157647058822</v>
      </c>
      <c r="R472" s="19">
        <f>INDEX('Pliegos Tarifarios (Quilicura)'!$K:$K,MATCH($B472,'Pliegos Tarifarios (Quilicura)'!$A:$A,0))</f>
        <v>726.16</v>
      </c>
      <c r="S472" s="21">
        <f t="shared" si="24"/>
        <v>22492.515809047058</v>
      </c>
      <c r="T472" s="21">
        <f t="shared" si="25"/>
        <v>4273.5780037189406</v>
      </c>
      <c r="U472" s="19">
        <v>0</v>
      </c>
      <c r="V472" s="21">
        <f t="shared" si="26"/>
        <v>26766.093812765997</v>
      </c>
    </row>
    <row r="473" spans="1:22" x14ac:dyDescent="0.3">
      <c r="A473" s="3" t="s">
        <v>146</v>
      </c>
      <c r="B473" s="3">
        <v>7</v>
      </c>
      <c r="C473" s="4" t="s">
        <v>186</v>
      </c>
      <c r="D473" s="3" t="s">
        <v>236</v>
      </c>
      <c r="E473" s="3" t="s">
        <v>121</v>
      </c>
      <c r="F473" s="4" t="s">
        <v>134</v>
      </c>
      <c r="G473" s="3" t="s">
        <v>30</v>
      </c>
      <c r="H473" s="5">
        <v>112.7278</v>
      </c>
      <c r="I473" s="5">
        <v>0.3024</v>
      </c>
      <c r="J473" s="5">
        <v>0.29670000000000002</v>
      </c>
      <c r="K473" s="6">
        <v>0.98115079365079372</v>
      </c>
      <c r="L473" s="5">
        <v>3.76</v>
      </c>
      <c r="M473" s="19">
        <f>H473*INDEX('Pliegos Tarifarios (Quilicura)'!$B:$B,MATCH($B473,'Pliegos Tarifarios (Quilicura)'!$A:$A,0))</f>
        <v>14853.353111400002</v>
      </c>
      <c r="N473" s="19">
        <f>I473*INDEX('Pliegos Tarifarios (Quilicura)'!$C:$C,MATCH($B473,'Pliegos Tarifarios (Quilicura)'!$A:$A,0))</f>
        <v>1030.4700336000001</v>
      </c>
      <c r="O473" s="19">
        <f>J473*INDEX('Pliegos Tarifarios (Quilicura)'!$D:$D,MATCH($B473,'Pliegos Tarifarios (Quilicura)'!$A:$A,0))</f>
        <v>4294.1391000000003</v>
      </c>
      <c r="P473" s="19">
        <f>H473*INDEX('Pliegos Tarifarios (Quilicura)'!$E:$E,MATCH($B473,'Pliegos Tarifarios (Quilicura)'!$A:$A,0))</f>
        <v>1468.1668671999998</v>
      </c>
      <c r="Q473" s="19" cm="1">
        <f t="array" ref="Q473">H473*_xlfn.IFS(H473&lt;=350,INDEX('Pliegos Tarifarios (Quilicura)'!$F:$F,MATCH($B473,'Pliegos Tarifarios (Quilicura)'!$A:$A,0)),H473&lt;=500,INDEX('Pliegos Tarifarios (Quilicura)'!$G:$G,MATCH($B473,'Pliegos Tarifarios (Quilicura)'!$A:$A,0)),H473&lt;=1000,INDEX('Pliegos Tarifarios (Quilicura)'!$H:$H,MATCH($B473,'Pliegos Tarifarios (Quilicura)'!$A:$A,0)),H473&lt;=5000,INDEX('Pliegos Tarifarios (Quilicura)'!$I:$I,MATCH($B473,'Pliegos Tarifarios (Quilicura)'!$A:$A,0)),H473&gt;5000,INDEX('Pliegos Tarifarios (Quilicura)'!$J:$J,MATCH($B473,'Pliegos Tarifarios (Quilicura)'!$A:$A,0)))/1.19</f>
        <v>74.267727058823539</v>
      </c>
      <c r="R473" s="19">
        <f>INDEX('Pliegos Tarifarios (Quilicura)'!$K:$K,MATCH($B473,'Pliegos Tarifarios (Quilicura)'!$A:$A,0))</f>
        <v>726.16</v>
      </c>
      <c r="S473" s="21">
        <f t="shared" si="24"/>
        <v>22446.556839258828</v>
      </c>
      <c r="T473" s="21">
        <f t="shared" si="25"/>
        <v>4264.8457994591772</v>
      </c>
      <c r="U473" s="19">
        <v>0</v>
      </c>
      <c r="V473" s="21">
        <f t="shared" si="26"/>
        <v>26711.402638718006</v>
      </c>
    </row>
    <row r="474" spans="1:22" x14ac:dyDescent="0.3">
      <c r="A474" s="3" t="s">
        <v>146</v>
      </c>
      <c r="B474" s="3">
        <v>7</v>
      </c>
      <c r="C474" s="4" t="s">
        <v>186</v>
      </c>
      <c r="D474" s="3" t="s">
        <v>237</v>
      </c>
      <c r="E474" s="3" t="s">
        <v>121</v>
      </c>
      <c r="F474" s="4" t="s">
        <v>136</v>
      </c>
      <c r="G474" s="3" t="s">
        <v>30</v>
      </c>
      <c r="H474" s="5">
        <v>112.477</v>
      </c>
      <c r="I474" s="5">
        <v>0.30370000000000003</v>
      </c>
      <c r="J474" s="5">
        <v>0.30370000000000003</v>
      </c>
      <c r="K474" s="6">
        <v>1</v>
      </c>
      <c r="L474" s="5">
        <v>3.75</v>
      </c>
      <c r="M474" s="19">
        <f>H474*INDEX('Pliegos Tarifarios (Quilicura)'!$B:$B,MATCH($B474,'Pliegos Tarifarios (Quilicura)'!$A:$A,0))</f>
        <v>14820.306951</v>
      </c>
      <c r="N474" s="19">
        <f>I474*INDEX('Pliegos Tarifarios (Quilicura)'!$C:$C,MATCH($B474,'Pliegos Tarifarios (Quilicura)'!$A:$A,0))</f>
        <v>1034.8999643000002</v>
      </c>
      <c r="O474" s="19">
        <f>J474*INDEX('Pliegos Tarifarios (Quilicura)'!$D:$D,MATCH($B474,'Pliegos Tarifarios (Quilicura)'!$A:$A,0))</f>
        <v>4395.4501</v>
      </c>
      <c r="P474" s="19">
        <f>H474*INDEX('Pliegos Tarifarios (Quilicura)'!$E:$E,MATCH($B474,'Pliegos Tarifarios (Quilicura)'!$A:$A,0))</f>
        <v>1464.9004479999999</v>
      </c>
      <c r="Q474" s="19" cm="1">
        <f t="array" ref="Q474">H474*_xlfn.IFS(H474&lt;=350,INDEX('Pliegos Tarifarios (Quilicura)'!$F:$F,MATCH($B474,'Pliegos Tarifarios (Quilicura)'!$A:$A,0)),H474&lt;=500,INDEX('Pliegos Tarifarios (Quilicura)'!$G:$G,MATCH($B474,'Pliegos Tarifarios (Quilicura)'!$A:$A,0)),H474&lt;=1000,INDEX('Pliegos Tarifarios (Quilicura)'!$H:$H,MATCH($B474,'Pliegos Tarifarios (Quilicura)'!$A:$A,0)),H474&lt;=5000,INDEX('Pliegos Tarifarios (Quilicura)'!$I:$I,MATCH($B474,'Pliegos Tarifarios (Quilicura)'!$A:$A,0)),H474&gt;5000,INDEX('Pliegos Tarifarios (Quilicura)'!$J:$J,MATCH($B474,'Pliegos Tarifarios (Quilicura)'!$A:$A,0)))/1.19</f>
        <v>74.102494117647069</v>
      </c>
      <c r="R474" s="19">
        <f>INDEX('Pliegos Tarifarios (Quilicura)'!$K:$K,MATCH($B474,'Pliegos Tarifarios (Quilicura)'!$A:$A,0))</f>
        <v>726.16</v>
      </c>
      <c r="S474" s="21">
        <f t="shared" si="24"/>
        <v>22515.819957417647</v>
      </c>
      <c r="T474" s="21">
        <f t="shared" si="25"/>
        <v>4278.0057919093533</v>
      </c>
      <c r="U474" s="19">
        <v>0</v>
      </c>
      <c r="V474" s="21">
        <f t="shared" si="26"/>
        <v>26793.825749326999</v>
      </c>
    </row>
    <row r="475" spans="1:22" x14ac:dyDescent="0.3">
      <c r="A475" s="3" t="s">
        <v>146</v>
      </c>
      <c r="B475" s="3">
        <v>7</v>
      </c>
      <c r="C475" s="4" t="s">
        <v>186</v>
      </c>
      <c r="D475" s="3" t="s">
        <v>238</v>
      </c>
      <c r="E475" s="3" t="s">
        <v>121</v>
      </c>
      <c r="F475" s="4" t="s">
        <v>138</v>
      </c>
      <c r="G475" s="3" t="s">
        <v>30</v>
      </c>
      <c r="H475" s="5">
        <v>112.27119999999999</v>
      </c>
      <c r="I475" s="5">
        <v>0.30520000000000003</v>
      </c>
      <c r="J475" s="5">
        <v>0.29480000000000001</v>
      </c>
      <c r="K475" s="6">
        <v>0.96592398427260806</v>
      </c>
      <c r="L475" s="5">
        <v>3.74</v>
      </c>
      <c r="M475" s="19">
        <f>H475*INDEX('Pliegos Tarifarios (Quilicura)'!$B:$B,MATCH($B475,'Pliegos Tarifarios (Quilicura)'!$A:$A,0))</f>
        <v>14793.1901256</v>
      </c>
      <c r="N475" s="19">
        <f>I475*INDEX('Pliegos Tarifarios (Quilicura)'!$C:$C,MATCH($B475,'Pliegos Tarifarios (Quilicura)'!$A:$A,0))</f>
        <v>1040.0114228000002</v>
      </c>
      <c r="O475" s="19">
        <f>J475*INDEX('Pliegos Tarifarios (Quilicura)'!$D:$D,MATCH($B475,'Pliegos Tarifarios (Quilicura)'!$A:$A,0))</f>
        <v>4266.6404000000002</v>
      </c>
      <c r="P475" s="19">
        <f>H475*INDEX('Pliegos Tarifarios (Quilicura)'!$E:$E,MATCH($B475,'Pliegos Tarifarios (Quilicura)'!$A:$A,0))</f>
        <v>1462.2201087999997</v>
      </c>
      <c r="Q475" s="19" cm="1">
        <f t="array" ref="Q475">H475*_xlfn.IFS(H475&lt;=350,INDEX('Pliegos Tarifarios (Quilicura)'!$F:$F,MATCH($B475,'Pliegos Tarifarios (Quilicura)'!$A:$A,0)),H475&lt;=500,INDEX('Pliegos Tarifarios (Quilicura)'!$G:$G,MATCH($B475,'Pliegos Tarifarios (Quilicura)'!$A:$A,0)),H475&lt;=1000,INDEX('Pliegos Tarifarios (Quilicura)'!$H:$H,MATCH($B475,'Pliegos Tarifarios (Quilicura)'!$A:$A,0)),H475&lt;=5000,INDEX('Pliegos Tarifarios (Quilicura)'!$I:$I,MATCH($B475,'Pliegos Tarifarios (Quilicura)'!$A:$A,0)),H475&gt;5000,INDEX('Pliegos Tarifarios (Quilicura)'!$J:$J,MATCH($B475,'Pliegos Tarifarios (Quilicura)'!$A:$A,0)))/1.19</f>
        <v>73.966908235294127</v>
      </c>
      <c r="R475" s="19">
        <f>INDEX('Pliegos Tarifarios (Quilicura)'!$K:$K,MATCH($B475,'Pliegos Tarifarios (Quilicura)'!$A:$A,0))</f>
        <v>726.16</v>
      </c>
      <c r="S475" s="21">
        <f t="shared" si="24"/>
        <v>22362.188965435296</v>
      </c>
      <c r="T475" s="21">
        <f t="shared" si="25"/>
        <v>4248.8159034327064</v>
      </c>
      <c r="U475" s="19">
        <v>0</v>
      </c>
      <c r="V475" s="21">
        <f t="shared" si="26"/>
        <v>26611.004868868004</v>
      </c>
    </row>
    <row r="476" spans="1:22" x14ac:dyDescent="0.3">
      <c r="A476" s="3" t="s">
        <v>146</v>
      </c>
      <c r="B476" s="3">
        <v>7</v>
      </c>
      <c r="C476" s="4" t="s">
        <v>186</v>
      </c>
      <c r="D476" s="3" t="s">
        <v>239</v>
      </c>
      <c r="E476" s="3" t="s">
        <v>121</v>
      </c>
      <c r="F476" s="4" t="s">
        <v>140</v>
      </c>
      <c r="G476" s="3" t="s">
        <v>30</v>
      </c>
      <c r="H476" s="5">
        <v>112.3472</v>
      </c>
      <c r="I476" s="5">
        <v>0.30180000000000001</v>
      </c>
      <c r="J476" s="5">
        <v>0.29870000000000002</v>
      </c>
      <c r="K476" s="6">
        <v>0.98972829688535457</v>
      </c>
      <c r="L476" s="5">
        <v>3.74</v>
      </c>
      <c r="M476" s="19">
        <f>H476*INDEX('Pliegos Tarifarios (Quilicura)'!$B:$B,MATCH($B476,'Pliegos Tarifarios (Quilicura)'!$A:$A,0))</f>
        <v>14803.204113600001</v>
      </c>
      <c r="N476" s="19">
        <f>I476*INDEX('Pliegos Tarifarios (Quilicura)'!$C:$C,MATCH($B476,'Pliegos Tarifarios (Quilicura)'!$A:$A,0))</f>
        <v>1028.4254502000001</v>
      </c>
      <c r="O476" s="19">
        <f>J476*INDEX('Pliegos Tarifarios (Quilicura)'!$D:$D,MATCH($B476,'Pliegos Tarifarios (Quilicura)'!$A:$A,0))</f>
        <v>4323.0851000000002</v>
      </c>
      <c r="P476" s="19">
        <f>H476*INDEX('Pliegos Tarifarios (Quilicura)'!$E:$E,MATCH($B476,'Pliegos Tarifarios (Quilicura)'!$A:$A,0))</f>
        <v>1463.2099327999999</v>
      </c>
      <c r="Q476" s="19" cm="1">
        <f t="array" ref="Q476">H476*_xlfn.IFS(H476&lt;=350,INDEX('Pliegos Tarifarios (Quilicura)'!$F:$F,MATCH($B476,'Pliegos Tarifarios (Quilicura)'!$A:$A,0)),H476&lt;=500,INDEX('Pliegos Tarifarios (Quilicura)'!$G:$G,MATCH($B476,'Pliegos Tarifarios (Quilicura)'!$A:$A,0)),H476&lt;=1000,INDEX('Pliegos Tarifarios (Quilicura)'!$H:$H,MATCH($B476,'Pliegos Tarifarios (Quilicura)'!$A:$A,0)),H476&lt;=5000,INDEX('Pliegos Tarifarios (Quilicura)'!$I:$I,MATCH($B476,'Pliegos Tarifarios (Quilicura)'!$A:$A,0)),H476&gt;5000,INDEX('Pliegos Tarifarios (Quilicura)'!$J:$J,MATCH($B476,'Pliegos Tarifarios (Quilicura)'!$A:$A,0)))/1.19</f>
        <v>74.016978823529413</v>
      </c>
      <c r="R476" s="19">
        <f>INDEX('Pliegos Tarifarios (Quilicura)'!$K:$K,MATCH($B476,'Pliegos Tarifarios (Quilicura)'!$A:$A,0))</f>
        <v>726.16</v>
      </c>
      <c r="S476" s="21">
        <f t="shared" si="24"/>
        <v>22418.10157542353</v>
      </c>
      <c r="T476" s="21">
        <f t="shared" si="25"/>
        <v>4259.4392993304709</v>
      </c>
      <c r="U476" s="19">
        <v>0</v>
      </c>
      <c r="V476" s="21">
        <f t="shared" si="26"/>
        <v>26677.540874754002</v>
      </c>
    </row>
    <row r="477" spans="1:22" x14ac:dyDescent="0.3">
      <c r="A477" s="3" t="s">
        <v>146</v>
      </c>
      <c r="B477" s="3">
        <v>7</v>
      </c>
      <c r="C477" s="4" t="s">
        <v>186</v>
      </c>
      <c r="D477" s="3" t="s">
        <v>240</v>
      </c>
      <c r="E477" s="3" t="s">
        <v>121</v>
      </c>
      <c r="F477" s="4" t="s">
        <v>241</v>
      </c>
      <c r="G477" s="3" t="s">
        <v>30</v>
      </c>
      <c r="H477" s="5">
        <v>112.71469999999999</v>
      </c>
      <c r="I477" s="5">
        <v>0.30759999999999998</v>
      </c>
      <c r="J477" s="5">
        <v>0.30280000000000001</v>
      </c>
      <c r="K477" s="6">
        <v>0.98439531859557872</v>
      </c>
      <c r="L477" s="5">
        <v>3.76</v>
      </c>
      <c r="M477" s="19">
        <f>H477*INDEX('Pliegos Tarifarios (Quilicura)'!$B:$B,MATCH($B477,'Pliegos Tarifarios (Quilicura)'!$A:$A,0))</f>
        <v>14851.627016099999</v>
      </c>
      <c r="N477" s="19">
        <f>I477*INDEX('Pliegos Tarifarios (Quilicura)'!$C:$C,MATCH($B477,'Pliegos Tarifarios (Quilicura)'!$A:$A,0))</f>
        <v>1048.1897564000001</v>
      </c>
      <c r="O477" s="19">
        <f>J477*INDEX('Pliegos Tarifarios (Quilicura)'!$D:$D,MATCH($B477,'Pliegos Tarifarios (Quilicura)'!$A:$A,0))</f>
        <v>4382.4243999999999</v>
      </c>
      <c r="P477" s="19">
        <f>H477*INDEX('Pliegos Tarifarios (Quilicura)'!$E:$E,MATCH($B477,'Pliegos Tarifarios (Quilicura)'!$A:$A,0))</f>
        <v>1467.9962527999999</v>
      </c>
      <c r="Q477" s="19" cm="1">
        <f t="array" ref="Q477">H477*_xlfn.IFS(H477&lt;=350,INDEX('Pliegos Tarifarios (Quilicura)'!$F:$F,MATCH($B477,'Pliegos Tarifarios (Quilicura)'!$A:$A,0)),H477&lt;=500,INDEX('Pliegos Tarifarios (Quilicura)'!$G:$G,MATCH($B477,'Pliegos Tarifarios (Quilicura)'!$A:$A,0)),H477&lt;=1000,INDEX('Pliegos Tarifarios (Quilicura)'!$H:$H,MATCH($B477,'Pliegos Tarifarios (Quilicura)'!$A:$A,0)),H477&lt;=5000,INDEX('Pliegos Tarifarios (Quilicura)'!$I:$I,MATCH($B477,'Pliegos Tarifarios (Quilicura)'!$A:$A,0)),H477&gt;5000,INDEX('Pliegos Tarifarios (Quilicura)'!$J:$J,MATCH($B477,'Pliegos Tarifarios (Quilicura)'!$A:$A,0)))/1.19</f>
        <v>74.259096470588233</v>
      </c>
      <c r="R477" s="19">
        <f>INDEX('Pliegos Tarifarios (Quilicura)'!$K:$K,MATCH($B477,'Pliegos Tarifarios (Quilicura)'!$A:$A,0))</f>
        <v>726.16</v>
      </c>
      <c r="S477" s="21">
        <f t="shared" si="24"/>
        <v>22550.656521770587</v>
      </c>
      <c r="T477" s="21">
        <f t="shared" si="25"/>
        <v>4284.6247391364113</v>
      </c>
      <c r="U477" s="19">
        <v>0</v>
      </c>
      <c r="V477" s="21">
        <f t="shared" si="26"/>
        <v>26835.281260906999</v>
      </c>
    </row>
    <row r="478" spans="1:22" x14ac:dyDescent="0.3">
      <c r="A478" s="3" t="s">
        <v>146</v>
      </c>
      <c r="B478" s="3">
        <v>7</v>
      </c>
      <c r="C478" s="4" t="s">
        <v>186</v>
      </c>
      <c r="D478" s="3" t="s">
        <v>242</v>
      </c>
      <c r="E478" s="3" t="s">
        <v>121</v>
      </c>
      <c r="F478" s="4" t="s">
        <v>243</v>
      </c>
      <c r="G478" s="3" t="s">
        <v>30</v>
      </c>
      <c r="H478" s="5">
        <v>112.58629999999999</v>
      </c>
      <c r="I478" s="5">
        <v>0.30840000000000001</v>
      </c>
      <c r="J478" s="5">
        <v>0.30840000000000001</v>
      </c>
      <c r="K478" s="6">
        <v>1</v>
      </c>
      <c r="L478" s="5">
        <v>3.75</v>
      </c>
      <c r="M478" s="19">
        <f>H478*INDEX('Pliegos Tarifarios (Quilicura)'!$B:$B,MATCH($B478,'Pliegos Tarifarios (Quilicura)'!$A:$A,0))</f>
        <v>14834.708646900001</v>
      </c>
      <c r="N478" s="19">
        <f>I478*INDEX('Pliegos Tarifarios (Quilicura)'!$C:$C,MATCH($B478,'Pliegos Tarifarios (Quilicura)'!$A:$A,0))</f>
        <v>1050.9158676</v>
      </c>
      <c r="O478" s="19">
        <f>J478*INDEX('Pliegos Tarifarios (Quilicura)'!$D:$D,MATCH($B478,'Pliegos Tarifarios (Quilicura)'!$A:$A,0))</f>
        <v>4463.4732000000004</v>
      </c>
      <c r="P478" s="19">
        <f>H478*INDEX('Pliegos Tarifarios (Quilicura)'!$E:$E,MATCH($B478,'Pliegos Tarifarios (Quilicura)'!$A:$A,0))</f>
        <v>1466.3239711999997</v>
      </c>
      <c r="Q478" s="19" cm="1">
        <f t="array" ref="Q478">H478*_xlfn.IFS(H478&lt;=350,INDEX('Pliegos Tarifarios (Quilicura)'!$F:$F,MATCH($B478,'Pliegos Tarifarios (Quilicura)'!$A:$A,0)),H478&lt;=500,INDEX('Pliegos Tarifarios (Quilicura)'!$G:$G,MATCH($B478,'Pliegos Tarifarios (Quilicura)'!$A:$A,0)),H478&lt;=1000,INDEX('Pliegos Tarifarios (Quilicura)'!$H:$H,MATCH($B478,'Pliegos Tarifarios (Quilicura)'!$A:$A,0)),H478&lt;=5000,INDEX('Pliegos Tarifarios (Quilicura)'!$I:$I,MATCH($B478,'Pliegos Tarifarios (Quilicura)'!$A:$A,0)),H478&gt;5000,INDEX('Pliegos Tarifarios (Quilicura)'!$J:$J,MATCH($B478,'Pliegos Tarifarios (Quilicura)'!$A:$A,0)))/1.19</f>
        <v>74.174503529411766</v>
      </c>
      <c r="R478" s="19">
        <f>INDEX('Pliegos Tarifarios (Quilicura)'!$K:$K,MATCH($B478,'Pliegos Tarifarios (Quilicura)'!$A:$A,0))</f>
        <v>726.16</v>
      </c>
      <c r="S478" s="21">
        <f t="shared" si="24"/>
        <v>22615.756189229411</v>
      </c>
      <c r="T478" s="21">
        <f t="shared" si="25"/>
        <v>4296.9936759535876</v>
      </c>
      <c r="U478" s="19">
        <v>0</v>
      </c>
      <c r="V478" s="21">
        <f t="shared" si="26"/>
        <v>26912.749865182999</v>
      </c>
    </row>
    <row r="479" spans="1:22" x14ac:dyDescent="0.3">
      <c r="A479" s="3" t="s">
        <v>146</v>
      </c>
      <c r="B479" s="3">
        <v>7</v>
      </c>
      <c r="C479" s="4" t="s">
        <v>186</v>
      </c>
      <c r="D479" s="3" t="s">
        <v>244</v>
      </c>
      <c r="E479" s="3" t="s">
        <v>121</v>
      </c>
      <c r="F479" s="4" t="s">
        <v>245</v>
      </c>
      <c r="G479" s="3" t="s">
        <v>30</v>
      </c>
      <c r="H479" s="5">
        <v>112.3677</v>
      </c>
      <c r="I479" s="5">
        <v>0.30370000000000003</v>
      </c>
      <c r="J479" s="5">
        <v>0.30359999999999998</v>
      </c>
      <c r="K479" s="6">
        <v>0.99967072769180099</v>
      </c>
      <c r="L479" s="5">
        <v>3.75</v>
      </c>
      <c r="M479" s="19">
        <f>H479*INDEX('Pliegos Tarifarios (Quilicura)'!$B:$B,MATCH($B479,'Pliegos Tarifarios (Quilicura)'!$A:$A,0))</f>
        <v>14805.9052551</v>
      </c>
      <c r="N479" s="19">
        <f>I479*INDEX('Pliegos Tarifarios (Quilicura)'!$C:$C,MATCH($B479,'Pliegos Tarifarios (Quilicura)'!$A:$A,0))</f>
        <v>1034.8999643000002</v>
      </c>
      <c r="O479" s="19">
        <f>J479*INDEX('Pliegos Tarifarios (Quilicura)'!$D:$D,MATCH($B479,'Pliegos Tarifarios (Quilicura)'!$A:$A,0))</f>
        <v>4394.0027999999993</v>
      </c>
      <c r="P479" s="19">
        <f>H479*INDEX('Pliegos Tarifarios (Quilicura)'!$E:$E,MATCH($B479,'Pliegos Tarifarios (Quilicura)'!$A:$A,0))</f>
        <v>1463.4769248</v>
      </c>
      <c r="Q479" s="19" cm="1">
        <f t="array" ref="Q479">H479*_xlfn.IFS(H479&lt;=350,INDEX('Pliegos Tarifarios (Quilicura)'!$F:$F,MATCH($B479,'Pliegos Tarifarios (Quilicura)'!$A:$A,0)),H479&lt;=500,INDEX('Pliegos Tarifarios (Quilicura)'!$G:$G,MATCH($B479,'Pliegos Tarifarios (Quilicura)'!$A:$A,0)),H479&lt;=1000,INDEX('Pliegos Tarifarios (Quilicura)'!$H:$H,MATCH($B479,'Pliegos Tarifarios (Quilicura)'!$A:$A,0)),H479&lt;=5000,INDEX('Pliegos Tarifarios (Quilicura)'!$I:$I,MATCH($B479,'Pliegos Tarifarios (Quilicura)'!$A:$A,0)),H479&gt;5000,INDEX('Pliegos Tarifarios (Quilicura)'!$J:$J,MATCH($B479,'Pliegos Tarifarios (Quilicura)'!$A:$A,0)))/1.19</f>
        <v>74.030484705882358</v>
      </c>
      <c r="R479" s="19">
        <f>INDEX('Pliegos Tarifarios (Quilicura)'!$K:$K,MATCH($B479,'Pliegos Tarifarios (Quilicura)'!$A:$A,0))</f>
        <v>726.16</v>
      </c>
      <c r="S479" s="21">
        <f t="shared" si="24"/>
        <v>22498.475428905884</v>
      </c>
      <c r="T479" s="21">
        <f t="shared" si="25"/>
        <v>4274.7103314921178</v>
      </c>
      <c r="U479" s="19">
        <v>0</v>
      </c>
      <c r="V479" s="21">
        <f t="shared" si="26"/>
        <v>26773.185760398002</v>
      </c>
    </row>
    <row r="480" spans="1:22" x14ac:dyDescent="0.3">
      <c r="A480" s="3" t="s">
        <v>146</v>
      </c>
      <c r="B480" s="3">
        <v>7</v>
      </c>
      <c r="C480" s="4" t="s">
        <v>186</v>
      </c>
      <c r="D480" s="3" t="s">
        <v>246</v>
      </c>
      <c r="E480" s="3" t="s">
        <v>121</v>
      </c>
      <c r="F480" s="4" t="s">
        <v>247</v>
      </c>
      <c r="G480" s="3" t="s">
        <v>30</v>
      </c>
      <c r="H480" s="5">
        <v>112.5556</v>
      </c>
      <c r="I480" s="5">
        <v>0.30180000000000001</v>
      </c>
      <c r="J480" s="5">
        <v>0.30180000000000001</v>
      </c>
      <c r="K480" s="6">
        <v>1</v>
      </c>
      <c r="L480" s="5">
        <v>3.75</v>
      </c>
      <c r="M480" s="19">
        <f>H480*INDEX('Pliegos Tarifarios (Quilicura)'!$B:$B,MATCH($B480,'Pliegos Tarifarios (Quilicura)'!$A:$A,0))</f>
        <v>14830.6635228</v>
      </c>
      <c r="N480" s="19">
        <f>I480*INDEX('Pliegos Tarifarios (Quilicura)'!$C:$C,MATCH($B480,'Pliegos Tarifarios (Quilicura)'!$A:$A,0))</f>
        <v>1028.4254502000001</v>
      </c>
      <c r="O480" s="19">
        <f>J480*INDEX('Pliegos Tarifarios (Quilicura)'!$D:$D,MATCH($B480,'Pliegos Tarifarios (Quilicura)'!$A:$A,0))</f>
        <v>4367.9513999999999</v>
      </c>
      <c r="P480" s="19">
        <f>H480*INDEX('Pliegos Tarifarios (Quilicura)'!$E:$E,MATCH($B480,'Pliegos Tarifarios (Quilicura)'!$A:$A,0))</f>
        <v>1465.9241344</v>
      </c>
      <c r="Q480" s="19" cm="1">
        <f t="array" ref="Q480">H480*_xlfn.IFS(H480&lt;=350,INDEX('Pliegos Tarifarios (Quilicura)'!$F:$F,MATCH($B480,'Pliegos Tarifarios (Quilicura)'!$A:$A,0)),H480&lt;=500,INDEX('Pliegos Tarifarios (Quilicura)'!$G:$G,MATCH($B480,'Pliegos Tarifarios (Quilicura)'!$A:$A,0)),H480&lt;=1000,INDEX('Pliegos Tarifarios (Quilicura)'!$H:$H,MATCH($B480,'Pliegos Tarifarios (Quilicura)'!$A:$A,0)),H480&lt;=5000,INDEX('Pliegos Tarifarios (Quilicura)'!$I:$I,MATCH($B480,'Pliegos Tarifarios (Quilicura)'!$A:$A,0)),H480&gt;5000,INDEX('Pliegos Tarifarios (Quilicura)'!$J:$J,MATCH($B480,'Pliegos Tarifarios (Quilicura)'!$A:$A,0)))/1.19</f>
        <v>74.154277647058834</v>
      </c>
      <c r="R480" s="19">
        <f>INDEX('Pliegos Tarifarios (Quilicura)'!$K:$K,MATCH($B480,'Pliegos Tarifarios (Quilicura)'!$A:$A,0))</f>
        <v>726.16</v>
      </c>
      <c r="S480" s="21">
        <f t="shared" si="24"/>
        <v>22493.27878504706</v>
      </c>
      <c r="T480" s="21">
        <f t="shared" si="25"/>
        <v>4273.7229691589409</v>
      </c>
      <c r="U480" s="19">
        <v>0</v>
      </c>
      <c r="V480" s="21">
        <f t="shared" si="26"/>
        <v>26767.001754206001</v>
      </c>
    </row>
    <row r="481" spans="1:22" x14ac:dyDescent="0.3">
      <c r="A481" s="3" t="s">
        <v>146</v>
      </c>
      <c r="B481" s="3">
        <v>7</v>
      </c>
      <c r="C481" s="4" t="s">
        <v>186</v>
      </c>
      <c r="D481" s="3" t="s">
        <v>248</v>
      </c>
      <c r="E481" s="3" t="s">
        <v>121</v>
      </c>
      <c r="F481" s="4" t="s">
        <v>249</v>
      </c>
      <c r="G481" s="3" t="s">
        <v>30</v>
      </c>
      <c r="H481" s="5">
        <v>112.35639999999999</v>
      </c>
      <c r="I481" s="5">
        <v>0.311</v>
      </c>
      <c r="J481" s="5">
        <v>0.311</v>
      </c>
      <c r="K481" s="6">
        <v>1</v>
      </c>
      <c r="L481" s="5">
        <v>3.75</v>
      </c>
      <c r="M481" s="19">
        <f>H481*INDEX('Pliegos Tarifarios (Quilicura)'!$B:$B,MATCH($B481,'Pliegos Tarifarios (Quilicura)'!$A:$A,0))</f>
        <v>14804.416333199999</v>
      </c>
      <c r="N481" s="19">
        <f>I481*INDEX('Pliegos Tarifarios (Quilicura)'!$C:$C,MATCH($B481,'Pliegos Tarifarios (Quilicura)'!$A:$A,0))</f>
        <v>1059.775729</v>
      </c>
      <c r="O481" s="19">
        <f>J481*INDEX('Pliegos Tarifarios (Quilicura)'!$D:$D,MATCH($B481,'Pliegos Tarifarios (Quilicura)'!$A:$A,0))</f>
        <v>4501.1030000000001</v>
      </c>
      <c r="P481" s="19">
        <f>H481*INDEX('Pliegos Tarifarios (Quilicura)'!$E:$E,MATCH($B481,'Pliegos Tarifarios (Quilicura)'!$A:$A,0))</f>
        <v>1463.3297535999998</v>
      </c>
      <c r="Q481" s="19" cm="1">
        <f t="array" ref="Q481">H481*_xlfn.IFS(H481&lt;=350,INDEX('Pliegos Tarifarios (Quilicura)'!$F:$F,MATCH($B481,'Pliegos Tarifarios (Quilicura)'!$A:$A,0)),H481&lt;=500,INDEX('Pliegos Tarifarios (Quilicura)'!$G:$G,MATCH($B481,'Pliegos Tarifarios (Quilicura)'!$A:$A,0)),H481&lt;=1000,INDEX('Pliegos Tarifarios (Quilicura)'!$H:$H,MATCH($B481,'Pliegos Tarifarios (Quilicura)'!$A:$A,0)),H481&lt;=5000,INDEX('Pliegos Tarifarios (Quilicura)'!$I:$I,MATCH($B481,'Pliegos Tarifarios (Quilicura)'!$A:$A,0)),H481&gt;5000,INDEX('Pliegos Tarifarios (Quilicura)'!$J:$J,MATCH($B481,'Pliegos Tarifarios (Quilicura)'!$A:$A,0)))/1.19</f>
        <v>74.023039999999995</v>
      </c>
      <c r="R481" s="19">
        <f>INDEX('Pliegos Tarifarios (Quilicura)'!$K:$K,MATCH($B481,'Pliegos Tarifarios (Quilicura)'!$A:$A,0))</f>
        <v>726.16</v>
      </c>
      <c r="S481" s="21">
        <f t="shared" si="24"/>
        <v>22628.807855799998</v>
      </c>
      <c r="T481" s="21">
        <f t="shared" si="25"/>
        <v>4299.4734926020001</v>
      </c>
      <c r="U481" s="19">
        <v>0</v>
      </c>
      <c r="V481" s="21">
        <f t="shared" si="26"/>
        <v>26928.281348401997</v>
      </c>
    </row>
    <row r="482" spans="1:22" x14ac:dyDescent="0.3">
      <c r="A482" s="3" t="s">
        <v>146</v>
      </c>
      <c r="B482" s="3">
        <v>7</v>
      </c>
      <c r="C482" s="4" t="s">
        <v>186</v>
      </c>
      <c r="D482" s="3" t="s">
        <v>250</v>
      </c>
      <c r="E482" s="3" t="s">
        <v>121</v>
      </c>
      <c r="F482" s="4" t="s">
        <v>251</v>
      </c>
      <c r="G482" s="3" t="s">
        <v>30</v>
      </c>
      <c r="H482" s="5">
        <v>112.3843</v>
      </c>
      <c r="I482" s="5">
        <v>0.3095</v>
      </c>
      <c r="J482" s="5">
        <v>0.29959999999999998</v>
      </c>
      <c r="K482" s="6">
        <v>0.9680129240710823</v>
      </c>
      <c r="L482" s="5">
        <v>3.75</v>
      </c>
      <c r="M482" s="19">
        <f>H482*INDEX('Pliegos Tarifarios (Quilicura)'!$B:$B,MATCH($B482,'Pliegos Tarifarios (Quilicura)'!$A:$A,0))</f>
        <v>14808.0925209</v>
      </c>
      <c r="N482" s="19">
        <f>I482*INDEX('Pliegos Tarifarios (Quilicura)'!$C:$C,MATCH($B482,'Pliegos Tarifarios (Quilicura)'!$A:$A,0))</f>
        <v>1054.6642704999999</v>
      </c>
      <c r="O482" s="19">
        <f>J482*INDEX('Pliegos Tarifarios (Quilicura)'!$D:$D,MATCH($B482,'Pliegos Tarifarios (Quilicura)'!$A:$A,0))</f>
        <v>4336.1107999999995</v>
      </c>
      <c r="P482" s="19">
        <f>H482*INDEX('Pliegos Tarifarios (Quilicura)'!$E:$E,MATCH($B482,'Pliegos Tarifarios (Quilicura)'!$A:$A,0))</f>
        <v>1463.6931231999999</v>
      </c>
      <c r="Q482" s="19" cm="1">
        <f t="array" ref="Q482">H482*_xlfn.IFS(H482&lt;=350,INDEX('Pliegos Tarifarios (Quilicura)'!$F:$F,MATCH($B482,'Pliegos Tarifarios (Quilicura)'!$A:$A,0)),H482&lt;=500,INDEX('Pliegos Tarifarios (Quilicura)'!$G:$G,MATCH($B482,'Pliegos Tarifarios (Quilicura)'!$A:$A,0)),H482&lt;=1000,INDEX('Pliegos Tarifarios (Quilicura)'!$H:$H,MATCH($B482,'Pliegos Tarifarios (Quilicura)'!$A:$A,0)),H482&lt;=5000,INDEX('Pliegos Tarifarios (Quilicura)'!$I:$I,MATCH($B482,'Pliegos Tarifarios (Quilicura)'!$A:$A,0)),H482&gt;5000,INDEX('Pliegos Tarifarios (Quilicura)'!$J:$J,MATCH($B482,'Pliegos Tarifarios (Quilicura)'!$A:$A,0)))/1.19</f>
        <v>74.041421176470593</v>
      </c>
      <c r="R482" s="19">
        <f>INDEX('Pliegos Tarifarios (Quilicura)'!$K:$K,MATCH($B482,'Pliegos Tarifarios (Quilicura)'!$A:$A,0))</f>
        <v>726.16</v>
      </c>
      <c r="S482" s="21">
        <f t="shared" si="24"/>
        <v>22462.762135776466</v>
      </c>
      <c r="T482" s="21">
        <f t="shared" si="25"/>
        <v>4267.9248057975283</v>
      </c>
      <c r="U482" s="19">
        <v>0</v>
      </c>
      <c r="V482" s="21">
        <f t="shared" si="26"/>
        <v>26730.686941573993</v>
      </c>
    </row>
    <row r="483" spans="1:22" x14ac:dyDescent="0.3">
      <c r="A483" s="3" t="s">
        <v>146</v>
      </c>
      <c r="B483" s="3">
        <v>7</v>
      </c>
      <c r="C483" s="4" t="s">
        <v>186</v>
      </c>
      <c r="D483" s="3" t="s">
        <v>252</v>
      </c>
      <c r="E483" s="3" t="s">
        <v>121</v>
      </c>
      <c r="F483" s="4" t="s">
        <v>253</v>
      </c>
      <c r="G483" s="3" t="s">
        <v>30</v>
      </c>
      <c r="H483" s="5">
        <v>112.50149999999999</v>
      </c>
      <c r="I483" s="5">
        <v>0.29830000000000001</v>
      </c>
      <c r="J483" s="5">
        <v>0.29499999999999998</v>
      </c>
      <c r="K483" s="6">
        <v>0.98893731143144481</v>
      </c>
      <c r="L483" s="5">
        <v>3.75</v>
      </c>
      <c r="M483" s="19">
        <f>H483*INDEX('Pliegos Tarifarios (Quilicura)'!$B:$B,MATCH($B483,'Pliegos Tarifarios (Quilicura)'!$A:$A,0))</f>
        <v>14823.5351445</v>
      </c>
      <c r="N483" s="19">
        <f>I483*INDEX('Pliegos Tarifarios (Quilicura)'!$C:$C,MATCH($B483,'Pliegos Tarifarios (Quilicura)'!$A:$A,0))</f>
        <v>1016.4987137000001</v>
      </c>
      <c r="O483" s="19">
        <f>J483*INDEX('Pliegos Tarifarios (Quilicura)'!$D:$D,MATCH($B483,'Pliegos Tarifarios (Quilicura)'!$A:$A,0))</f>
        <v>4269.5349999999999</v>
      </c>
      <c r="P483" s="19">
        <f>H483*INDEX('Pliegos Tarifarios (Quilicura)'!$E:$E,MATCH($B483,'Pliegos Tarifarios (Quilicura)'!$A:$A,0))</f>
        <v>1465.2195359999998</v>
      </c>
      <c r="Q483" s="19" cm="1">
        <f t="array" ref="Q483">H483*_xlfn.IFS(H483&lt;=350,INDEX('Pliegos Tarifarios (Quilicura)'!$F:$F,MATCH($B483,'Pliegos Tarifarios (Quilicura)'!$A:$A,0)),H483&lt;=500,INDEX('Pliegos Tarifarios (Quilicura)'!$G:$G,MATCH($B483,'Pliegos Tarifarios (Quilicura)'!$A:$A,0)),H483&lt;=1000,INDEX('Pliegos Tarifarios (Quilicura)'!$H:$H,MATCH($B483,'Pliegos Tarifarios (Quilicura)'!$A:$A,0)),H483&lt;=5000,INDEX('Pliegos Tarifarios (Quilicura)'!$I:$I,MATCH($B483,'Pliegos Tarifarios (Quilicura)'!$A:$A,0)),H483&gt;5000,INDEX('Pliegos Tarifarios (Quilicura)'!$J:$J,MATCH($B483,'Pliegos Tarifarios (Quilicura)'!$A:$A,0)))/1.19</f>
        <v>74.118635294117652</v>
      </c>
      <c r="R483" s="19">
        <f>INDEX('Pliegos Tarifarios (Quilicura)'!$K:$K,MATCH($B483,'Pliegos Tarifarios (Quilicura)'!$A:$A,0))</f>
        <v>726.16</v>
      </c>
      <c r="S483" s="21">
        <f t="shared" si="24"/>
        <v>22375.067029494119</v>
      </c>
      <c r="T483" s="21">
        <f t="shared" si="25"/>
        <v>4251.2627356038829</v>
      </c>
      <c r="U483" s="19">
        <v>0</v>
      </c>
      <c r="V483" s="21">
        <f t="shared" si="26"/>
        <v>26626.329765098002</v>
      </c>
    </row>
    <row r="484" spans="1:22" x14ac:dyDescent="0.3">
      <c r="A484" s="3" t="s">
        <v>146</v>
      </c>
      <c r="B484" s="3">
        <v>7</v>
      </c>
      <c r="C484" s="4" t="s">
        <v>186</v>
      </c>
      <c r="D484" s="3" t="s">
        <v>254</v>
      </c>
      <c r="E484" s="3" t="s">
        <v>121</v>
      </c>
      <c r="F484" s="4" t="s">
        <v>255</v>
      </c>
      <c r="G484" s="3" t="s">
        <v>30</v>
      </c>
      <c r="H484" s="5">
        <v>112.38939999999999</v>
      </c>
      <c r="I484" s="5">
        <v>0.30840000000000001</v>
      </c>
      <c r="J484" s="5">
        <v>0.29570000000000002</v>
      </c>
      <c r="K484" s="6">
        <v>0.95881971465629057</v>
      </c>
      <c r="L484" s="5">
        <v>3.75</v>
      </c>
      <c r="M484" s="19">
        <f>H484*INDEX('Pliegos Tarifarios (Quilicura)'!$B:$B,MATCH($B484,'Pliegos Tarifarios (Quilicura)'!$A:$A,0))</f>
        <v>14808.764512199999</v>
      </c>
      <c r="N484" s="19">
        <f>I484*INDEX('Pliegos Tarifarios (Quilicura)'!$C:$C,MATCH($B484,'Pliegos Tarifarios (Quilicura)'!$A:$A,0))</f>
        <v>1050.9158676</v>
      </c>
      <c r="O484" s="19">
        <f>J484*INDEX('Pliegos Tarifarios (Quilicura)'!$D:$D,MATCH($B484,'Pliegos Tarifarios (Quilicura)'!$A:$A,0))</f>
        <v>4279.6661000000004</v>
      </c>
      <c r="P484" s="19">
        <f>H484*INDEX('Pliegos Tarifarios (Quilicura)'!$E:$E,MATCH($B484,'Pliegos Tarifarios (Quilicura)'!$A:$A,0))</f>
        <v>1463.7595455999999</v>
      </c>
      <c r="Q484" s="19" cm="1">
        <f t="array" ref="Q484">H484*_xlfn.IFS(H484&lt;=350,INDEX('Pliegos Tarifarios (Quilicura)'!$F:$F,MATCH($B484,'Pliegos Tarifarios (Quilicura)'!$A:$A,0)),H484&lt;=500,INDEX('Pliegos Tarifarios (Quilicura)'!$G:$G,MATCH($B484,'Pliegos Tarifarios (Quilicura)'!$A:$A,0)),H484&lt;=1000,INDEX('Pliegos Tarifarios (Quilicura)'!$H:$H,MATCH($B484,'Pliegos Tarifarios (Quilicura)'!$A:$A,0)),H484&lt;=5000,INDEX('Pliegos Tarifarios (Quilicura)'!$I:$I,MATCH($B484,'Pliegos Tarifarios (Quilicura)'!$A:$A,0)),H484&gt;5000,INDEX('Pliegos Tarifarios (Quilicura)'!$J:$J,MATCH($B484,'Pliegos Tarifarios (Quilicura)'!$A:$A,0)))/1.19</f>
        <v>74.044781176470593</v>
      </c>
      <c r="R484" s="19">
        <f>INDEX('Pliegos Tarifarios (Quilicura)'!$K:$K,MATCH($B484,'Pliegos Tarifarios (Quilicura)'!$A:$A,0))</f>
        <v>726.16</v>
      </c>
      <c r="S484" s="21">
        <f t="shared" si="24"/>
        <v>22403.310806576468</v>
      </c>
      <c r="T484" s="21">
        <f t="shared" si="25"/>
        <v>4256.6290532495286</v>
      </c>
      <c r="U484" s="19">
        <v>0</v>
      </c>
      <c r="V484" s="21">
        <f t="shared" si="26"/>
        <v>26659.939859825998</v>
      </c>
    </row>
    <row r="485" spans="1:22" x14ac:dyDescent="0.3">
      <c r="A485" s="3" t="s">
        <v>146</v>
      </c>
      <c r="B485" s="3">
        <v>7</v>
      </c>
      <c r="C485" s="4" t="s">
        <v>186</v>
      </c>
      <c r="D485" s="3" t="s">
        <v>256</v>
      </c>
      <c r="E485" s="3" t="s">
        <v>121</v>
      </c>
      <c r="F485" s="4" t="s">
        <v>257</v>
      </c>
      <c r="G485" s="3" t="s">
        <v>30</v>
      </c>
      <c r="H485" s="5">
        <v>112.7379</v>
      </c>
      <c r="I485" s="5">
        <v>0.30890000000000001</v>
      </c>
      <c r="J485" s="5">
        <v>0.29580000000000001</v>
      </c>
      <c r="K485" s="6">
        <v>0.95759145354483655</v>
      </c>
      <c r="L485" s="5">
        <v>3.76</v>
      </c>
      <c r="M485" s="19">
        <f>H485*INDEX('Pliegos Tarifarios (Quilicura)'!$B:$B,MATCH($B485,'Pliegos Tarifarios (Quilicura)'!$A:$A,0))</f>
        <v>14854.6839177</v>
      </c>
      <c r="N485" s="19">
        <f>I485*INDEX('Pliegos Tarifarios (Quilicura)'!$C:$C,MATCH($B485,'Pliegos Tarifarios (Quilicura)'!$A:$A,0))</f>
        <v>1052.6196871</v>
      </c>
      <c r="O485" s="19">
        <f>J485*INDEX('Pliegos Tarifarios (Quilicura)'!$D:$D,MATCH($B485,'Pliegos Tarifarios (Quilicura)'!$A:$A,0))</f>
        <v>4281.1134000000002</v>
      </c>
      <c r="P485" s="19">
        <f>H485*INDEX('Pliegos Tarifarios (Quilicura)'!$E:$E,MATCH($B485,'Pliegos Tarifarios (Quilicura)'!$A:$A,0))</f>
        <v>1468.2984095999998</v>
      </c>
      <c r="Q485" s="19" cm="1">
        <f t="array" ref="Q485">H485*_xlfn.IFS(H485&lt;=350,INDEX('Pliegos Tarifarios (Quilicura)'!$F:$F,MATCH($B485,'Pliegos Tarifarios (Quilicura)'!$A:$A,0)),H485&lt;=500,INDEX('Pliegos Tarifarios (Quilicura)'!$G:$G,MATCH($B485,'Pliegos Tarifarios (Quilicura)'!$A:$A,0)),H485&lt;=1000,INDEX('Pliegos Tarifarios (Quilicura)'!$H:$H,MATCH($B485,'Pliegos Tarifarios (Quilicura)'!$A:$A,0)),H485&lt;=5000,INDEX('Pliegos Tarifarios (Quilicura)'!$I:$I,MATCH($B485,'Pliegos Tarifarios (Quilicura)'!$A:$A,0)),H485&gt;5000,INDEX('Pliegos Tarifarios (Quilicura)'!$J:$J,MATCH($B485,'Pliegos Tarifarios (Quilicura)'!$A:$A,0)))/1.19</f>
        <v>74.274381176470598</v>
      </c>
      <c r="R485" s="19">
        <f>INDEX('Pliegos Tarifarios (Quilicura)'!$K:$K,MATCH($B485,'Pliegos Tarifarios (Quilicura)'!$A:$A,0))</f>
        <v>726.16</v>
      </c>
      <c r="S485" s="21">
        <f t="shared" si="24"/>
        <v>22457.149795576472</v>
      </c>
      <c r="T485" s="21">
        <f t="shared" si="25"/>
        <v>4266.8584611595297</v>
      </c>
      <c r="U485" s="19">
        <v>0</v>
      </c>
      <c r="V485" s="21">
        <f t="shared" si="26"/>
        <v>26724.008256736</v>
      </c>
    </row>
    <row r="486" spans="1:22" x14ac:dyDescent="0.3">
      <c r="A486" s="3" t="s">
        <v>146</v>
      </c>
      <c r="B486" s="3">
        <v>7</v>
      </c>
      <c r="C486" s="4" t="s">
        <v>186</v>
      </c>
      <c r="D486" s="3" t="s">
        <v>258</v>
      </c>
      <c r="E486" s="3" t="s">
        <v>121</v>
      </c>
      <c r="F486" s="4" t="s">
        <v>259</v>
      </c>
      <c r="G486" s="3" t="s">
        <v>30</v>
      </c>
      <c r="H486" s="5">
        <v>112.83069999999999</v>
      </c>
      <c r="I486" s="5">
        <v>0.30080000000000001</v>
      </c>
      <c r="J486" s="5">
        <v>0.29249999999999998</v>
      </c>
      <c r="K486" s="6">
        <v>0.97240691489361697</v>
      </c>
      <c r="L486" s="5">
        <v>3.76</v>
      </c>
      <c r="M486" s="19">
        <f>H486*INDEX('Pliegos Tarifarios (Quilicura)'!$B:$B,MATCH($B486,'Pliegos Tarifarios (Quilicura)'!$A:$A,0))</f>
        <v>14866.9115241</v>
      </c>
      <c r="N486" s="19">
        <f>I486*INDEX('Pliegos Tarifarios (Quilicura)'!$C:$C,MATCH($B486,'Pliegos Tarifarios (Quilicura)'!$A:$A,0))</f>
        <v>1025.0178112000001</v>
      </c>
      <c r="O486" s="19">
        <f>J486*INDEX('Pliegos Tarifarios (Quilicura)'!$D:$D,MATCH($B486,'Pliegos Tarifarios (Quilicura)'!$A:$A,0))</f>
        <v>4233.3525</v>
      </c>
      <c r="P486" s="19">
        <f>H486*INDEX('Pliegos Tarifarios (Quilicura)'!$E:$E,MATCH($B486,'Pliegos Tarifarios (Quilicura)'!$A:$A,0))</f>
        <v>1469.5070367999999</v>
      </c>
      <c r="Q486" s="19" cm="1">
        <f t="array" ref="Q486">H486*_xlfn.IFS(H486&lt;=350,INDEX('Pliegos Tarifarios (Quilicura)'!$F:$F,MATCH($B486,'Pliegos Tarifarios (Quilicura)'!$A:$A,0)),H486&lt;=500,INDEX('Pliegos Tarifarios (Quilicura)'!$G:$G,MATCH($B486,'Pliegos Tarifarios (Quilicura)'!$A:$A,0)),H486&lt;=1000,INDEX('Pliegos Tarifarios (Quilicura)'!$H:$H,MATCH($B486,'Pliegos Tarifarios (Quilicura)'!$A:$A,0)),H486&lt;=5000,INDEX('Pliegos Tarifarios (Quilicura)'!$I:$I,MATCH($B486,'Pliegos Tarifarios (Quilicura)'!$A:$A,0)),H486&gt;5000,INDEX('Pliegos Tarifarios (Quilicura)'!$J:$J,MATCH($B486,'Pliegos Tarifarios (Quilicura)'!$A:$A,0)))/1.19</f>
        <v>74.335520000000002</v>
      </c>
      <c r="R486" s="19">
        <f>INDEX('Pliegos Tarifarios (Quilicura)'!$K:$K,MATCH($B486,'Pliegos Tarifarios (Quilicura)'!$A:$A,0))</f>
        <v>726.16</v>
      </c>
      <c r="S486" s="21">
        <f t="shared" si="24"/>
        <v>22395.284392100002</v>
      </c>
      <c r="T486" s="21">
        <f t="shared" si="25"/>
        <v>4255.1040344990006</v>
      </c>
      <c r="U486" s="19">
        <v>0</v>
      </c>
      <c r="V486" s="21">
        <f t="shared" si="26"/>
        <v>26650.388426599002</v>
      </c>
    </row>
    <row r="487" spans="1:22" x14ac:dyDescent="0.3">
      <c r="A487" s="3" t="s">
        <v>146</v>
      </c>
      <c r="B487" s="3">
        <v>7</v>
      </c>
      <c r="C487" s="4" t="s">
        <v>186</v>
      </c>
      <c r="D487" s="3" t="s">
        <v>260</v>
      </c>
      <c r="E487" s="3" t="s">
        <v>121</v>
      </c>
      <c r="F487" s="4" t="s">
        <v>261</v>
      </c>
      <c r="G487" s="3" t="s">
        <v>16</v>
      </c>
      <c r="H487" s="5">
        <v>926.08240000000001</v>
      </c>
      <c r="I487" s="5">
        <v>2.5108999999999999</v>
      </c>
      <c r="J487" s="5">
        <v>2.5108999999999999</v>
      </c>
      <c r="K487" s="6">
        <v>1</v>
      </c>
      <c r="L487" s="5">
        <v>30.87</v>
      </c>
      <c r="M487" s="19">
        <f>H487*INDEX('Pliegos Tarifarios (Quilicura)'!$B:$B,MATCH($B487,'Pliegos Tarifarios (Quilicura)'!$A:$A,0))</f>
        <v>122023.3952712</v>
      </c>
      <c r="N487" s="19">
        <f>I487*INDEX('Pliegos Tarifarios (Quilicura)'!$C:$C,MATCH($B487,'Pliegos Tarifarios (Quilicura)'!$A:$A,0))</f>
        <v>8556.2407650999994</v>
      </c>
      <c r="O487" s="19">
        <f>J487*INDEX('Pliegos Tarifarios (Quilicura)'!$D:$D,MATCH($B487,'Pliegos Tarifarios (Quilicura)'!$A:$A,0))</f>
        <v>36340.255700000002</v>
      </c>
      <c r="P487" s="19">
        <f>H487*INDEX('Pliegos Tarifarios (Quilicura)'!$E:$E,MATCH($B487,'Pliegos Tarifarios (Quilicura)'!$A:$A,0))</f>
        <v>12061.297177599999</v>
      </c>
      <c r="Q487" s="19" cm="1">
        <f t="array" ref="Q487">H487*_xlfn.IFS(H487&lt;=350,INDEX('Pliegos Tarifarios (Quilicura)'!$F:$F,MATCH($B487,'Pliegos Tarifarios (Quilicura)'!$A:$A,0)),H487&lt;=500,INDEX('Pliegos Tarifarios (Quilicura)'!$G:$G,MATCH($B487,'Pliegos Tarifarios (Quilicura)'!$A:$A,0)),H487&lt;=1000,INDEX('Pliegos Tarifarios (Quilicura)'!$H:$H,MATCH($B487,'Pliegos Tarifarios (Quilicura)'!$A:$A,0)),H487&lt;=5000,INDEX('Pliegos Tarifarios (Quilicura)'!$I:$I,MATCH($B487,'Pliegos Tarifarios (Quilicura)'!$A:$A,0)),H487&gt;5000,INDEX('Pliegos Tarifarios (Quilicura)'!$J:$J,MATCH($B487,'Pliegos Tarifarios (Quilicura)'!$A:$A,0)))/1.19</f>
        <v>2172.0134272268915</v>
      </c>
      <c r="R487" s="19">
        <f>INDEX('Pliegos Tarifarios (Quilicura)'!$K:$K,MATCH($B487,'Pliegos Tarifarios (Quilicura)'!$A:$A,0))</f>
        <v>726.16</v>
      </c>
      <c r="S487" s="21">
        <f t="shared" si="24"/>
        <v>181879.36234112689</v>
      </c>
      <c r="T487" s="21">
        <f t="shared" si="25"/>
        <v>34557.07884481411</v>
      </c>
      <c r="U487" s="19">
        <v>0</v>
      </c>
      <c r="V487" s="21">
        <f t="shared" si="26"/>
        <v>216436.44118594099</v>
      </c>
    </row>
    <row r="488" spans="1:22" x14ac:dyDescent="0.3">
      <c r="A488" s="3" t="s">
        <v>146</v>
      </c>
      <c r="B488" s="3">
        <v>7</v>
      </c>
      <c r="C488" s="4" t="s">
        <v>186</v>
      </c>
      <c r="D488" s="3" t="s">
        <v>262</v>
      </c>
      <c r="E488" s="3" t="s">
        <v>121</v>
      </c>
      <c r="F488" s="4" t="s">
        <v>263</v>
      </c>
      <c r="G488" s="3" t="s">
        <v>16</v>
      </c>
      <c r="H488" s="5">
        <v>923.77509999999995</v>
      </c>
      <c r="I488" s="5">
        <v>2.4975999999999998</v>
      </c>
      <c r="J488" s="5">
        <v>2.4458000000000002</v>
      </c>
      <c r="K488" s="6">
        <v>0.97926008968609879</v>
      </c>
      <c r="L488" s="5">
        <v>30.79</v>
      </c>
      <c r="M488" s="19">
        <f>H488*INDEX('Pliegos Tarifarios (Quilicura)'!$B:$B,MATCH($B488,'Pliegos Tarifarios (Quilicura)'!$A:$A,0))</f>
        <v>121719.3785013</v>
      </c>
      <c r="N488" s="19">
        <f>I488*INDEX('Pliegos Tarifarios (Quilicura)'!$C:$C,MATCH($B488,'Pliegos Tarifarios (Quilicura)'!$A:$A,0))</f>
        <v>8510.9191663999991</v>
      </c>
      <c r="O488" s="19">
        <f>J488*INDEX('Pliegos Tarifarios (Quilicura)'!$D:$D,MATCH($B488,'Pliegos Tarifarios (Quilicura)'!$A:$A,0))</f>
        <v>35398.063400000006</v>
      </c>
      <c r="P488" s="19">
        <f>H488*INDEX('Pliegos Tarifarios (Quilicura)'!$E:$E,MATCH($B488,'Pliegos Tarifarios (Quilicura)'!$A:$A,0))</f>
        <v>12031.246902399998</v>
      </c>
      <c r="Q488" s="19" cm="1">
        <f t="array" ref="Q488">H488*_xlfn.IFS(H488&lt;=350,INDEX('Pliegos Tarifarios (Quilicura)'!$F:$F,MATCH($B488,'Pliegos Tarifarios (Quilicura)'!$A:$A,0)),H488&lt;=500,INDEX('Pliegos Tarifarios (Quilicura)'!$G:$G,MATCH($B488,'Pliegos Tarifarios (Quilicura)'!$A:$A,0)),H488&lt;=1000,INDEX('Pliegos Tarifarios (Quilicura)'!$H:$H,MATCH($B488,'Pliegos Tarifarios (Quilicura)'!$A:$A,0)),H488&lt;=5000,INDEX('Pliegos Tarifarios (Quilicura)'!$I:$I,MATCH($B488,'Pliegos Tarifarios (Quilicura)'!$A:$A,0)),H488&gt;5000,INDEX('Pliegos Tarifarios (Quilicura)'!$J:$J,MATCH($B488,'Pliegos Tarifarios (Quilicura)'!$A:$A,0)))/1.19</f>
        <v>2166.6019362184879</v>
      </c>
      <c r="R488" s="19">
        <f>INDEX('Pliegos Tarifarios (Quilicura)'!$K:$K,MATCH($B488,'Pliegos Tarifarios (Quilicura)'!$A:$A,0))</f>
        <v>726.16</v>
      </c>
      <c r="S488" s="21">
        <f t="shared" si="24"/>
        <v>180552.36990631846</v>
      </c>
      <c r="T488" s="21">
        <f t="shared" si="25"/>
        <v>34304.950282200509</v>
      </c>
      <c r="U488" s="19">
        <v>0</v>
      </c>
      <c r="V488" s="21">
        <f t="shared" si="26"/>
        <v>214857.32018851896</v>
      </c>
    </row>
    <row r="489" spans="1:22" x14ac:dyDescent="0.3">
      <c r="A489" s="3" t="s">
        <v>146</v>
      </c>
      <c r="B489" s="3">
        <v>7</v>
      </c>
      <c r="C489" s="4" t="s">
        <v>186</v>
      </c>
      <c r="D489" s="3" t="s">
        <v>264</v>
      </c>
      <c r="E489" s="3" t="s">
        <v>121</v>
      </c>
      <c r="F489" s="4" t="s">
        <v>265</v>
      </c>
      <c r="G489" s="3" t="s">
        <v>16</v>
      </c>
      <c r="H489" s="5">
        <v>751.01559999999995</v>
      </c>
      <c r="I489" s="5">
        <v>2.0373000000000001</v>
      </c>
      <c r="J489" s="5">
        <v>2.0373000000000001</v>
      </c>
      <c r="K489" s="6">
        <v>1</v>
      </c>
      <c r="L489" s="5">
        <v>25.03</v>
      </c>
      <c r="M489" s="19">
        <f>H489*INDEX('Pliegos Tarifarios (Quilicura)'!$B:$B,MATCH($B489,'Pliegos Tarifarios (Quilicura)'!$A:$A,0))</f>
        <v>98956.068502800001</v>
      </c>
      <c r="N489" s="19">
        <f>I489*INDEX('Pliegos Tarifarios (Quilicura)'!$C:$C,MATCH($B489,'Pliegos Tarifarios (Quilicura)'!$A:$A,0))</f>
        <v>6942.382934700001</v>
      </c>
      <c r="O489" s="19">
        <f>J489*INDEX('Pliegos Tarifarios (Quilicura)'!$D:$D,MATCH($B489,'Pliegos Tarifarios (Quilicura)'!$A:$A,0))</f>
        <v>29485.842900000003</v>
      </c>
      <c r="P489" s="19">
        <f>H489*INDEX('Pliegos Tarifarios (Quilicura)'!$E:$E,MATCH($B489,'Pliegos Tarifarios (Quilicura)'!$A:$A,0))</f>
        <v>9781.2271743999991</v>
      </c>
      <c r="Q489" s="19" cm="1">
        <f t="array" ref="Q489">H489*_xlfn.IFS(H489&lt;=350,INDEX('Pliegos Tarifarios (Quilicura)'!$F:$F,MATCH($B489,'Pliegos Tarifarios (Quilicura)'!$A:$A,0)),H489&lt;=500,INDEX('Pliegos Tarifarios (Quilicura)'!$G:$G,MATCH($B489,'Pliegos Tarifarios (Quilicura)'!$A:$A,0)),H489&lt;=1000,INDEX('Pliegos Tarifarios (Quilicura)'!$H:$H,MATCH($B489,'Pliegos Tarifarios (Quilicura)'!$A:$A,0)),H489&lt;=5000,INDEX('Pliegos Tarifarios (Quilicura)'!$I:$I,MATCH($B489,'Pliegos Tarifarios (Quilicura)'!$A:$A,0)),H489&gt;5000,INDEX('Pliegos Tarifarios (Quilicura)'!$J:$J,MATCH($B489,'Pliegos Tarifarios (Quilicura)'!$A:$A,0)))/1.19</f>
        <v>1761.4155794957983</v>
      </c>
      <c r="R489" s="19">
        <f>INDEX('Pliegos Tarifarios (Quilicura)'!$K:$K,MATCH($B489,'Pliegos Tarifarios (Quilicura)'!$A:$A,0))</f>
        <v>726.16</v>
      </c>
      <c r="S489" s="21">
        <f t="shared" si="24"/>
        <v>147653.09709139582</v>
      </c>
      <c r="T489" s="21">
        <f t="shared" si="25"/>
        <v>28054.088447365204</v>
      </c>
      <c r="U489" s="19">
        <v>0</v>
      </c>
      <c r="V489" s="21">
        <f t="shared" si="26"/>
        <v>175707.18553876103</v>
      </c>
    </row>
    <row r="490" spans="1:22" x14ac:dyDescent="0.3">
      <c r="A490" s="3" t="s">
        <v>146</v>
      </c>
      <c r="B490" s="3">
        <v>7</v>
      </c>
      <c r="C490" s="4" t="s">
        <v>186</v>
      </c>
      <c r="D490" s="3" t="s">
        <v>266</v>
      </c>
      <c r="E490" s="3" t="s">
        <v>121</v>
      </c>
      <c r="F490" s="4" t="s">
        <v>267</v>
      </c>
      <c r="G490" s="3" t="s">
        <v>16</v>
      </c>
      <c r="H490" s="5">
        <v>307.96539999999999</v>
      </c>
      <c r="I490" s="5">
        <v>0.84509999999999996</v>
      </c>
      <c r="J490" s="5">
        <v>0.82840000000000003</v>
      </c>
      <c r="K490" s="6">
        <v>0.98023902496745952</v>
      </c>
      <c r="L490" s="5">
        <v>10.27</v>
      </c>
      <c r="M490" s="19">
        <f>H490*INDEX('Pliegos Tarifarios (Quilicura)'!$B:$B,MATCH($B490,'Pliegos Tarifarios (Quilicura)'!$A:$A,0))</f>
        <v>40578.445000200001</v>
      </c>
      <c r="N490" s="19">
        <f>I490*INDEX('Pliegos Tarifarios (Quilicura)'!$C:$C,MATCH($B490,'Pliegos Tarifarios (Quilicura)'!$A:$A,0))</f>
        <v>2879.7957188999999</v>
      </c>
      <c r="O490" s="19">
        <f>J490*INDEX('Pliegos Tarifarios (Quilicura)'!$D:$D,MATCH($B490,'Pliegos Tarifarios (Quilicura)'!$A:$A,0))</f>
        <v>11989.433199999999</v>
      </c>
      <c r="P490" s="19">
        <f>H490*INDEX('Pliegos Tarifarios (Quilicura)'!$E:$E,MATCH($B490,'Pliegos Tarifarios (Quilicura)'!$A:$A,0))</f>
        <v>4010.9413695999997</v>
      </c>
      <c r="Q490" s="19" cm="1">
        <f t="array" ref="Q490">H490*_xlfn.IFS(H490&lt;=350,INDEX('Pliegos Tarifarios (Quilicura)'!$F:$F,MATCH($B490,'Pliegos Tarifarios (Quilicura)'!$A:$A,0)),H490&lt;=500,INDEX('Pliegos Tarifarios (Quilicura)'!$G:$G,MATCH($B490,'Pliegos Tarifarios (Quilicura)'!$A:$A,0)),H490&lt;=1000,INDEX('Pliegos Tarifarios (Quilicura)'!$H:$H,MATCH($B490,'Pliegos Tarifarios (Quilicura)'!$A:$A,0)),H490&lt;=5000,INDEX('Pliegos Tarifarios (Quilicura)'!$I:$I,MATCH($B490,'Pliegos Tarifarios (Quilicura)'!$A:$A,0)),H490&gt;5000,INDEX('Pliegos Tarifarios (Quilicura)'!$J:$J,MATCH($B490,'Pliegos Tarifarios (Quilicura)'!$A:$A,0)))/1.19</f>
        <v>202.89485176470589</v>
      </c>
      <c r="R490" s="19">
        <f>INDEX('Pliegos Tarifarios (Quilicura)'!$K:$K,MATCH($B490,'Pliegos Tarifarios (Quilicura)'!$A:$A,0))</f>
        <v>726.16</v>
      </c>
      <c r="S490" s="21">
        <f t="shared" si="24"/>
        <v>60387.67014046471</v>
      </c>
      <c r="T490" s="21">
        <f t="shared" si="25"/>
        <v>11473.657326688295</v>
      </c>
      <c r="U490" s="19">
        <v>0</v>
      </c>
      <c r="V490" s="21">
        <f t="shared" si="26"/>
        <v>71861.327467153009</v>
      </c>
    </row>
    <row r="491" spans="1:22" x14ac:dyDescent="0.3">
      <c r="A491" s="3" t="s">
        <v>146</v>
      </c>
      <c r="B491" s="3">
        <v>7</v>
      </c>
      <c r="C491" s="4" t="s">
        <v>186</v>
      </c>
      <c r="D491" s="3" t="s">
        <v>268</v>
      </c>
      <c r="E491" s="3" t="s">
        <v>121</v>
      </c>
      <c r="F491" s="4" t="s">
        <v>269</v>
      </c>
      <c r="G491" s="3" t="s">
        <v>16</v>
      </c>
      <c r="H491" s="5">
        <v>233.4074</v>
      </c>
      <c r="I491" s="5">
        <v>0.64710000000000001</v>
      </c>
      <c r="J491" s="5">
        <v>0.64710000000000001</v>
      </c>
      <c r="K491" s="6">
        <v>1</v>
      </c>
      <c r="L491" s="5">
        <v>7.78</v>
      </c>
      <c r="M491" s="19">
        <f>H491*INDEX('Pliegos Tarifarios (Quilicura)'!$B:$B,MATCH($B491,'Pliegos Tarifarios (Quilicura)'!$A:$A,0))</f>
        <v>30754.4592462</v>
      </c>
      <c r="N491" s="19">
        <f>I491*INDEX('Pliegos Tarifarios (Quilicura)'!$C:$C,MATCH($B491,'Pliegos Tarifarios (Quilicura)'!$A:$A,0))</f>
        <v>2205.0831969000001</v>
      </c>
      <c r="O491" s="19">
        <f>J491*INDEX('Pliegos Tarifarios (Quilicura)'!$D:$D,MATCH($B491,'Pliegos Tarifarios (Quilicura)'!$A:$A,0))</f>
        <v>9365.4783000000007</v>
      </c>
      <c r="P491" s="19">
        <f>H491*INDEX('Pliegos Tarifarios (Quilicura)'!$E:$E,MATCH($B491,'Pliegos Tarifarios (Quilicura)'!$A:$A,0))</f>
        <v>3039.8979775999996</v>
      </c>
      <c r="Q491" s="19" cm="1">
        <f t="array" ref="Q491">H491*_xlfn.IFS(H491&lt;=350,INDEX('Pliegos Tarifarios (Quilicura)'!$F:$F,MATCH($B491,'Pliegos Tarifarios (Quilicura)'!$A:$A,0)),H491&lt;=500,INDEX('Pliegos Tarifarios (Quilicura)'!$G:$G,MATCH($B491,'Pliegos Tarifarios (Quilicura)'!$A:$A,0)),H491&lt;=1000,INDEX('Pliegos Tarifarios (Quilicura)'!$H:$H,MATCH($B491,'Pliegos Tarifarios (Quilicura)'!$A:$A,0)),H491&lt;=5000,INDEX('Pliegos Tarifarios (Quilicura)'!$I:$I,MATCH($B491,'Pliegos Tarifarios (Quilicura)'!$A:$A,0)),H491&gt;5000,INDEX('Pliegos Tarifarios (Quilicura)'!$J:$J,MATCH($B491,'Pliegos Tarifarios (Quilicura)'!$A:$A,0)))/1.19</f>
        <v>153.77428705882355</v>
      </c>
      <c r="R491" s="19">
        <f>INDEX('Pliegos Tarifarios (Quilicura)'!$K:$K,MATCH($B491,'Pliegos Tarifarios (Quilicura)'!$A:$A,0))</f>
        <v>726.16</v>
      </c>
      <c r="S491" s="21">
        <f t="shared" si="24"/>
        <v>46244.853007758829</v>
      </c>
      <c r="T491" s="21">
        <f t="shared" si="25"/>
        <v>8786.5220714741772</v>
      </c>
      <c r="U491" s="19">
        <v>0</v>
      </c>
      <c r="V491" s="21">
        <f t="shared" si="26"/>
        <v>55031.37507923301</v>
      </c>
    </row>
    <row r="492" spans="1:22" x14ac:dyDescent="0.3">
      <c r="A492" s="3" t="s">
        <v>146</v>
      </c>
      <c r="B492" s="3">
        <v>7</v>
      </c>
      <c r="C492" s="4" t="s">
        <v>186</v>
      </c>
      <c r="D492" s="3" t="s">
        <v>270</v>
      </c>
      <c r="E492" s="3" t="s">
        <v>121</v>
      </c>
      <c r="F492" s="4" t="s">
        <v>271</v>
      </c>
      <c r="G492" s="3" t="s">
        <v>16</v>
      </c>
      <c r="H492" s="5">
        <v>102.8215</v>
      </c>
      <c r="I492" s="5">
        <v>0.2767</v>
      </c>
      <c r="J492" s="5">
        <v>0.27089999999999997</v>
      </c>
      <c r="K492" s="6">
        <v>0.9790386700397542</v>
      </c>
      <c r="L492" s="5">
        <v>3.43</v>
      </c>
      <c r="M492" s="19">
        <f>H492*INDEX('Pliegos Tarifarios (Quilicura)'!$B:$B,MATCH($B492,'Pliegos Tarifarios (Quilicura)'!$A:$A,0))</f>
        <v>13548.069304500001</v>
      </c>
      <c r="N492" s="19">
        <f>I492*INDEX('Pliegos Tarifarios (Quilicura)'!$C:$C,MATCH($B492,'Pliegos Tarifarios (Quilicura)'!$A:$A,0))</f>
        <v>942.89371130000006</v>
      </c>
      <c r="O492" s="19">
        <f>J492*INDEX('Pliegos Tarifarios (Quilicura)'!$D:$D,MATCH($B492,'Pliegos Tarifarios (Quilicura)'!$A:$A,0))</f>
        <v>3920.7356999999997</v>
      </c>
      <c r="P492" s="19">
        <f>H492*INDEX('Pliegos Tarifarios (Quilicura)'!$E:$E,MATCH($B492,'Pliegos Tarifarios (Quilicura)'!$A:$A,0))</f>
        <v>1339.1472159999998</v>
      </c>
      <c r="Q492" s="19" cm="1">
        <f t="array" ref="Q492">H492*_xlfn.IFS(H492&lt;=350,INDEX('Pliegos Tarifarios (Quilicura)'!$F:$F,MATCH($B492,'Pliegos Tarifarios (Quilicura)'!$A:$A,0)),H492&lt;=500,INDEX('Pliegos Tarifarios (Quilicura)'!$G:$G,MATCH($B492,'Pliegos Tarifarios (Quilicura)'!$A:$A,0)),H492&lt;=1000,INDEX('Pliegos Tarifarios (Quilicura)'!$H:$H,MATCH($B492,'Pliegos Tarifarios (Quilicura)'!$A:$A,0)),H492&lt;=5000,INDEX('Pliegos Tarifarios (Quilicura)'!$I:$I,MATCH($B492,'Pliegos Tarifarios (Quilicura)'!$A:$A,0)),H492&gt;5000,INDEX('Pliegos Tarifarios (Quilicura)'!$J:$J,MATCH($B492,'Pliegos Tarifarios (Quilicura)'!$A:$A,0)))/1.19</f>
        <v>67.741223529411769</v>
      </c>
      <c r="R492" s="19">
        <f>INDEX('Pliegos Tarifarios (Quilicura)'!$K:$K,MATCH($B492,'Pliegos Tarifarios (Quilicura)'!$A:$A,0))</f>
        <v>726.16</v>
      </c>
      <c r="S492" s="21">
        <f t="shared" si="24"/>
        <v>20544.747155329413</v>
      </c>
      <c r="T492" s="21">
        <f t="shared" si="25"/>
        <v>3903.5019595125887</v>
      </c>
      <c r="U492" s="19">
        <v>0</v>
      </c>
      <c r="V492" s="21">
        <f t="shared" si="26"/>
        <v>24448.249114842001</v>
      </c>
    </row>
    <row r="493" spans="1:22" x14ac:dyDescent="0.3">
      <c r="A493" s="3" t="s">
        <v>146</v>
      </c>
      <c r="B493" s="3">
        <v>7</v>
      </c>
      <c r="C493" s="4" t="s">
        <v>186</v>
      </c>
      <c r="D493" s="3" t="s">
        <v>272</v>
      </c>
      <c r="E493" s="3" t="s">
        <v>121</v>
      </c>
      <c r="F493" s="4" t="s">
        <v>273</v>
      </c>
      <c r="G493" s="3" t="s">
        <v>16</v>
      </c>
      <c r="H493" s="5">
        <v>1709.9922999999999</v>
      </c>
      <c r="I493" s="5">
        <v>4.5782999999999996</v>
      </c>
      <c r="J493" s="5">
        <v>4.4962999999999997</v>
      </c>
      <c r="K493" s="6">
        <v>0.98208942183780013</v>
      </c>
      <c r="L493" s="5">
        <v>57</v>
      </c>
      <c r="M493" s="19">
        <f>H493*INDEX('Pliegos Tarifarios (Quilicura)'!$B:$B,MATCH($B493,'Pliegos Tarifarios (Quilicura)'!$A:$A,0))</f>
        <v>225313.7154249</v>
      </c>
      <c r="N493" s="19">
        <f>I493*INDEX('Pliegos Tarifarios (Quilicura)'!$C:$C,MATCH($B493,'Pliegos Tarifarios (Quilicura)'!$A:$A,0))</f>
        <v>15601.193633699999</v>
      </c>
      <c r="O493" s="19">
        <f>J493*INDEX('Pliegos Tarifarios (Quilicura)'!$D:$D,MATCH($B493,'Pliegos Tarifarios (Quilicura)'!$A:$A,0))</f>
        <v>65074.9499</v>
      </c>
      <c r="P493" s="19">
        <f>H493*INDEX('Pliegos Tarifarios (Quilicura)'!$E:$E,MATCH($B493,'Pliegos Tarifarios (Quilicura)'!$A:$A,0))</f>
        <v>22270.939715199998</v>
      </c>
      <c r="Q493" s="19" cm="1">
        <f t="array" ref="Q493">H493*_xlfn.IFS(H493&lt;=350,INDEX('Pliegos Tarifarios (Quilicura)'!$F:$F,MATCH($B493,'Pliegos Tarifarios (Quilicura)'!$A:$A,0)),H493&lt;=500,INDEX('Pliegos Tarifarios (Quilicura)'!$G:$G,MATCH($B493,'Pliegos Tarifarios (Quilicura)'!$A:$A,0)),H493&lt;=1000,INDEX('Pliegos Tarifarios (Quilicura)'!$H:$H,MATCH($B493,'Pliegos Tarifarios (Quilicura)'!$A:$A,0)),H493&lt;=5000,INDEX('Pliegos Tarifarios (Quilicura)'!$I:$I,MATCH($B493,'Pliegos Tarifarios (Quilicura)'!$A:$A,0)),H493&gt;5000,INDEX('Pliegos Tarifarios (Quilicura)'!$J:$J,MATCH($B493,'Pliegos Tarifarios (Quilicura)'!$A:$A,0)))/1.19</f>
        <v>5131.4138683193278</v>
      </c>
      <c r="R493" s="19">
        <f>INDEX('Pliegos Tarifarios (Quilicura)'!$K:$K,MATCH($B493,'Pliegos Tarifarios (Quilicura)'!$A:$A,0))</f>
        <v>726.16</v>
      </c>
      <c r="S493" s="21">
        <f t="shared" si="24"/>
        <v>334118.37254211924</v>
      </c>
      <c r="T493" s="21">
        <f t="shared" si="25"/>
        <v>63482.490783002657</v>
      </c>
      <c r="U493" s="19">
        <v>0</v>
      </c>
      <c r="V493" s="21">
        <f t="shared" si="26"/>
        <v>397600.86332512187</v>
      </c>
    </row>
    <row r="494" spans="1:22" x14ac:dyDescent="0.3">
      <c r="A494" s="7" t="s">
        <v>147</v>
      </c>
      <c r="B494" s="7">
        <v>8</v>
      </c>
      <c r="C494" s="8" t="s">
        <v>186</v>
      </c>
      <c r="D494" s="7" t="s">
        <v>187</v>
      </c>
      <c r="E494" s="7" t="s">
        <v>14</v>
      </c>
      <c r="F494" s="8" t="s">
        <v>15</v>
      </c>
      <c r="G494" s="7" t="s">
        <v>16</v>
      </c>
      <c r="H494" s="9">
        <v>11237.918799999999</v>
      </c>
      <c r="I494" s="9">
        <v>30.584700000000002</v>
      </c>
      <c r="J494" s="9">
        <v>30.584700000000002</v>
      </c>
      <c r="K494" s="10">
        <v>1</v>
      </c>
      <c r="L494" s="9">
        <v>362.51</v>
      </c>
      <c r="M494" s="19">
        <f>H494*INDEX('Pliegos Tarifarios (Quilicura)'!$B:$B,MATCH($B494,'Pliegos Tarifarios (Quilicura)'!$A:$A,0))</f>
        <v>1480741.8948444</v>
      </c>
      <c r="N494" s="19">
        <f>I494*INDEX('Pliegos Tarifarios (Quilicura)'!$C:$C,MATCH($B494,'Pliegos Tarifarios (Quilicura)'!$A:$A,0))</f>
        <v>104011.62197310002</v>
      </c>
      <c r="O494" s="19">
        <f>J494*INDEX('Pliegos Tarifarios (Quilicura)'!$D:$D,MATCH($B494,'Pliegos Tarifarios (Quilicura)'!$A:$A,0))</f>
        <v>442366.54907850001</v>
      </c>
      <c r="P494" s="19">
        <f>H494*INDEX('Pliegos Tarifarios (Quilicura)'!$E:$E,MATCH($B494,'Pliegos Tarifarios (Quilicura)'!$A:$A,0))</f>
        <v>146362.65445119998</v>
      </c>
      <c r="Q494" s="19" cm="1">
        <f t="array" ref="Q494">H494*_xlfn.IFS(H494&lt;=350,INDEX('Pliegos Tarifarios (Quilicura)'!$F:$F,MATCH($B494,'Pliegos Tarifarios (Quilicura)'!$A:$A,0)),H494&lt;=500,INDEX('Pliegos Tarifarios (Quilicura)'!$G:$G,MATCH($B494,'Pliegos Tarifarios (Quilicura)'!$A:$A,0)),H494&lt;=1000,INDEX('Pliegos Tarifarios (Quilicura)'!$H:$H,MATCH($B494,'Pliegos Tarifarios (Quilicura)'!$A:$A,0)),H494&lt;=5000,INDEX('Pliegos Tarifarios (Quilicura)'!$I:$I,MATCH($B494,'Pliegos Tarifarios (Quilicura)'!$A:$A,0)),H494&gt;5000,INDEX('Pliegos Tarifarios (Quilicura)'!$J:$J,MATCH($B494,'Pliegos Tarifarios (Quilicura)'!$A:$A,0)))/1.19</f>
        <v>36877.372196638658</v>
      </c>
      <c r="R494" s="19">
        <f>INDEX('Pliegos Tarifarios (Quilicura)'!$K:$K,MATCH($B494,'Pliegos Tarifarios (Quilicura)'!$A:$A,0))</f>
        <v>723.17600000000004</v>
      </c>
      <c r="S494" s="21">
        <f t="shared" si="24"/>
        <v>2211083.2685438385</v>
      </c>
      <c r="T494" s="21">
        <f t="shared" si="25"/>
        <v>420105.82102332934</v>
      </c>
      <c r="U494" s="19">
        <v>0</v>
      </c>
      <c r="V494" s="21">
        <f t="shared" si="26"/>
        <v>2631189.0895671677</v>
      </c>
    </row>
    <row r="495" spans="1:22" x14ac:dyDescent="0.3">
      <c r="A495" s="7" t="s">
        <v>147</v>
      </c>
      <c r="B495" s="7">
        <v>8</v>
      </c>
      <c r="C495" s="8" t="s">
        <v>186</v>
      </c>
      <c r="D495" s="7" t="s">
        <v>188</v>
      </c>
      <c r="E495" s="7" t="s">
        <v>18</v>
      </c>
      <c r="F495" s="8" t="s">
        <v>19</v>
      </c>
      <c r="G495" s="7" t="s">
        <v>16</v>
      </c>
      <c r="H495" s="9">
        <v>5653.4013999999997</v>
      </c>
      <c r="I495" s="9">
        <v>15.890499999999999</v>
      </c>
      <c r="J495" s="9">
        <v>15.326700000000001</v>
      </c>
      <c r="K495" s="10">
        <v>0.96451968157074985</v>
      </c>
      <c r="L495" s="9">
        <v>182.37</v>
      </c>
      <c r="M495" s="19">
        <f>H495*INDEX('Pliegos Tarifarios (Quilicura)'!$B:$B,MATCH($B495,'Pliegos Tarifarios (Quilicura)'!$A:$A,0))</f>
        <v>744909.12866819999</v>
      </c>
      <c r="N495" s="19">
        <f>I495*INDEX('Pliegos Tarifarios (Quilicura)'!$C:$C,MATCH($B495,'Pliegos Tarifarios (Quilicura)'!$A:$A,0))</f>
        <v>54039.983356500001</v>
      </c>
      <c r="O495" s="19">
        <f>J495*INDEX('Pliegos Tarifarios (Quilicura)'!$D:$D,MATCH($B495,'Pliegos Tarifarios (Quilicura)'!$A:$A,0))</f>
        <v>221680.10108850003</v>
      </c>
      <c r="P495" s="19">
        <f>H495*INDEX('Pliegos Tarifarios (Quilicura)'!$E:$E,MATCH($B495,'Pliegos Tarifarios (Quilicura)'!$A:$A,0))</f>
        <v>73629.899833599993</v>
      </c>
      <c r="Q495" s="19" cm="1">
        <f t="array" ref="Q495">H495*_xlfn.IFS(H495&lt;=350,INDEX('Pliegos Tarifarios (Quilicura)'!$F:$F,MATCH($B495,'Pliegos Tarifarios (Quilicura)'!$A:$A,0)),H495&lt;=500,INDEX('Pliegos Tarifarios (Quilicura)'!$G:$G,MATCH($B495,'Pliegos Tarifarios (Quilicura)'!$A:$A,0)),H495&lt;=1000,INDEX('Pliegos Tarifarios (Quilicura)'!$H:$H,MATCH($B495,'Pliegos Tarifarios (Quilicura)'!$A:$A,0)),H495&lt;=5000,INDEX('Pliegos Tarifarios (Quilicura)'!$I:$I,MATCH($B495,'Pliegos Tarifarios (Quilicura)'!$A:$A,0)),H495&gt;5000,INDEX('Pliegos Tarifarios (Quilicura)'!$J:$J,MATCH($B495,'Pliegos Tarifarios (Quilicura)'!$A:$A,0)))/1.19</f>
        <v>18551.707955462185</v>
      </c>
      <c r="R495" s="19">
        <f>INDEX('Pliegos Tarifarios (Quilicura)'!$K:$K,MATCH($B495,'Pliegos Tarifarios (Quilicura)'!$A:$A,0))</f>
        <v>723.17600000000004</v>
      </c>
      <c r="S495" s="21">
        <f t="shared" si="24"/>
        <v>1113533.9969022621</v>
      </c>
      <c r="T495" s="21">
        <f t="shared" si="25"/>
        <v>211571.45941142979</v>
      </c>
      <c r="U495" s="19">
        <v>0</v>
      </c>
      <c r="V495" s="21">
        <f t="shared" si="26"/>
        <v>1325105.4563136918</v>
      </c>
    </row>
    <row r="496" spans="1:22" x14ac:dyDescent="0.3">
      <c r="A496" s="7" t="s">
        <v>147</v>
      </c>
      <c r="B496" s="7">
        <v>8</v>
      </c>
      <c r="C496" s="8" t="s">
        <v>186</v>
      </c>
      <c r="D496" s="7" t="s">
        <v>189</v>
      </c>
      <c r="E496" s="7" t="s">
        <v>18</v>
      </c>
      <c r="F496" s="8" t="s">
        <v>21</v>
      </c>
      <c r="G496" s="7" t="s">
        <v>16</v>
      </c>
      <c r="H496" s="9">
        <v>4511.0276000000003</v>
      </c>
      <c r="I496" s="9">
        <v>12.1999</v>
      </c>
      <c r="J496" s="9">
        <v>12.1999</v>
      </c>
      <c r="K496" s="10">
        <v>1</v>
      </c>
      <c r="L496" s="9">
        <v>145.52000000000001</v>
      </c>
      <c r="M496" s="19">
        <f>H496*INDEX('Pliegos Tarifarios (Quilicura)'!$B:$B,MATCH($B496,'Pliegos Tarifarios (Quilicura)'!$A:$A,0))</f>
        <v>594386.52965880011</v>
      </c>
      <c r="N496" s="19">
        <f>I496*INDEX('Pliegos Tarifarios (Quilicura)'!$C:$C,MATCH($B496,'Pliegos Tarifarios (Quilicura)'!$A:$A,0))</f>
        <v>41489.090522699997</v>
      </c>
      <c r="O496" s="19">
        <f>J496*INDEX('Pliegos Tarifarios (Quilicura)'!$D:$D,MATCH($B496,'Pliegos Tarifarios (Quilicura)'!$A:$A,0))</f>
        <v>176455.1446345</v>
      </c>
      <c r="P496" s="19">
        <f>H496*INDEX('Pliegos Tarifarios (Quilicura)'!$E:$E,MATCH($B496,'Pliegos Tarifarios (Quilicura)'!$A:$A,0))</f>
        <v>58751.623462399999</v>
      </c>
      <c r="Q496" s="19" cm="1">
        <f t="array" ref="Q496">H496*_xlfn.IFS(H496&lt;=350,INDEX('Pliegos Tarifarios (Quilicura)'!$F:$F,MATCH($B496,'Pliegos Tarifarios (Quilicura)'!$A:$A,0)),H496&lt;=500,INDEX('Pliegos Tarifarios (Quilicura)'!$G:$G,MATCH($B496,'Pliegos Tarifarios (Quilicura)'!$A:$A,0)),H496&lt;=1000,INDEX('Pliegos Tarifarios (Quilicura)'!$H:$H,MATCH($B496,'Pliegos Tarifarios (Quilicura)'!$A:$A,0)),H496&lt;=5000,INDEX('Pliegos Tarifarios (Quilicura)'!$I:$I,MATCH($B496,'Pliegos Tarifarios (Quilicura)'!$A:$A,0)),H496&gt;5000,INDEX('Pliegos Tarifarios (Quilicura)'!$J:$J,MATCH($B496,'Pliegos Tarifarios (Quilicura)'!$A:$A,0)))/1.19</f>
        <v>13536.873579495799</v>
      </c>
      <c r="R496" s="19">
        <f>INDEX('Pliegos Tarifarios (Quilicura)'!$K:$K,MATCH($B496,'Pliegos Tarifarios (Quilicura)'!$A:$A,0))</f>
        <v>723.17600000000004</v>
      </c>
      <c r="S496" s="21">
        <f t="shared" si="24"/>
        <v>885342.43785789597</v>
      </c>
      <c r="T496" s="21">
        <f t="shared" si="25"/>
        <v>168215.06319300024</v>
      </c>
      <c r="U496" s="19">
        <v>0</v>
      </c>
      <c r="V496" s="21">
        <f t="shared" si="26"/>
        <v>1053557.5010508962</v>
      </c>
    </row>
    <row r="497" spans="1:22" x14ac:dyDescent="0.3">
      <c r="A497" s="7" t="s">
        <v>147</v>
      </c>
      <c r="B497" s="7">
        <v>8</v>
      </c>
      <c r="C497" s="8" t="s">
        <v>186</v>
      </c>
      <c r="D497" s="7" t="s">
        <v>190</v>
      </c>
      <c r="E497" s="7" t="s">
        <v>18</v>
      </c>
      <c r="F497" s="8" t="s">
        <v>23</v>
      </c>
      <c r="G497" s="7" t="s">
        <v>16</v>
      </c>
      <c r="H497" s="9">
        <v>3755.0464000000002</v>
      </c>
      <c r="I497" s="9">
        <v>10.0092</v>
      </c>
      <c r="J497" s="9">
        <v>9.9890000000000008</v>
      </c>
      <c r="K497" s="10">
        <v>0.99798185669184358</v>
      </c>
      <c r="L497" s="9">
        <v>121.13</v>
      </c>
      <c r="M497" s="19">
        <f>H497*INDEX('Pliegos Tarifarios (Quilicura)'!$B:$B,MATCH($B497,'Pliegos Tarifarios (Quilicura)'!$A:$A,0))</f>
        <v>494776.17880320002</v>
      </c>
      <c r="N497" s="19">
        <f>I497*INDEX('Pliegos Tarifarios (Quilicura)'!$C:$C,MATCH($B497,'Pliegos Tarifarios (Quilicura)'!$A:$A,0))</f>
        <v>34039.017111599998</v>
      </c>
      <c r="O497" s="19">
        <f>J497*INDEX('Pliegos Tarifarios (Quilicura)'!$D:$D,MATCH($B497,'Pliegos Tarifarios (Quilicura)'!$A:$A,0))</f>
        <v>144477.44979500002</v>
      </c>
      <c r="P497" s="19">
        <f>H497*INDEX('Pliegos Tarifarios (Quilicura)'!$E:$E,MATCH($B497,'Pliegos Tarifarios (Quilicura)'!$A:$A,0))</f>
        <v>48905.724313599996</v>
      </c>
      <c r="Q497" s="19" cm="1">
        <f t="array" ref="Q497">H497*_xlfn.IFS(H497&lt;=350,INDEX('Pliegos Tarifarios (Quilicura)'!$F:$F,MATCH($B497,'Pliegos Tarifarios (Quilicura)'!$A:$A,0)),H497&lt;=500,INDEX('Pliegos Tarifarios (Quilicura)'!$G:$G,MATCH($B497,'Pliegos Tarifarios (Quilicura)'!$A:$A,0)),H497&lt;=1000,INDEX('Pliegos Tarifarios (Quilicura)'!$H:$H,MATCH($B497,'Pliegos Tarifarios (Quilicura)'!$A:$A,0)),H497&lt;=5000,INDEX('Pliegos Tarifarios (Quilicura)'!$I:$I,MATCH($B497,'Pliegos Tarifarios (Quilicura)'!$A:$A,0)),H497&gt;5000,INDEX('Pliegos Tarifarios (Quilicura)'!$J:$J,MATCH($B497,'Pliegos Tarifarios (Quilicura)'!$A:$A,0)))/1.19</f>
        <v>11268.294701176472</v>
      </c>
      <c r="R497" s="19">
        <f>INDEX('Pliegos Tarifarios (Quilicura)'!$K:$K,MATCH($B497,'Pliegos Tarifarios (Quilicura)'!$A:$A,0))</f>
        <v>723.17600000000004</v>
      </c>
      <c r="S497" s="21">
        <f t="shared" si="24"/>
        <v>734189.8407245765</v>
      </c>
      <c r="T497" s="21">
        <f t="shared" si="25"/>
        <v>139496.06973766955</v>
      </c>
      <c r="U497" s="19">
        <v>0</v>
      </c>
      <c r="V497" s="21">
        <f t="shared" si="26"/>
        <v>873685.91046224604</v>
      </c>
    </row>
    <row r="498" spans="1:22" x14ac:dyDescent="0.3">
      <c r="A498" s="7" t="s">
        <v>147</v>
      </c>
      <c r="B498" s="7">
        <v>8</v>
      </c>
      <c r="C498" s="8" t="s">
        <v>186</v>
      </c>
      <c r="D498" s="7" t="s">
        <v>191</v>
      </c>
      <c r="E498" s="7" t="s">
        <v>18</v>
      </c>
      <c r="F498" s="8" t="s">
        <v>25</v>
      </c>
      <c r="G498" s="7" t="s">
        <v>16</v>
      </c>
      <c r="H498" s="9">
        <v>4053.4920000000002</v>
      </c>
      <c r="I498" s="9">
        <v>10.8743</v>
      </c>
      <c r="J498" s="9">
        <v>10.837400000000001</v>
      </c>
      <c r="K498" s="10">
        <v>0.99660667813100623</v>
      </c>
      <c r="L498" s="9">
        <v>130.76</v>
      </c>
      <c r="M498" s="19">
        <f>H498*INDEX('Pliegos Tarifarios (Quilicura)'!$B:$B,MATCH($B498,'Pliegos Tarifarios (Quilicura)'!$A:$A,0))</f>
        <v>534100.26639600005</v>
      </c>
      <c r="N498" s="19">
        <f>I498*INDEX('Pliegos Tarifarios (Quilicura)'!$C:$C,MATCH($B498,'Pliegos Tarifarios (Quilicura)'!$A:$A,0))</f>
        <v>36981.025833899999</v>
      </c>
      <c r="O498" s="19">
        <f>J498*INDEX('Pliegos Tarifarios (Quilicura)'!$D:$D,MATCH($B498,'Pliegos Tarifarios (Quilicura)'!$A:$A,0))</f>
        <v>156748.41469700003</v>
      </c>
      <c r="P498" s="19">
        <f>H498*INDEX('Pliegos Tarifarios (Quilicura)'!$E:$E,MATCH($B498,'Pliegos Tarifarios (Quilicura)'!$A:$A,0))</f>
        <v>52792.679808000001</v>
      </c>
      <c r="Q498" s="19" cm="1">
        <f t="array" ref="Q498">H498*_xlfn.IFS(H498&lt;=350,INDEX('Pliegos Tarifarios (Quilicura)'!$F:$F,MATCH($B498,'Pliegos Tarifarios (Quilicura)'!$A:$A,0)),H498&lt;=500,INDEX('Pliegos Tarifarios (Quilicura)'!$G:$G,MATCH($B498,'Pliegos Tarifarios (Quilicura)'!$A:$A,0)),H498&lt;=1000,INDEX('Pliegos Tarifarios (Quilicura)'!$H:$H,MATCH($B498,'Pliegos Tarifarios (Quilicura)'!$A:$A,0)),H498&lt;=5000,INDEX('Pliegos Tarifarios (Quilicura)'!$I:$I,MATCH($B498,'Pliegos Tarifarios (Quilicura)'!$A:$A,0)),H498&gt;5000,INDEX('Pliegos Tarifarios (Quilicura)'!$J:$J,MATCH($B498,'Pliegos Tarifarios (Quilicura)'!$A:$A,0)))/1.19</f>
        <v>12163.882295798319</v>
      </c>
      <c r="R498" s="19">
        <f>INDEX('Pliegos Tarifarios (Quilicura)'!$K:$K,MATCH($B498,'Pliegos Tarifarios (Quilicura)'!$A:$A,0))</f>
        <v>723.17600000000004</v>
      </c>
      <c r="S498" s="21">
        <f t="shared" si="24"/>
        <v>793509.44503069832</v>
      </c>
      <c r="T498" s="21">
        <f t="shared" si="25"/>
        <v>150766.79455583269</v>
      </c>
      <c r="U498" s="19">
        <v>0</v>
      </c>
      <c r="V498" s="21">
        <f t="shared" si="26"/>
        <v>944276.23958653095</v>
      </c>
    </row>
    <row r="499" spans="1:22" x14ac:dyDescent="0.3">
      <c r="A499" s="7" t="s">
        <v>147</v>
      </c>
      <c r="B499" s="7">
        <v>8</v>
      </c>
      <c r="C499" s="8" t="s">
        <v>186</v>
      </c>
      <c r="D499" s="7" t="s">
        <v>192</v>
      </c>
      <c r="E499" s="7" t="s">
        <v>18</v>
      </c>
      <c r="F499" s="8" t="s">
        <v>27</v>
      </c>
      <c r="G499" s="7" t="s">
        <v>16</v>
      </c>
      <c r="H499" s="9">
        <v>2706.4313000000002</v>
      </c>
      <c r="I499" s="9">
        <v>7.375</v>
      </c>
      <c r="J499" s="9">
        <v>7.3409000000000004</v>
      </c>
      <c r="K499" s="10">
        <v>0.99537627118644079</v>
      </c>
      <c r="L499" s="9">
        <v>87.3</v>
      </c>
      <c r="M499" s="19">
        <f>H499*INDEX('Pliegos Tarifarios (Quilicura)'!$B:$B,MATCH($B499,'Pliegos Tarifarios (Quilicura)'!$A:$A,0))</f>
        <v>356607.50738190004</v>
      </c>
      <c r="N499" s="19">
        <f>I499*INDEX('Pliegos Tarifarios (Quilicura)'!$C:$C,MATCH($B499,'Pliegos Tarifarios (Quilicura)'!$A:$A,0))</f>
        <v>25080.700875000002</v>
      </c>
      <c r="O499" s="19">
        <f>J499*INDEX('Pliegos Tarifarios (Quilicura)'!$D:$D,MATCH($B499,'Pliegos Tarifarios (Quilicura)'!$A:$A,0))</f>
        <v>106176.24498950002</v>
      </c>
      <c r="P499" s="19">
        <f>H499*INDEX('Pliegos Tarifarios (Quilicura)'!$E:$E,MATCH($B499,'Pliegos Tarifarios (Quilicura)'!$A:$A,0))</f>
        <v>35248.561251200001</v>
      </c>
      <c r="Q499" s="19" cm="1">
        <f t="array" ref="Q499">H499*_xlfn.IFS(H499&lt;=350,INDEX('Pliegos Tarifarios (Quilicura)'!$F:$F,MATCH($B499,'Pliegos Tarifarios (Quilicura)'!$A:$A,0)),H499&lt;=500,INDEX('Pliegos Tarifarios (Quilicura)'!$G:$G,MATCH($B499,'Pliegos Tarifarios (Quilicura)'!$A:$A,0)),H499&lt;=1000,INDEX('Pliegos Tarifarios (Quilicura)'!$H:$H,MATCH($B499,'Pliegos Tarifarios (Quilicura)'!$A:$A,0)),H499&lt;=5000,INDEX('Pliegos Tarifarios (Quilicura)'!$I:$I,MATCH($B499,'Pliegos Tarifarios (Quilicura)'!$A:$A,0)),H499&gt;5000,INDEX('Pliegos Tarifarios (Quilicura)'!$J:$J,MATCH($B499,'Pliegos Tarifarios (Quilicura)'!$A:$A,0)))/1.19</f>
        <v>8121.5682120168067</v>
      </c>
      <c r="R499" s="19">
        <f>INDEX('Pliegos Tarifarios (Quilicura)'!$K:$K,MATCH($B499,'Pliegos Tarifarios (Quilicura)'!$A:$A,0))</f>
        <v>723.17600000000004</v>
      </c>
      <c r="S499" s="21">
        <f t="shared" si="24"/>
        <v>531957.75870961684</v>
      </c>
      <c r="T499" s="21">
        <f t="shared" si="25"/>
        <v>101071.9741548272</v>
      </c>
      <c r="U499" s="19">
        <v>0</v>
      </c>
      <c r="V499" s="21">
        <f t="shared" si="26"/>
        <v>633029.73286444403</v>
      </c>
    </row>
    <row r="500" spans="1:22" x14ac:dyDescent="0.3">
      <c r="A500" s="7" t="s">
        <v>147</v>
      </c>
      <c r="B500" s="7">
        <v>8</v>
      </c>
      <c r="C500" s="8" t="s">
        <v>186</v>
      </c>
      <c r="D500" s="7" t="s">
        <v>193</v>
      </c>
      <c r="E500" s="7" t="s">
        <v>18</v>
      </c>
      <c r="F500" s="8" t="s">
        <v>29</v>
      </c>
      <c r="G500" s="7" t="s">
        <v>30</v>
      </c>
      <c r="H500" s="9">
        <v>903.05010000000004</v>
      </c>
      <c r="I500" s="9">
        <v>2.4371999999999998</v>
      </c>
      <c r="J500" s="9">
        <v>2.4371999999999998</v>
      </c>
      <c r="K500" s="10">
        <v>1</v>
      </c>
      <c r="L500" s="9">
        <v>29.13</v>
      </c>
      <c r="M500" s="19">
        <f>H500*INDEX('Pliegos Tarifarios (Quilicura)'!$B:$B,MATCH($B500,'Pliegos Tarifarios (Quilicura)'!$A:$A,0))</f>
        <v>118988.59032630001</v>
      </c>
      <c r="N500" s="19">
        <f>I500*INDEX('Pliegos Tarifarios (Quilicura)'!$C:$C,MATCH($B500,'Pliegos Tarifarios (Quilicura)'!$A:$A,0))</f>
        <v>8288.3639555999998</v>
      </c>
      <c r="O500" s="19">
        <f>J500*INDEX('Pliegos Tarifarios (Quilicura)'!$D:$D,MATCH($B500,'Pliegos Tarifarios (Quilicura)'!$A:$A,0))</f>
        <v>35250.819965999995</v>
      </c>
      <c r="P500" s="19">
        <f>H500*INDEX('Pliegos Tarifarios (Quilicura)'!$E:$E,MATCH($B500,'Pliegos Tarifarios (Quilicura)'!$A:$A,0))</f>
        <v>11761.324502399999</v>
      </c>
      <c r="Q500" s="19" cm="1">
        <f t="array" ref="Q500">H500*_xlfn.IFS(H500&lt;=350,INDEX('Pliegos Tarifarios (Quilicura)'!$F:$F,MATCH($B500,'Pliegos Tarifarios (Quilicura)'!$A:$A,0)),H500&lt;=500,INDEX('Pliegos Tarifarios (Quilicura)'!$G:$G,MATCH($B500,'Pliegos Tarifarios (Quilicura)'!$A:$A,0)),H500&lt;=1000,INDEX('Pliegos Tarifarios (Quilicura)'!$H:$H,MATCH($B500,'Pliegos Tarifarios (Quilicura)'!$A:$A,0)),H500&lt;=5000,INDEX('Pliegos Tarifarios (Quilicura)'!$I:$I,MATCH($B500,'Pliegos Tarifarios (Quilicura)'!$A:$A,0)),H500&gt;5000,INDEX('Pliegos Tarifarios (Quilicura)'!$J:$J,MATCH($B500,'Pliegos Tarifarios (Quilicura)'!$A:$A,0)))/1.19</f>
        <v>2117.993974033614</v>
      </c>
      <c r="R500" s="19">
        <f>INDEX('Pliegos Tarifarios (Quilicura)'!$K:$K,MATCH($B500,'Pliegos Tarifarios (Quilicura)'!$A:$A,0))</f>
        <v>723.17600000000004</v>
      </c>
      <c r="S500" s="21">
        <f t="shared" si="24"/>
        <v>177130.26872433364</v>
      </c>
      <c r="T500" s="21">
        <f t="shared" si="25"/>
        <v>33654.751057623391</v>
      </c>
      <c r="U500" s="19">
        <v>0</v>
      </c>
      <c r="V500" s="21">
        <f t="shared" si="26"/>
        <v>210785.01978195703</v>
      </c>
    </row>
    <row r="501" spans="1:22" x14ac:dyDescent="0.3">
      <c r="A501" s="7" t="s">
        <v>147</v>
      </c>
      <c r="B501" s="7">
        <v>8</v>
      </c>
      <c r="C501" s="8" t="s">
        <v>186</v>
      </c>
      <c r="D501" s="7" t="s">
        <v>194</v>
      </c>
      <c r="E501" s="7" t="s">
        <v>18</v>
      </c>
      <c r="F501" s="8" t="s">
        <v>32</v>
      </c>
      <c r="G501" s="7" t="s">
        <v>16</v>
      </c>
      <c r="H501" s="9">
        <v>2705.1547</v>
      </c>
      <c r="I501" s="9">
        <v>7.35</v>
      </c>
      <c r="J501" s="9">
        <v>7.35</v>
      </c>
      <c r="K501" s="10">
        <v>1</v>
      </c>
      <c r="L501" s="9">
        <v>87.26</v>
      </c>
      <c r="M501" s="19">
        <f>H501*INDEX('Pliegos Tarifarios (Quilicura)'!$B:$B,MATCH($B501,'Pliegos Tarifarios (Quilicura)'!$A:$A,0))</f>
        <v>356439.29873610003</v>
      </c>
      <c r="N501" s="19">
        <f>I501*INDEX('Pliegos Tarifarios (Quilicura)'!$C:$C,MATCH($B501,'Pliegos Tarifarios (Quilicura)'!$A:$A,0))</f>
        <v>24995.681550000001</v>
      </c>
      <c r="O501" s="19">
        <f>J501*INDEX('Pliegos Tarifarios (Quilicura)'!$D:$D,MATCH($B501,'Pliegos Tarifarios (Quilicura)'!$A:$A,0))</f>
        <v>106307.86425</v>
      </c>
      <c r="P501" s="19">
        <f>H501*INDEX('Pliegos Tarifarios (Quilicura)'!$E:$E,MATCH($B501,'Pliegos Tarifarios (Quilicura)'!$A:$A,0))</f>
        <v>35231.934812799998</v>
      </c>
      <c r="Q501" s="19" cm="1">
        <f t="array" ref="Q501">H501*_xlfn.IFS(H501&lt;=350,INDEX('Pliegos Tarifarios (Quilicura)'!$F:$F,MATCH($B501,'Pliegos Tarifarios (Quilicura)'!$A:$A,0)),H501&lt;=500,INDEX('Pliegos Tarifarios (Quilicura)'!$G:$G,MATCH($B501,'Pliegos Tarifarios (Quilicura)'!$A:$A,0)),H501&lt;=1000,INDEX('Pliegos Tarifarios (Quilicura)'!$H:$H,MATCH($B501,'Pliegos Tarifarios (Quilicura)'!$A:$A,0)),H501&lt;=5000,INDEX('Pliegos Tarifarios (Quilicura)'!$I:$I,MATCH($B501,'Pliegos Tarifarios (Quilicura)'!$A:$A,0)),H501&gt;5000,INDEX('Pliegos Tarifarios (Quilicura)'!$J:$J,MATCH($B501,'Pliegos Tarifarios (Quilicura)'!$A:$A,0)))/1.19</f>
        <v>8117.7373392436975</v>
      </c>
      <c r="R501" s="19">
        <f>INDEX('Pliegos Tarifarios (Quilicura)'!$K:$K,MATCH($B501,'Pliegos Tarifarios (Quilicura)'!$A:$A,0))</f>
        <v>723.17600000000004</v>
      </c>
      <c r="S501" s="21">
        <f t="shared" si="24"/>
        <v>531815.69268814358</v>
      </c>
      <c r="T501" s="21">
        <f t="shared" si="25"/>
        <v>101044.98161074729</v>
      </c>
      <c r="U501" s="19">
        <v>0</v>
      </c>
      <c r="V501" s="21">
        <f t="shared" si="26"/>
        <v>632860.67429889087</v>
      </c>
    </row>
    <row r="502" spans="1:22" x14ac:dyDescent="0.3">
      <c r="A502" s="7" t="s">
        <v>147</v>
      </c>
      <c r="B502" s="7">
        <v>8</v>
      </c>
      <c r="C502" s="8" t="s">
        <v>186</v>
      </c>
      <c r="D502" s="7" t="s">
        <v>195</v>
      </c>
      <c r="E502" s="7" t="s">
        <v>34</v>
      </c>
      <c r="F502" s="8" t="s">
        <v>35</v>
      </c>
      <c r="G502" s="7" t="s">
        <v>30</v>
      </c>
      <c r="H502" s="9">
        <v>1128.1786</v>
      </c>
      <c r="I502" s="9">
        <v>2.9899</v>
      </c>
      <c r="J502" s="9">
        <v>2.9828000000000001</v>
      </c>
      <c r="K502" s="10">
        <v>0.99762533864008829</v>
      </c>
      <c r="L502" s="9">
        <v>36.39</v>
      </c>
      <c r="M502" s="19">
        <f>H502*INDEX('Pliegos Tarifarios (Quilicura)'!$B:$B,MATCH($B502,'Pliegos Tarifarios (Quilicura)'!$A:$A,0))</f>
        <v>148652.1968718</v>
      </c>
      <c r="N502" s="19">
        <f>I502*INDEX('Pliegos Tarifarios (Quilicura)'!$C:$C,MATCH($B502,'Pliegos Tarifarios (Quilicura)'!$A:$A,0))</f>
        <v>10167.971192700001</v>
      </c>
      <c r="O502" s="19">
        <f>J502*INDEX('Pliegos Tarifarios (Quilicura)'!$D:$D,MATCH($B502,'Pliegos Tarifarios (Quilicura)'!$A:$A,0))</f>
        <v>43142.190134000004</v>
      </c>
      <c r="P502" s="19">
        <f>H502*INDEX('Pliegos Tarifarios (Quilicura)'!$E:$E,MATCH($B502,'Pliegos Tarifarios (Quilicura)'!$A:$A,0))</f>
        <v>14693.398086399999</v>
      </c>
      <c r="Q502" s="19" cm="1">
        <f t="array" ref="Q502">H502*_xlfn.IFS(H502&lt;=350,INDEX('Pliegos Tarifarios (Quilicura)'!$F:$F,MATCH($B502,'Pliegos Tarifarios (Quilicura)'!$A:$A,0)),H502&lt;=500,INDEX('Pliegos Tarifarios (Quilicura)'!$G:$G,MATCH($B502,'Pliegos Tarifarios (Quilicura)'!$A:$A,0)),H502&lt;=1000,INDEX('Pliegos Tarifarios (Quilicura)'!$H:$H,MATCH($B502,'Pliegos Tarifarios (Quilicura)'!$A:$A,0)),H502&lt;=5000,INDEX('Pliegos Tarifarios (Quilicura)'!$I:$I,MATCH($B502,'Pliegos Tarifarios (Quilicura)'!$A:$A,0)),H502&gt;5000,INDEX('Pliegos Tarifarios (Quilicura)'!$J:$J,MATCH($B502,'Pliegos Tarifarios (Quilicura)'!$A:$A,0)))/1.19</f>
        <v>3385.4838492436975</v>
      </c>
      <c r="R502" s="19">
        <f>INDEX('Pliegos Tarifarios (Quilicura)'!$K:$K,MATCH($B502,'Pliegos Tarifarios (Quilicura)'!$A:$A,0))</f>
        <v>723.17600000000004</v>
      </c>
      <c r="S502" s="21">
        <f t="shared" si="24"/>
        <v>220764.41613414371</v>
      </c>
      <c r="T502" s="21">
        <f t="shared" si="25"/>
        <v>41945.239065487309</v>
      </c>
      <c r="U502" s="19">
        <v>0</v>
      </c>
      <c r="V502" s="21">
        <f t="shared" si="26"/>
        <v>262709.655199631</v>
      </c>
    </row>
    <row r="503" spans="1:22" x14ac:dyDescent="0.3">
      <c r="A503" s="7" t="s">
        <v>147</v>
      </c>
      <c r="B503" s="7">
        <v>8</v>
      </c>
      <c r="C503" s="8" t="s">
        <v>186</v>
      </c>
      <c r="D503" s="7" t="s">
        <v>196</v>
      </c>
      <c r="E503" s="7" t="s">
        <v>34</v>
      </c>
      <c r="F503" s="8" t="s">
        <v>37</v>
      </c>
      <c r="G503" s="7" t="s">
        <v>30</v>
      </c>
      <c r="H503" s="9">
        <v>902.35559999999998</v>
      </c>
      <c r="I503" s="9">
        <v>2.4693999999999998</v>
      </c>
      <c r="J503" s="9">
        <v>2.4058999999999999</v>
      </c>
      <c r="K503" s="10">
        <v>0.97428525147809186</v>
      </c>
      <c r="L503" s="9">
        <v>29.11</v>
      </c>
      <c r="M503" s="19">
        <f>H503*INDEX('Pliegos Tarifarios (Quilicura)'!$B:$B,MATCH($B503,'Pliegos Tarifarios (Quilicura)'!$A:$A,0))</f>
        <v>118897.0809228</v>
      </c>
      <c r="N503" s="19">
        <f>I503*INDEX('Pliegos Tarifarios (Quilicura)'!$C:$C,MATCH($B503,'Pliegos Tarifarios (Quilicura)'!$A:$A,0))</f>
        <v>8397.8688461999991</v>
      </c>
      <c r="O503" s="19">
        <f>J503*INDEX('Pliegos Tarifarios (Quilicura)'!$D:$D,MATCH($B503,'Pliegos Tarifarios (Quilicura)'!$A:$A,0))</f>
        <v>34798.107564500002</v>
      </c>
      <c r="P503" s="19">
        <f>H503*INDEX('Pliegos Tarifarios (Quilicura)'!$E:$E,MATCH($B503,'Pliegos Tarifarios (Quilicura)'!$A:$A,0))</f>
        <v>11752.279334399998</v>
      </c>
      <c r="Q503" s="19" cm="1">
        <f t="array" ref="Q503">H503*_xlfn.IFS(H503&lt;=350,INDEX('Pliegos Tarifarios (Quilicura)'!$F:$F,MATCH($B503,'Pliegos Tarifarios (Quilicura)'!$A:$A,0)),H503&lt;=500,INDEX('Pliegos Tarifarios (Quilicura)'!$G:$G,MATCH($B503,'Pliegos Tarifarios (Quilicura)'!$A:$A,0)),H503&lt;=1000,INDEX('Pliegos Tarifarios (Quilicura)'!$H:$H,MATCH($B503,'Pliegos Tarifarios (Quilicura)'!$A:$A,0)),H503&lt;=5000,INDEX('Pliegos Tarifarios (Quilicura)'!$I:$I,MATCH($B503,'Pliegos Tarifarios (Quilicura)'!$A:$A,0)),H503&gt;5000,INDEX('Pliegos Tarifarios (Quilicura)'!$J:$J,MATCH($B503,'Pliegos Tarifarios (Quilicura)'!$A:$A,0)))/1.19</f>
        <v>2116.3651089075634</v>
      </c>
      <c r="R503" s="19">
        <f>INDEX('Pliegos Tarifarios (Quilicura)'!$K:$K,MATCH($B503,'Pliegos Tarifarios (Quilicura)'!$A:$A,0))</f>
        <v>723.17600000000004</v>
      </c>
      <c r="S503" s="21">
        <f t="shared" si="24"/>
        <v>176684.87777680758</v>
      </c>
      <c r="T503" s="21">
        <f t="shared" si="25"/>
        <v>33570.126777593439</v>
      </c>
      <c r="U503" s="19">
        <v>0</v>
      </c>
      <c r="V503" s="21">
        <f t="shared" si="26"/>
        <v>210255.00455440104</v>
      </c>
    </row>
    <row r="504" spans="1:22" x14ac:dyDescent="0.3">
      <c r="A504" s="7" t="s">
        <v>147</v>
      </c>
      <c r="B504" s="7">
        <v>8</v>
      </c>
      <c r="C504" s="8" t="s">
        <v>186</v>
      </c>
      <c r="D504" s="7" t="s">
        <v>197</v>
      </c>
      <c r="E504" s="7" t="s">
        <v>34</v>
      </c>
      <c r="F504" s="8" t="s">
        <v>39</v>
      </c>
      <c r="G504" s="7" t="s">
        <v>30</v>
      </c>
      <c r="H504" s="9">
        <v>900.7876</v>
      </c>
      <c r="I504" s="9">
        <v>2.4310999999999998</v>
      </c>
      <c r="J504" s="9">
        <v>2.3826999999999998</v>
      </c>
      <c r="K504" s="10">
        <v>0.98009131668791905</v>
      </c>
      <c r="L504" s="9">
        <v>29.06</v>
      </c>
      <c r="M504" s="19">
        <f>H504*INDEX('Pliegos Tarifarios (Quilicura)'!$B:$B,MATCH($B504,'Pliegos Tarifarios (Quilicura)'!$A:$A,0))</f>
        <v>118690.47653880001</v>
      </c>
      <c r="N504" s="19">
        <f>I504*INDEX('Pliegos Tarifarios (Quilicura)'!$C:$C,MATCH($B504,'Pliegos Tarifarios (Quilicura)'!$A:$A,0))</f>
        <v>8267.6192403000005</v>
      </c>
      <c r="O504" s="19">
        <f>J504*INDEX('Pliegos Tarifarios (Quilicura)'!$D:$D,MATCH($B504,'Pliegos Tarifarios (Quilicura)'!$A:$A,0))</f>
        <v>34462.550768499998</v>
      </c>
      <c r="P504" s="19">
        <f>H504*INDEX('Pliegos Tarifarios (Quilicura)'!$E:$E,MATCH($B504,'Pliegos Tarifarios (Quilicura)'!$A:$A,0))</f>
        <v>11731.857702399999</v>
      </c>
      <c r="Q504" s="19" cm="1">
        <f t="array" ref="Q504">H504*_xlfn.IFS(H504&lt;=350,INDEX('Pliegos Tarifarios (Quilicura)'!$F:$F,MATCH($B504,'Pliegos Tarifarios (Quilicura)'!$A:$A,0)),H504&lt;=500,INDEX('Pliegos Tarifarios (Quilicura)'!$G:$G,MATCH($B504,'Pliegos Tarifarios (Quilicura)'!$A:$A,0)),H504&lt;=1000,INDEX('Pliegos Tarifarios (Quilicura)'!$H:$H,MATCH($B504,'Pliegos Tarifarios (Quilicura)'!$A:$A,0)),H504&lt;=5000,INDEX('Pliegos Tarifarios (Quilicura)'!$I:$I,MATCH($B504,'Pliegos Tarifarios (Quilicura)'!$A:$A,0)),H504&gt;5000,INDEX('Pliegos Tarifarios (Quilicura)'!$J:$J,MATCH($B504,'Pliegos Tarifarios (Quilicura)'!$A:$A,0)))/1.19</f>
        <v>2112.6875559663872</v>
      </c>
      <c r="R504" s="19">
        <f>INDEX('Pliegos Tarifarios (Quilicura)'!$K:$K,MATCH($B504,'Pliegos Tarifarios (Quilicura)'!$A:$A,0))</f>
        <v>723.17600000000004</v>
      </c>
      <c r="S504" s="21">
        <f t="shared" si="24"/>
        <v>175988.36780596641</v>
      </c>
      <c r="T504" s="21">
        <f t="shared" si="25"/>
        <v>33437.789883133621</v>
      </c>
      <c r="U504" s="19">
        <v>0</v>
      </c>
      <c r="V504" s="21">
        <f t="shared" si="26"/>
        <v>209426.15768910001</v>
      </c>
    </row>
    <row r="505" spans="1:22" x14ac:dyDescent="0.3">
      <c r="A505" s="7" t="s">
        <v>147</v>
      </c>
      <c r="B505" s="7">
        <v>8</v>
      </c>
      <c r="C505" s="8" t="s">
        <v>186</v>
      </c>
      <c r="D505" s="7" t="s">
        <v>198</v>
      </c>
      <c r="E505" s="7" t="s">
        <v>34</v>
      </c>
      <c r="F505" s="8" t="s">
        <v>41</v>
      </c>
      <c r="G505" s="7" t="s">
        <v>30</v>
      </c>
      <c r="H505" s="9">
        <v>677.36180000000002</v>
      </c>
      <c r="I505" s="9">
        <v>1.8159000000000001</v>
      </c>
      <c r="J505" s="9">
        <v>1.7851999999999999</v>
      </c>
      <c r="K505" s="10">
        <v>0.98309378269728498</v>
      </c>
      <c r="L505" s="9">
        <v>21.85</v>
      </c>
      <c r="M505" s="19">
        <f>H505*INDEX('Pliegos Tarifarios (Quilicura)'!$B:$B,MATCH($B505,'Pliegos Tarifarios (Quilicura)'!$A:$A,0))</f>
        <v>89251.222853400002</v>
      </c>
      <c r="N505" s="19">
        <f>I505*INDEX('Pliegos Tarifarios (Quilicura)'!$C:$C,MATCH($B505,'Pliegos Tarifarios (Quilicura)'!$A:$A,0))</f>
        <v>6175.4636907000004</v>
      </c>
      <c r="O505" s="19">
        <f>J505*INDEX('Pliegos Tarifarios (Quilicura)'!$D:$D,MATCH($B505,'Pliegos Tarifarios (Quilicura)'!$A:$A,0))</f>
        <v>25820.516906000001</v>
      </c>
      <c r="P505" s="19">
        <f>H505*INDEX('Pliegos Tarifarios (Quilicura)'!$E:$E,MATCH($B505,'Pliegos Tarifarios (Quilicura)'!$A:$A,0))</f>
        <v>8821.9600831999996</v>
      </c>
      <c r="Q505" s="19" cm="1">
        <f t="array" ref="Q505">H505*_xlfn.IFS(H505&lt;=350,INDEX('Pliegos Tarifarios (Quilicura)'!$F:$F,MATCH($B505,'Pliegos Tarifarios (Quilicura)'!$A:$A,0)),H505&lt;=500,INDEX('Pliegos Tarifarios (Quilicura)'!$G:$G,MATCH($B505,'Pliegos Tarifarios (Quilicura)'!$A:$A,0)),H505&lt;=1000,INDEX('Pliegos Tarifarios (Quilicura)'!$H:$H,MATCH($B505,'Pliegos Tarifarios (Quilicura)'!$A:$A,0)),H505&lt;=5000,INDEX('Pliegos Tarifarios (Quilicura)'!$I:$I,MATCH($B505,'Pliegos Tarifarios (Quilicura)'!$A:$A,0)),H505&gt;5000,INDEX('Pliegos Tarifarios (Quilicura)'!$J:$J,MATCH($B505,'Pliegos Tarifarios (Quilicura)'!$A:$A,0)))/1.19</f>
        <v>1588.6695662184877</v>
      </c>
      <c r="R505" s="19">
        <f>INDEX('Pliegos Tarifarios (Quilicura)'!$K:$K,MATCH($B505,'Pliegos Tarifarios (Quilicura)'!$A:$A,0))</f>
        <v>723.17600000000004</v>
      </c>
      <c r="S505" s="21">
        <f t="shared" si="24"/>
        <v>132381.0090995185</v>
      </c>
      <c r="T505" s="21">
        <f t="shared" si="25"/>
        <v>25152.391728908515</v>
      </c>
      <c r="U505" s="19">
        <v>0</v>
      </c>
      <c r="V505" s="21">
        <f t="shared" si="26"/>
        <v>157533.40082842702</v>
      </c>
    </row>
    <row r="506" spans="1:22" x14ac:dyDescent="0.3">
      <c r="A506" s="7" t="s">
        <v>147</v>
      </c>
      <c r="B506" s="7">
        <v>8</v>
      </c>
      <c r="C506" s="8" t="s">
        <v>186</v>
      </c>
      <c r="D506" s="7" t="s">
        <v>199</v>
      </c>
      <c r="E506" s="7" t="s">
        <v>34</v>
      </c>
      <c r="F506" s="8" t="s">
        <v>43</v>
      </c>
      <c r="G506" s="7" t="s">
        <v>30</v>
      </c>
      <c r="H506" s="9">
        <v>676.41750000000002</v>
      </c>
      <c r="I506" s="9">
        <v>1.8295999999999999</v>
      </c>
      <c r="J506" s="9">
        <v>1.8295999999999999</v>
      </c>
      <c r="K506" s="10">
        <v>1</v>
      </c>
      <c r="L506" s="9">
        <v>21.82</v>
      </c>
      <c r="M506" s="19">
        <f>H506*INDEX('Pliegos Tarifarios (Quilicura)'!$B:$B,MATCH($B506,'Pliegos Tarifarios (Quilicura)'!$A:$A,0))</f>
        <v>89126.799052500006</v>
      </c>
      <c r="N506" s="19">
        <f>I506*INDEX('Pliegos Tarifarios (Quilicura)'!$C:$C,MATCH($B506,'Pliegos Tarifarios (Quilicura)'!$A:$A,0))</f>
        <v>6222.0542808</v>
      </c>
      <c r="O506" s="19">
        <f>J506*INDEX('Pliegos Tarifarios (Quilicura)'!$D:$D,MATCH($B506,'Pliegos Tarifarios (Quilicura)'!$A:$A,0))</f>
        <v>26462.703187999999</v>
      </c>
      <c r="P506" s="19">
        <f>H506*INDEX('Pliegos Tarifarios (Quilicura)'!$E:$E,MATCH($B506,'Pliegos Tarifarios (Quilicura)'!$A:$A,0))</f>
        <v>8809.6615199999997</v>
      </c>
      <c r="Q506" s="19" cm="1">
        <f t="array" ref="Q506">H506*_xlfn.IFS(H506&lt;=350,INDEX('Pliegos Tarifarios (Quilicura)'!$F:$F,MATCH($B506,'Pliegos Tarifarios (Quilicura)'!$A:$A,0)),H506&lt;=500,INDEX('Pliegos Tarifarios (Quilicura)'!$G:$G,MATCH($B506,'Pliegos Tarifarios (Quilicura)'!$A:$A,0)),H506&lt;=1000,INDEX('Pliegos Tarifarios (Quilicura)'!$H:$H,MATCH($B506,'Pliegos Tarifarios (Quilicura)'!$A:$A,0)),H506&lt;=5000,INDEX('Pliegos Tarifarios (Quilicura)'!$I:$I,MATCH($B506,'Pliegos Tarifarios (Quilicura)'!$A:$A,0)),H506&gt;5000,INDEX('Pliegos Tarifarios (Quilicura)'!$J:$J,MATCH($B506,'Pliegos Tarifarios (Quilicura)'!$A:$A,0)))/1.19</f>
        <v>1586.4548256302523</v>
      </c>
      <c r="R506" s="19">
        <f>INDEX('Pliegos Tarifarios (Quilicura)'!$K:$K,MATCH($B506,'Pliegos Tarifarios (Quilicura)'!$A:$A,0))</f>
        <v>723.17600000000004</v>
      </c>
      <c r="S506" s="21">
        <f t="shared" si="24"/>
        <v>132930.84886693026</v>
      </c>
      <c r="T506" s="21">
        <f t="shared" si="25"/>
        <v>25256.86128471675</v>
      </c>
      <c r="U506" s="19">
        <v>0</v>
      </c>
      <c r="V506" s="21">
        <f t="shared" si="26"/>
        <v>158187.71015164701</v>
      </c>
    </row>
    <row r="507" spans="1:22" x14ac:dyDescent="0.3">
      <c r="A507" s="7" t="s">
        <v>147</v>
      </c>
      <c r="B507" s="7">
        <v>8</v>
      </c>
      <c r="C507" s="8" t="s">
        <v>186</v>
      </c>
      <c r="D507" s="7" t="s">
        <v>200</v>
      </c>
      <c r="E507" s="7" t="s">
        <v>34</v>
      </c>
      <c r="F507" s="8" t="s">
        <v>45</v>
      </c>
      <c r="G507" s="7" t="s">
        <v>30</v>
      </c>
      <c r="H507" s="9">
        <v>677.02650000000006</v>
      </c>
      <c r="I507" s="9">
        <v>1.8205</v>
      </c>
      <c r="J507" s="9">
        <v>1.8039000000000001</v>
      </c>
      <c r="K507" s="10">
        <v>0.99088162592694318</v>
      </c>
      <c r="L507" s="9">
        <v>21.84</v>
      </c>
      <c r="M507" s="19">
        <f>H507*INDEX('Pliegos Tarifarios (Quilicura)'!$B:$B,MATCH($B507,'Pliegos Tarifarios (Quilicura)'!$A:$A,0))</f>
        <v>89207.042719500008</v>
      </c>
      <c r="N507" s="19">
        <f>I507*INDEX('Pliegos Tarifarios (Quilicura)'!$C:$C,MATCH($B507,'Pliegos Tarifarios (Quilicura)'!$A:$A,0))</f>
        <v>6191.1072465000007</v>
      </c>
      <c r="O507" s="19">
        <f>J507*INDEX('Pliegos Tarifarios (Quilicura)'!$D:$D,MATCH($B507,'Pliegos Tarifarios (Quilicura)'!$A:$A,0))</f>
        <v>26090.987254500003</v>
      </c>
      <c r="P507" s="19">
        <f>H507*INDEX('Pliegos Tarifarios (Quilicura)'!$E:$E,MATCH($B507,'Pliegos Tarifarios (Quilicura)'!$A:$A,0))</f>
        <v>8817.5931359999995</v>
      </c>
      <c r="Q507" s="19" cm="1">
        <f t="array" ref="Q507">H507*_xlfn.IFS(H507&lt;=350,INDEX('Pliegos Tarifarios (Quilicura)'!$F:$F,MATCH($B507,'Pliegos Tarifarios (Quilicura)'!$A:$A,0)),H507&lt;=500,INDEX('Pliegos Tarifarios (Quilicura)'!$G:$G,MATCH($B507,'Pliegos Tarifarios (Quilicura)'!$A:$A,0)),H507&lt;=1000,INDEX('Pliegos Tarifarios (Quilicura)'!$H:$H,MATCH($B507,'Pliegos Tarifarios (Quilicura)'!$A:$A,0)),H507&lt;=5000,INDEX('Pliegos Tarifarios (Quilicura)'!$I:$I,MATCH($B507,'Pliegos Tarifarios (Quilicura)'!$A:$A,0)),H507&gt;5000,INDEX('Pliegos Tarifarios (Quilicura)'!$J:$J,MATCH($B507,'Pliegos Tarifarios (Quilicura)'!$A:$A,0)))/1.19</f>
        <v>1587.8831609243703</v>
      </c>
      <c r="R507" s="19">
        <f>INDEX('Pliegos Tarifarios (Quilicura)'!$K:$K,MATCH($B507,'Pliegos Tarifarios (Quilicura)'!$A:$A,0))</f>
        <v>723.17600000000004</v>
      </c>
      <c r="S507" s="21">
        <f t="shared" si="24"/>
        <v>132617.78951742439</v>
      </c>
      <c r="T507" s="21">
        <f t="shared" si="25"/>
        <v>25197.380008310633</v>
      </c>
      <c r="U507" s="19">
        <v>0</v>
      </c>
      <c r="V507" s="21">
        <f t="shared" si="26"/>
        <v>157815.16952573502</v>
      </c>
    </row>
    <row r="508" spans="1:22" x14ac:dyDescent="0.3">
      <c r="A508" s="7" t="s">
        <v>147</v>
      </c>
      <c r="B508" s="7">
        <v>8</v>
      </c>
      <c r="C508" s="8" t="s">
        <v>186</v>
      </c>
      <c r="D508" s="7" t="s">
        <v>201</v>
      </c>
      <c r="E508" s="7" t="s">
        <v>47</v>
      </c>
      <c r="F508" s="8" t="s">
        <v>48</v>
      </c>
      <c r="G508" s="7" t="s">
        <v>30</v>
      </c>
      <c r="H508" s="9">
        <v>674.4769</v>
      </c>
      <c r="I508" s="9">
        <v>1.8260000000000001</v>
      </c>
      <c r="J508" s="9">
        <v>1.7807999999999999</v>
      </c>
      <c r="K508" s="10">
        <v>0.97524644030668117</v>
      </c>
      <c r="L508" s="9">
        <v>21.76</v>
      </c>
      <c r="M508" s="19">
        <f>H508*INDEX('Pliegos Tarifarios (Quilicura)'!$B:$B,MATCH($B508,'Pliegos Tarifarios (Quilicura)'!$A:$A,0))</f>
        <v>88871.099774700007</v>
      </c>
      <c r="N508" s="19">
        <f>I508*INDEX('Pliegos Tarifarios (Quilicura)'!$C:$C,MATCH($B508,'Pliegos Tarifarios (Quilicura)'!$A:$A,0))</f>
        <v>6209.811498</v>
      </c>
      <c r="O508" s="19">
        <f>J508*INDEX('Pliegos Tarifarios (Quilicura)'!$D:$D,MATCH($B508,'Pliegos Tarifarios (Quilicura)'!$A:$A,0))</f>
        <v>25756.876823999999</v>
      </c>
      <c r="P508" s="19">
        <f>H508*INDEX('Pliegos Tarifarios (Quilicura)'!$E:$E,MATCH($B508,'Pliegos Tarifarios (Quilicura)'!$A:$A,0))</f>
        <v>8784.3871455999997</v>
      </c>
      <c r="Q508" s="19" cm="1">
        <f t="array" ref="Q508">H508*_xlfn.IFS(H508&lt;=350,INDEX('Pliegos Tarifarios (Quilicura)'!$F:$F,MATCH($B508,'Pliegos Tarifarios (Quilicura)'!$A:$A,0)),H508&lt;=500,INDEX('Pliegos Tarifarios (Quilicura)'!$G:$G,MATCH($B508,'Pliegos Tarifarios (Quilicura)'!$A:$A,0)),H508&lt;=1000,INDEX('Pliegos Tarifarios (Quilicura)'!$H:$H,MATCH($B508,'Pliegos Tarifarios (Quilicura)'!$A:$A,0)),H508&lt;=5000,INDEX('Pliegos Tarifarios (Quilicura)'!$I:$I,MATCH($B508,'Pliegos Tarifarios (Quilicura)'!$A:$A,0)),H508&gt;5000,INDEX('Pliegos Tarifarios (Quilicura)'!$J:$J,MATCH($B508,'Pliegos Tarifarios (Quilicura)'!$A:$A,0)))/1.19</f>
        <v>1581.9033847899161</v>
      </c>
      <c r="R508" s="19">
        <f>INDEX('Pliegos Tarifarios (Quilicura)'!$K:$K,MATCH($B508,'Pliegos Tarifarios (Quilicura)'!$A:$A,0))</f>
        <v>723.17600000000004</v>
      </c>
      <c r="S508" s="21">
        <f t="shared" si="24"/>
        <v>131927.25462708995</v>
      </c>
      <c r="T508" s="21">
        <f t="shared" si="25"/>
        <v>25066.178379147092</v>
      </c>
      <c r="U508" s="19">
        <v>0</v>
      </c>
      <c r="V508" s="21">
        <f t="shared" si="26"/>
        <v>156993.43300623703</v>
      </c>
    </row>
    <row r="509" spans="1:22" x14ac:dyDescent="0.3">
      <c r="A509" s="7" t="s">
        <v>147</v>
      </c>
      <c r="B509" s="7">
        <v>8</v>
      </c>
      <c r="C509" s="8" t="s">
        <v>186</v>
      </c>
      <c r="D509" s="7" t="s">
        <v>202</v>
      </c>
      <c r="E509" s="7" t="s">
        <v>47</v>
      </c>
      <c r="F509" s="8" t="s">
        <v>50</v>
      </c>
      <c r="G509" s="7" t="s">
        <v>30</v>
      </c>
      <c r="H509" s="9">
        <v>675.79250000000002</v>
      </c>
      <c r="I509" s="9">
        <v>1.8287</v>
      </c>
      <c r="J509" s="9">
        <v>1.8287</v>
      </c>
      <c r="K509" s="10">
        <v>1</v>
      </c>
      <c r="L509" s="9">
        <v>21.8</v>
      </c>
      <c r="M509" s="19">
        <f>H509*INDEX('Pliegos Tarifarios (Quilicura)'!$B:$B,MATCH($B509,'Pliegos Tarifarios (Quilicura)'!$A:$A,0))</f>
        <v>89044.447177500013</v>
      </c>
      <c r="N509" s="19">
        <f>I509*INDEX('Pliegos Tarifarios (Quilicura)'!$C:$C,MATCH($B509,'Pliegos Tarifarios (Quilicura)'!$A:$A,0))</f>
        <v>6218.9935851</v>
      </c>
      <c r="O509" s="19">
        <f>J509*INDEX('Pliegos Tarifarios (Quilicura)'!$D:$D,MATCH($B509,'Pliegos Tarifarios (Quilicura)'!$A:$A,0))</f>
        <v>26449.6858985</v>
      </c>
      <c r="P509" s="19">
        <f>H509*INDEX('Pliegos Tarifarios (Quilicura)'!$E:$E,MATCH($B509,'Pliegos Tarifarios (Quilicura)'!$A:$A,0))</f>
        <v>8801.5215200000002</v>
      </c>
      <c r="Q509" s="19" cm="1">
        <f t="array" ref="Q509">H509*_xlfn.IFS(H509&lt;=350,INDEX('Pliegos Tarifarios (Quilicura)'!$F:$F,MATCH($B509,'Pliegos Tarifarios (Quilicura)'!$A:$A,0)),H509&lt;=500,INDEX('Pliegos Tarifarios (Quilicura)'!$G:$G,MATCH($B509,'Pliegos Tarifarios (Quilicura)'!$A:$A,0)),H509&lt;=1000,INDEX('Pliegos Tarifarios (Quilicura)'!$H:$H,MATCH($B509,'Pliegos Tarifarios (Quilicura)'!$A:$A,0)),H509&lt;=5000,INDEX('Pliegos Tarifarios (Quilicura)'!$I:$I,MATCH($B509,'Pliegos Tarifarios (Quilicura)'!$A:$A,0)),H509&gt;5000,INDEX('Pliegos Tarifarios (Quilicura)'!$J:$J,MATCH($B509,'Pliegos Tarifarios (Quilicura)'!$A:$A,0)))/1.19</f>
        <v>1584.9889642857147</v>
      </c>
      <c r="R509" s="19">
        <f>INDEX('Pliegos Tarifarios (Quilicura)'!$K:$K,MATCH($B509,'Pliegos Tarifarios (Quilicura)'!$A:$A,0))</f>
        <v>723.17600000000004</v>
      </c>
      <c r="S509" s="21">
        <f t="shared" si="24"/>
        <v>132822.81314538573</v>
      </c>
      <c r="T509" s="21">
        <f t="shared" si="25"/>
        <v>25236.334497623291</v>
      </c>
      <c r="U509" s="19">
        <v>0</v>
      </c>
      <c r="V509" s="21">
        <f t="shared" si="26"/>
        <v>158059.14764300903</v>
      </c>
    </row>
    <row r="510" spans="1:22" x14ac:dyDescent="0.3">
      <c r="A510" s="7" t="s">
        <v>147</v>
      </c>
      <c r="B510" s="7">
        <v>8</v>
      </c>
      <c r="C510" s="8" t="s">
        <v>186</v>
      </c>
      <c r="D510" s="7" t="s">
        <v>203</v>
      </c>
      <c r="E510" s="7" t="s">
        <v>52</v>
      </c>
      <c r="F510" s="8" t="s">
        <v>53</v>
      </c>
      <c r="G510" s="7" t="s">
        <v>30</v>
      </c>
      <c r="H510" s="9">
        <v>675.84990000000005</v>
      </c>
      <c r="I510" s="9">
        <v>1.7915000000000001</v>
      </c>
      <c r="J510" s="9">
        <v>1.7855000000000001</v>
      </c>
      <c r="K510" s="10">
        <v>0.99665085124197594</v>
      </c>
      <c r="L510" s="9">
        <v>21.8</v>
      </c>
      <c r="M510" s="19">
        <f>H510*INDEX('Pliegos Tarifarios (Quilicura)'!$B:$B,MATCH($B510,'Pliegos Tarifarios (Quilicura)'!$A:$A,0))</f>
        <v>89052.010373700003</v>
      </c>
      <c r="N510" s="19">
        <f>I510*INDEX('Pliegos Tarifarios (Quilicura)'!$C:$C,MATCH($B510,'Pliegos Tarifarios (Quilicura)'!$A:$A,0))</f>
        <v>6092.4848295000002</v>
      </c>
      <c r="O510" s="19">
        <f>J510*INDEX('Pliegos Tarifarios (Quilicura)'!$D:$D,MATCH($B510,'Pliegos Tarifarios (Quilicura)'!$A:$A,0))</f>
        <v>25824.856002500001</v>
      </c>
      <c r="P510" s="19">
        <f>H510*INDEX('Pliegos Tarifarios (Quilicura)'!$E:$E,MATCH($B510,'Pliegos Tarifarios (Quilicura)'!$A:$A,0))</f>
        <v>8802.2690975999994</v>
      </c>
      <c r="Q510" s="19" cm="1">
        <f t="array" ref="Q510">H510*_xlfn.IFS(H510&lt;=350,INDEX('Pliegos Tarifarios (Quilicura)'!$F:$F,MATCH($B510,'Pliegos Tarifarios (Quilicura)'!$A:$A,0)),H510&lt;=500,INDEX('Pliegos Tarifarios (Quilicura)'!$G:$G,MATCH($B510,'Pliegos Tarifarios (Quilicura)'!$A:$A,0)),H510&lt;=1000,INDEX('Pliegos Tarifarios (Quilicura)'!$H:$H,MATCH($B510,'Pliegos Tarifarios (Quilicura)'!$A:$A,0)),H510&lt;=5000,INDEX('Pliegos Tarifarios (Quilicura)'!$I:$I,MATCH($B510,'Pliegos Tarifarios (Quilicura)'!$A:$A,0)),H510&gt;5000,INDEX('Pliegos Tarifarios (Quilicura)'!$J:$J,MATCH($B510,'Pliegos Tarifarios (Quilicura)'!$A:$A,0)))/1.19</f>
        <v>1585.123588991597</v>
      </c>
      <c r="R510" s="19">
        <f>INDEX('Pliegos Tarifarios (Quilicura)'!$K:$K,MATCH($B510,'Pliegos Tarifarios (Quilicura)'!$A:$A,0))</f>
        <v>723.17600000000004</v>
      </c>
      <c r="S510" s="21">
        <f t="shared" si="24"/>
        <v>132079.9198922916</v>
      </c>
      <c r="T510" s="21">
        <f t="shared" si="25"/>
        <v>25095.184779535404</v>
      </c>
      <c r="U510" s="19">
        <v>0</v>
      </c>
      <c r="V510" s="21">
        <f t="shared" si="26"/>
        <v>157175.10467182699</v>
      </c>
    </row>
    <row r="511" spans="1:22" x14ac:dyDescent="0.3">
      <c r="A511" s="7" t="s">
        <v>147</v>
      </c>
      <c r="B511" s="7">
        <v>8</v>
      </c>
      <c r="C511" s="8" t="s">
        <v>186</v>
      </c>
      <c r="D511" s="7" t="s">
        <v>204</v>
      </c>
      <c r="E511" s="7" t="s">
        <v>55</v>
      </c>
      <c r="F511" s="8" t="s">
        <v>56</v>
      </c>
      <c r="G511" s="7" t="s">
        <v>30</v>
      </c>
      <c r="H511" s="9">
        <v>450.95920000000001</v>
      </c>
      <c r="I511" s="9">
        <v>1.1930000000000001</v>
      </c>
      <c r="J511" s="9">
        <v>1.1930000000000001</v>
      </c>
      <c r="K511" s="10">
        <v>1</v>
      </c>
      <c r="L511" s="9">
        <v>14.55</v>
      </c>
      <c r="M511" s="19">
        <f>H511*INDEX('Pliegos Tarifarios (Quilicura)'!$B:$B,MATCH($B511,'Pliegos Tarifarios (Quilicura)'!$A:$A,0))</f>
        <v>59419.737069600007</v>
      </c>
      <c r="N511" s="19">
        <f>I511*INDEX('Pliegos Tarifarios (Quilicura)'!$C:$C,MATCH($B511,'Pliegos Tarifarios (Quilicura)'!$A:$A,0))</f>
        <v>4057.1221890000002</v>
      </c>
      <c r="O511" s="19">
        <f>J511*INDEX('Pliegos Tarifarios (Quilicura)'!$D:$D,MATCH($B511,'Pliegos Tarifarios (Quilicura)'!$A:$A,0))</f>
        <v>17255.140415000002</v>
      </c>
      <c r="P511" s="19">
        <f>H511*INDEX('Pliegos Tarifarios (Quilicura)'!$E:$E,MATCH($B511,'Pliegos Tarifarios (Quilicura)'!$A:$A,0))</f>
        <v>5873.2926207999999</v>
      </c>
      <c r="Q511" s="19" cm="1">
        <f t="array" ref="Q511">H511*_xlfn.IFS(H511&lt;=350,INDEX('Pliegos Tarifarios (Quilicura)'!$F:$F,MATCH($B511,'Pliegos Tarifarios (Quilicura)'!$A:$A,0)),H511&lt;=500,INDEX('Pliegos Tarifarios (Quilicura)'!$G:$G,MATCH($B511,'Pliegos Tarifarios (Quilicura)'!$A:$A,0)),H511&lt;=1000,INDEX('Pliegos Tarifarios (Quilicura)'!$H:$H,MATCH($B511,'Pliegos Tarifarios (Quilicura)'!$A:$A,0)),H511&lt;=5000,INDEX('Pliegos Tarifarios (Quilicura)'!$I:$I,MATCH($B511,'Pliegos Tarifarios (Quilicura)'!$A:$A,0)),H511&gt;5000,INDEX('Pliegos Tarifarios (Quilicura)'!$J:$J,MATCH($B511,'Pliegos Tarifarios (Quilicura)'!$A:$A,0)))/1.19</f>
        <v>635.13245310924378</v>
      </c>
      <c r="R511" s="19">
        <f>INDEX('Pliegos Tarifarios (Quilicura)'!$K:$K,MATCH($B511,'Pliegos Tarifarios (Quilicura)'!$A:$A,0))</f>
        <v>723.17600000000004</v>
      </c>
      <c r="S511" s="21">
        <f t="shared" si="24"/>
        <v>87963.600747509263</v>
      </c>
      <c r="T511" s="21">
        <f t="shared" si="25"/>
        <v>16713.084142026761</v>
      </c>
      <c r="U511" s="19">
        <v>0</v>
      </c>
      <c r="V511" s="21">
        <f t="shared" si="26"/>
        <v>104676.68488953603</v>
      </c>
    </row>
    <row r="512" spans="1:22" x14ac:dyDescent="0.3">
      <c r="A512" s="7" t="s">
        <v>147</v>
      </c>
      <c r="B512" s="7">
        <v>8</v>
      </c>
      <c r="C512" s="8" t="s">
        <v>186</v>
      </c>
      <c r="D512" s="7" t="s">
        <v>205</v>
      </c>
      <c r="E512" s="7" t="s">
        <v>58</v>
      </c>
      <c r="F512" s="8" t="s">
        <v>59</v>
      </c>
      <c r="G512" s="7" t="s">
        <v>30</v>
      </c>
      <c r="H512" s="9">
        <v>451.35410000000002</v>
      </c>
      <c r="I512" s="9">
        <v>1.2270000000000001</v>
      </c>
      <c r="J512" s="9">
        <v>1.1992</v>
      </c>
      <c r="K512" s="10">
        <v>0.97734311328443357</v>
      </c>
      <c r="L512" s="9">
        <v>14.56</v>
      </c>
      <c r="M512" s="19">
        <f>H512*INDEX('Pliegos Tarifarios (Quilicura)'!$B:$B,MATCH($B512,'Pliegos Tarifarios (Quilicura)'!$A:$A,0))</f>
        <v>59471.770278300006</v>
      </c>
      <c r="N512" s="19">
        <f>I512*INDEX('Pliegos Tarifarios (Quilicura)'!$C:$C,MATCH($B512,'Pliegos Tarifarios (Quilicura)'!$A:$A,0))</f>
        <v>4172.7484710000008</v>
      </c>
      <c r="O512" s="19">
        <f>J512*INDEX('Pliegos Tarifarios (Quilicura)'!$D:$D,MATCH($B512,'Pliegos Tarifarios (Quilicura)'!$A:$A,0))</f>
        <v>17344.815076000003</v>
      </c>
      <c r="P512" s="19">
        <f>H512*INDEX('Pliegos Tarifarios (Quilicura)'!$E:$E,MATCH($B512,'Pliegos Tarifarios (Quilicura)'!$A:$A,0))</f>
        <v>5878.4357983999998</v>
      </c>
      <c r="Q512" s="19" cm="1">
        <f t="array" ref="Q512">H512*_xlfn.IFS(H512&lt;=350,INDEX('Pliegos Tarifarios (Quilicura)'!$F:$F,MATCH($B512,'Pliegos Tarifarios (Quilicura)'!$A:$A,0)),H512&lt;=500,INDEX('Pliegos Tarifarios (Quilicura)'!$G:$G,MATCH($B512,'Pliegos Tarifarios (Quilicura)'!$A:$A,0)),H512&lt;=1000,INDEX('Pliegos Tarifarios (Quilicura)'!$H:$H,MATCH($B512,'Pliegos Tarifarios (Quilicura)'!$A:$A,0)),H512&lt;=5000,INDEX('Pliegos Tarifarios (Quilicura)'!$I:$I,MATCH($B512,'Pliegos Tarifarios (Quilicura)'!$A:$A,0)),H512&gt;5000,INDEX('Pliegos Tarifarios (Quilicura)'!$J:$J,MATCH($B512,'Pliegos Tarifarios (Quilicura)'!$A:$A,0)))/1.19</f>
        <v>635.68863159663874</v>
      </c>
      <c r="R512" s="19">
        <f>INDEX('Pliegos Tarifarios (Quilicura)'!$K:$K,MATCH($B512,'Pliegos Tarifarios (Quilicura)'!$A:$A,0))</f>
        <v>723.17600000000004</v>
      </c>
      <c r="S512" s="21">
        <f t="shared" si="24"/>
        <v>88226.634255296653</v>
      </c>
      <c r="T512" s="21">
        <f t="shared" si="25"/>
        <v>16763.060508506365</v>
      </c>
      <c r="U512" s="19">
        <v>0</v>
      </c>
      <c r="V512" s="21">
        <f t="shared" si="26"/>
        <v>104989.69476380301</v>
      </c>
    </row>
    <row r="513" spans="1:22" x14ac:dyDescent="0.3">
      <c r="A513" s="7" t="s">
        <v>147</v>
      </c>
      <c r="B513" s="7">
        <v>8</v>
      </c>
      <c r="C513" s="8" t="s">
        <v>186</v>
      </c>
      <c r="D513" s="7" t="s">
        <v>206</v>
      </c>
      <c r="E513" s="7" t="s">
        <v>61</v>
      </c>
      <c r="F513" s="8" t="s">
        <v>62</v>
      </c>
      <c r="G513" s="7" t="s">
        <v>30</v>
      </c>
      <c r="H513" s="9">
        <v>450.5172</v>
      </c>
      <c r="I513" s="9">
        <v>1.2424999999999999</v>
      </c>
      <c r="J513" s="9">
        <v>1.2424999999999999</v>
      </c>
      <c r="K513" s="10">
        <v>1</v>
      </c>
      <c r="L513" s="9">
        <v>14.53</v>
      </c>
      <c r="M513" s="19">
        <f>H513*INDEX('Pliegos Tarifarios (Quilicura)'!$B:$B,MATCH($B513,'Pliegos Tarifarios (Quilicura)'!$A:$A,0))</f>
        <v>59361.497823600002</v>
      </c>
      <c r="N513" s="19">
        <f>I513*INDEX('Pliegos Tarifarios (Quilicura)'!$C:$C,MATCH($B513,'Pliegos Tarifarios (Quilicura)'!$A:$A,0))</f>
        <v>4225.4604524999995</v>
      </c>
      <c r="O513" s="19">
        <f>J513*INDEX('Pliegos Tarifarios (Quilicura)'!$D:$D,MATCH($B513,'Pliegos Tarifarios (Quilicura)'!$A:$A,0))</f>
        <v>17971.091337499998</v>
      </c>
      <c r="P513" s="19">
        <f>H513*INDEX('Pliegos Tarifarios (Quilicura)'!$E:$E,MATCH($B513,'Pliegos Tarifarios (Quilicura)'!$A:$A,0))</f>
        <v>5867.5360127999993</v>
      </c>
      <c r="Q513" s="19" cm="1">
        <f t="array" ref="Q513">H513*_xlfn.IFS(H513&lt;=350,INDEX('Pliegos Tarifarios (Quilicura)'!$F:$F,MATCH($B513,'Pliegos Tarifarios (Quilicura)'!$A:$A,0)),H513&lt;=500,INDEX('Pliegos Tarifarios (Quilicura)'!$G:$G,MATCH($B513,'Pliegos Tarifarios (Quilicura)'!$A:$A,0)),H513&lt;=1000,INDEX('Pliegos Tarifarios (Quilicura)'!$H:$H,MATCH($B513,'Pliegos Tarifarios (Quilicura)'!$A:$A,0)),H513&lt;=5000,INDEX('Pliegos Tarifarios (Quilicura)'!$I:$I,MATCH($B513,'Pliegos Tarifarios (Quilicura)'!$A:$A,0)),H513&gt;5000,INDEX('Pliegos Tarifarios (Quilicura)'!$J:$J,MATCH($B513,'Pliegos Tarifarios (Quilicura)'!$A:$A,0)))/1.19</f>
        <v>634.50993882352952</v>
      </c>
      <c r="R513" s="19">
        <f>INDEX('Pliegos Tarifarios (Quilicura)'!$K:$K,MATCH($B513,'Pliegos Tarifarios (Quilicura)'!$A:$A,0))</f>
        <v>723.17600000000004</v>
      </c>
      <c r="S513" s="21">
        <f t="shared" si="24"/>
        <v>88783.271565223535</v>
      </c>
      <c r="T513" s="21">
        <f t="shared" si="25"/>
        <v>16868.821597392471</v>
      </c>
      <c r="U513" s="19">
        <v>0</v>
      </c>
      <c r="V513" s="21">
        <f t="shared" si="26"/>
        <v>105652.093162616</v>
      </c>
    </row>
    <row r="514" spans="1:22" x14ac:dyDescent="0.3">
      <c r="A514" s="7" t="s">
        <v>147</v>
      </c>
      <c r="B514" s="7">
        <v>8</v>
      </c>
      <c r="C514" s="8" t="s">
        <v>186</v>
      </c>
      <c r="D514" s="7" t="s">
        <v>207</v>
      </c>
      <c r="E514" s="7" t="s">
        <v>34</v>
      </c>
      <c r="F514" s="8" t="s">
        <v>64</v>
      </c>
      <c r="G514" s="7" t="s">
        <v>30</v>
      </c>
      <c r="H514" s="9">
        <v>902.00109999999995</v>
      </c>
      <c r="I514" s="9">
        <v>2.4382999999999999</v>
      </c>
      <c r="J514" s="9">
        <v>2.4382999999999999</v>
      </c>
      <c r="K514" s="10">
        <v>1</v>
      </c>
      <c r="L514" s="9">
        <v>29.1</v>
      </c>
      <c r="M514" s="19">
        <f>H514*INDEX('Pliegos Tarifarios (Quilicura)'!$B:$B,MATCH($B514,'Pliegos Tarifarios (Quilicura)'!$A:$A,0))</f>
        <v>118850.3709393</v>
      </c>
      <c r="N514" s="19">
        <f>I514*INDEX('Pliegos Tarifarios (Quilicura)'!$C:$C,MATCH($B514,'Pliegos Tarifarios (Quilicura)'!$A:$A,0))</f>
        <v>8292.1048059000004</v>
      </c>
      <c r="O514" s="19">
        <f>J514*INDEX('Pliegos Tarifarios (Quilicura)'!$D:$D,MATCH($B514,'Pliegos Tarifarios (Quilicura)'!$A:$A,0))</f>
        <v>35266.729986500002</v>
      </c>
      <c r="P514" s="19">
        <f>H514*INDEX('Pliegos Tarifarios (Quilicura)'!$E:$E,MATCH($B514,'Pliegos Tarifarios (Quilicura)'!$A:$A,0))</f>
        <v>11747.662326399999</v>
      </c>
      <c r="Q514" s="19" cm="1">
        <f t="array" ref="Q514">H514*_xlfn.IFS(H514&lt;=350,INDEX('Pliegos Tarifarios (Quilicura)'!$F:$F,MATCH($B514,'Pliegos Tarifarios (Quilicura)'!$A:$A,0)),H514&lt;=500,INDEX('Pliegos Tarifarios (Quilicura)'!$G:$G,MATCH($B514,'Pliegos Tarifarios (Quilicura)'!$A:$A,0)),H514&lt;=1000,INDEX('Pliegos Tarifarios (Quilicura)'!$H:$H,MATCH($B514,'Pliegos Tarifarios (Quilicura)'!$A:$A,0)),H514&lt;=5000,INDEX('Pliegos Tarifarios (Quilicura)'!$I:$I,MATCH($B514,'Pliegos Tarifarios (Quilicura)'!$A:$A,0)),H514&gt;5000,INDEX('Pliegos Tarifarios (Quilicura)'!$J:$J,MATCH($B514,'Pliegos Tarifarios (Quilicura)'!$A:$A,0)))/1.19</f>
        <v>2115.5336723529413</v>
      </c>
      <c r="R514" s="19">
        <f>INDEX('Pliegos Tarifarios (Quilicura)'!$K:$K,MATCH($B514,'Pliegos Tarifarios (Quilicura)'!$A:$A,0))</f>
        <v>723.17600000000004</v>
      </c>
      <c r="S514" s="21">
        <f t="shared" si="24"/>
        <v>176995.57773045293</v>
      </c>
      <c r="T514" s="21">
        <f t="shared" si="25"/>
        <v>33629.159768786056</v>
      </c>
      <c r="U514" s="19">
        <v>0</v>
      </c>
      <c r="V514" s="21">
        <f t="shared" si="26"/>
        <v>210624.73749923898</v>
      </c>
    </row>
    <row r="515" spans="1:22" x14ac:dyDescent="0.3">
      <c r="A515" s="7" t="s">
        <v>147</v>
      </c>
      <c r="B515" s="7">
        <v>8</v>
      </c>
      <c r="C515" s="8" t="s">
        <v>186</v>
      </c>
      <c r="D515" s="7" t="s">
        <v>208</v>
      </c>
      <c r="E515" s="7" t="s">
        <v>34</v>
      </c>
      <c r="F515" s="8" t="s">
        <v>66</v>
      </c>
      <c r="G515" s="7" t="s">
        <v>30</v>
      </c>
      <c r="H515" s="9">
        <v>900.08709999999996</v>
      </c>
      <c r="I515" s="9">
        <v>2.4418000000000002</v>
      </c>
      <c r="J515" s="9">
        <v>2.3921999999999999</v>
      </c>
      <c r="K515" s="10">
        <v>0.97968711606192138</v>
      </c>
      <c r="L515" s="9">
        <v>29.04</v>
      </c>
      <c r="M515" s="19">
        <f>H515*INDEX('Pliegos Tarifarios (Quilicura)'!$B:$B,MATCH($B515,'Pliegos Tarifarios (Quilicura)'!$A:$A,0))</f>
        <v>118598.1765573</v>
      </c>
      <c r="N515" s="19">
        <f>I515*INDEX('Pliegos Tarifarios (Quilicura)'!$C:$C,MATCH($B515,'Pliegos Tarifarios (Quilicura)'!$A:$A,0))</f>
        <v>8304.007511400001</v>
      </c>
      <c r="O515" s="19">
        <f>J515*INDEX('Pliegos Tarifarios (Quilicura)'!$D:$D,MATCH($B515,'Pliegos Tarifarios (Quilicura)'!$A:$A,0))</f>
        <v>34599.955491000001</v>
      </c>
      <c r="P515" s="19">
        <f>H515*INDEX('Pliegos Tarifarios (Quilicura)'!$E:$E,MATCH($B515,'Pliegos Tarifarios (Quilicura)'!$A:$A,0))</f>
        <v>11722.734390399999</v>
      </c>
      <c r="Q515" s="19" cm="1">
        <f t="array" ref="Q515">H515*_xlfn.IFS(H515&lt;=350,INDEX('Pliegos Tarifarios (Quilicura)'!$F:$F,MATCH($B515,'Pliegos Tarifarios (Quilicura)'!$A:$A,0)),H515&lt;=500,INDEX('Pliegos Tarifarios (Quilicura)'!$G:$G,MATCH($B515,'Pliegos Tarifarios (Quilicura)'!$A:$A,0)),H515&lt;=1000,INDEX('Pliegos Tarifarios (Quilicura)'!$H:$H,MATCH($B515,'Pliegos Tarifarios (Quilicura)'!$A:$A,0)),H515&lt;=5000,INDEX('Pliegos Tarifarios (Quilicura)'!$I:$I,MATCH($B515,'Pliegos Tarifarios (Quilicura)'!$A:$A,0)),H515&gt;5000,INDEX('Pliegos Tarifarios (Quilicura)'!$J:$J,MATCH($B515,'Pliegos Tarifarios (Quilicura)'!$A:$A,0)))/1.19</f>
        <v>2111.0446185714286</v>
      </c>
      <c r="R515" s="19">
        <f>INDEX('Pliegos Tarifarios (Quilicura)'!$K:$K,MATCH($B515,'Pliegos Tarifarios (Quilicura)'!$A:$A,0))</f>
        <v>723.17600000000004</v>
      </c>
      <c r="S515" s="21">
        <f t="shared" si="24"/>
        <v>176059.09456867145</v>
      </c>
      <c r="T515" s="21">
        <f t="shared" si="25"/>
        <v>33451.227968047577</v>
      </c>
      <c r="U515" s="19">
        <v>0</v>
      </c>
      <c r="V515" s="21">
        <f t="shared" si="26"/>
        <v>209510.32253671903</v>
      </c>
    </row>
    <row r="516" spans="1:22" x14ac:dyDescent="0.3">
      <c r="A516" s="7" t="s">
        <v>147</v>
      </c>
      <c r="B516" s="7">
        <v>8</v>
      </c>
      <c r="C516" s="8" t="s">
        <v>186</v>
      </c>
      <c r="D516" s="7" t="s">
        <v>209</v>
      </c>
      <c r="E516" s="7" t="s">
        <v>34</v>
      </c>
      <c r="F516" s="8" t="s">
        <v>68</v>
      </c>
      <c r="G516" s="7" t="s">
        <v>30</v>
      </c>
      <c r="H516" s="9">
        <v>900.38369999999998</v>
      </c>
      <c r="I516" s="9">
        <v>2.4136000000000002</v>
      </c>
      <c r="J516" s="9">
        <v>2.3814000000000002</v>
      </c>
      <c r="K516" s="10">
        <v>0.98665893271461713</v>
      </c>
      <c r="L516" s="9">
        <v>29.04</v>
      </c>
      <c r="M516" s="19">
        <f>H516*INDEX('Pliegos Tarifarios (Quilicura)'!$B:$B,MATCH($B516,'Pliegos Tarifarios (Quilicura)'!$A:$A,0))</f>
        <v>118637.2574631</v>
      </c>
      <c r="N516" s="19">
        <f>I516*INDEX('Pliegos Tarifarios (Quilicura)'!$C:$C,MATCH($B516,'Pliegos Tarifarios (Quilicura)'!$A:$A,0))</f>
        <v>8208.1057128000011</v>
      </c>
      <c r="O516" s="19">
        <f>J516*INDEX('Pliegos Tarifarios (Quilicura)'!$D:$D,MATCH($B516,'Pliegos Tarifarios (Quilicura)'!$A:$A,0))</f>
        <v>34443.748017000005</v>
      </c>
      <c r="P516" s="19">
        <f>H516*INDEX('Pliegos Tarifarios (Quilicura)'!$E:$E,MATCH($B516,'Pliegos Tarifarios (Quilicura)'!$A:$A,0))</f>
        <v>11726.597308799999</v>
      </c>
      <c r="Q516" s="19" cm="1">
        <f t="array" ref="Q516">H516*_xlfn.IFS(H516&lt;=350,INDEX('Pliegos Tarifarios (Quilicura)'!$F:$F,MATCH($B516,'Pliegos Tarifarios (Quilicura)'!$A:$A,0)),H516&lt;=500,INDEX('Pliegos Tarifarios (Quilicura)'!$G:$G,MATCH($B516,'Pliegos Tarifarios (Quilicura)'!$A:$A,0)),H516&lt;=1000,INDEX('Pliegos Tarifarios (Quilicura)'!$H:$H,MATCH($B516,'Pliegos Tarifarios (Quilicura)'!$A:$A,0)),H516&lt;=5000,INDEX('Pliegos Tarifarios (Quilicura)'!$I:$I,MATCH($B516,'Pliegos Tarifarios (Quilicura)'!$A:$A,0)),H516&gt;5000,INDEX('Pliegos Tarifarios (Quilicura)'!$J:$J,MATCH($B516,'Pliegos Tarifarios (Quilicura)'!$A:$A,0)))/1.19</f>
        <v>2111.7402577310927</v>
      </c>
      <c r="R516" s="19">
        <f>INDEX('Pliegos Tarifarios (Quilicura)'!$K:$K,MATCH($B516,'Pliegos Tarifarios (Quilicura)'!$A:$A,0))</f>
        <v>723.17600000000004</v>
      </c>
      <c r="S516" s="21">
        <f t="shared" si="24"/>
        <v>175850.62475943108</v>
      </c>
      <c r="T516" s="21">
        <f t="shared" si="25"/>
        <v>33411.618704291905</v>
      </c>
      <c r="U516" s="19">
        <v>0</v>
      </c>
      <c r="V516" s="21">
        <f t="shared" si="26"/>
        <v>209262.24346372299</v>
      </c>
    </row>
    <row r="517" spans="1:22" x14ac:dyDescent="0.3">
      <c r="A517" s="7" t="s">
        <v>147</v>
      </c>
      <c r="B517" s="7">
        <v>8</v>
      </c>
      <c r="C517" s="8" t="s">
        <v>186</v>
      </c>
      <c r="D517" s="7" t="s">
        <v>210</v>
      </c>
      <c r="E517" s="7" t="s">
        <v>70</v>
      </c>
      <c r="F517" s="8" t="s">
        <v>71</v>
      </c>
      <c r="G517" s="7" t="s">
        <v>30</v>
      </c>
      <c r="H517" s="9">
        <v>1125.7585999999999</v>
      </c>
      <c r="I517" s="9">
        <v>3.1393</v>
      </c>
      <c r="J517" s="9">
        <v>3.0392999999999999</v>
      </c>
      <c r="K517" s="10">
        <v>0.96814576497945404</v>
      </c>
      <c r="L517" s="9">
        <v>36.31</v>
      </c>
      <c r="M517" s="19">
        <f>H517*INDEX('Pliegos Tarifarios (Quilicura)'!$B:$B,MATCH($B517,'Pliegos Tarifarios (Quilicura)'!$A:$A,0))</f>
        <v>148333.33041179998</v>
      </c>
      <c r="N517" s="19">
        <f>I517*INDEX('Pliegos Tarifarios (Quilicura)'!$C:$C,MATCH($B517,'Pliegos Tarifarios (Quilicura)'!$A:$A,0))</f>
        <v>10676.0466789</v>
      </c>
      <c r="O517" s="19">
        <f>J517*INDEX('Pliegos Tarifarios (Quilicura)'!$D:$D,MATCH($B517,'Pliegos Tarifarios (Quilicura)'!$A:$A,0))</f>
        <v>43959.386641500001</v>
      </c>
      <c r="P517" s="19">
        <f>H517*INDEX('Pliegos Tarifarios (Quilicura)'!$E:$E,MATCH($B517,'Pliegos Tarifarios (Quilicura)'!$A:$A,0))</f>
        <v>14661.880006399997</v>
      </c>
      <c r="Q517" s="19" cm="1">
        <f t="array" ref="Q517">H517*_xlfn.IFS(H517&lt;=350,INDEX('Pliegos Tarifarios (Quilicura)'!$F:$F,MATCH($B517,'Pliegos Tarifarios (Quilicura)'!$A:$A,0)),H517&lt;=500,INDEX('Pliegos Tarifarios (Quilicura)'!$G:$G,MATCH($B517,'Pliegos Tarifarios (Quilicura)'!$A:$A,0)),H517&lt;=1000,INDEX('Pliegos Tarifarios (Quilicura)'!$H:$H,MATCH($B517,'Pliegos Tarifarios (Quilicura)'!$A:$A,0)),H517&lt;=5000,INDEX('Pliegos Tarifarios (Quilicura)'!$I:$I,MATCH($B517,'Pliegos Tarifarios (Quilicura)'!$A:$A,0)),H517&gt;5000,INDEX('Pliegos Tarifarios (Quilicura)'!$J:$J,MATCH($B517,'Pliegos Tarifarios (Quilicura)'!$A:$A,0)))/1.19</f>
        <v>3378.221815630252</v>
      </c>
      <c r="R517" s="19">
        <f>INDEX('Pliegos Tarifarios (Quilicura)'!$K:$K,MATCH($B517,'Pliegos Tarifarios (Quilicura)'!$A:$A,0))</f>
        <v>723.17600000000004</v>
      </c>
      <c r="S517" s="21">
        <f t="shared" si="24"/>
        <v>221732.04155423021</v>
      </c>
      <c r="T517" s="21">
        <f t="shared" si="25"/>
        <v>42129.087895303739</v>
      </c>
      <c r="U517" s="19">
        <v>0</v>
      </c>
      <c r="V517" s="21">
        <f t="shared" si="26"/>
        <v>263861.12944953394</v>
      </c>
    </row>
    <row r="518" spans="1:22" x14ac:dyDescent="0.3">
      <c r="A518" s="7" t="s">
        <v>147</v>
      </c>
      <c r="B518" s="7">
        <v>8</v>
      </c>
      <c r="C518" s="8" t="s">
        <v>186</v>
      </c>
      <c r="D518" s="7" t="s">
        <v>211</v>
      </c>
      <c r="E518" s="7" t="s">
        <v>73</v>
      </c>
      <c r="F518" s="8" t="s">
        <v>74</v>
      </c>
      <c r="G518" s="7" t="s">
        <v>16</v>
      </c>
      <c r="H518" s="9">
        <v>1803.4881</v>
      </c>
      <c r="I518" s="9">
        <v>4.8627000000000002</v>
      </c>
      <c r="J518" s="9">
        <v>4.8627000000000002</v>
      </c>
      <c r="K518" s="10">
        <v>1</v>
      </c>
      <c r="L518" s="9">
        <v>58.18</v>
      </c>
      <c r="M518" s="19">
        <f>H518*INDEX('Pliegos Tarifarios (Quilicura)'!$B:$B,MATCH($B518,'Pliegos Tarifarios (Quilicura)'!$A:$A,0))</f>
        <v>237633.00252030001</v>
      </c>
      <c r="N518" s="19">
        <f>I518*INDEX('Pliegos Tarifarios (Quilicura)'!$C:$C,MATCH($B518,'Pliegos Tarifarios (Quilicura)'!$A:$A,0))</f>
        <v>16536.938867100002</v>
      </c>
      <c r="O518" s="19">
        <f>J518*INDEX('Pliegos Tarifarios (Quilicura)'!$D:$D,MATCH($B518,'Pliegos Tarifarios (Quilicura)'!$A:$A,0))</f>
        <v>70332.415168500011</v>
      </c>
      <c r="P518" s="19">
        <f>H518*INDEX('Pliegos Tarifarios (Quilicura)'!$E:$E,MATCH($B518,'Pliegos Tarifarios (Quilicura)'!$A:$A,0))</f>
        <v>23488.629014399998</v>
      </c>
      <c r="Q518" s="19" cm="1">
        <f t="array" ref="Q518">H518*_xlfn.IFS(H518&lt;=350,INDEX('Pliegos Tarifarios (Quilicura)'!$F:$F,MATCH($B518,'Pliegos Tarifarios (Quilicura)'!$A:$A,0)),H518&lt;=500,INDEX('Pliegos Tarifarios (Quilicura)'!$G:$G,MATCH($B518,'Pliegos Tarifarios (Quilicura)'!$A:$A,0)),H518&lt;=1000,INDEX('Pliegos Tarifarios (Quilicura)'!$H:$H,MATCH($B518,'Pliegos Tarifarios (Quilicura)'!$A:$A,0)),H518&lt;=5000,INDEX('Pliegos Tarifarios (Quilicura)'!$I:$I,MATCH($B518,'Pliegos Tarifarios (Quilicura)'!$A:$A,0)),H518&gt;5000,INDEX('Pliegos Tarifarios (Quilicura)'!$J:$J,MATCH($B518,'Pliegos Tarifarios (Quilicura)'!$A:$A,0)))/1.19</f>
        <v>5411.9798362184874</v>
      </c>
      <c r="R518" s="19">
        <f>INDEX('Pliegos Tarifarios (Quilicura)'!$K:$K,MATCH($B518,'Pliegos Tarifarios (Quilicura)'!$A:$A,0))</f>
        <v>723.17600000000004</v>
      </c>
      <c r="S518" s="21">
        <f t="shared" si="24"/>
        <v>354126.14140651847</v>
      </c>
      <c r="T518" s="21">
        <f t="shared" si="25"/>
        <v>67283.966867238516</v>
      </c>
      <c r="U518" s="19">
        <v>0</v>
      </c>
      <c r="V518" s="21">
        <f t="shared" si="26"/>
        <v>421410.10827375698</v>
      </c>
    </row>
    <row r="519" spans="1:22" x14ac:dyDescent="0.3">
      <c r="A519" s="7" t="s">
        <v>147</v>
      </c>
      <c r="B519" s="7">
        <v>8</v>
      </c>
      <c r="C519" s="8" t="s">
        <v>186</v>
      </c>
      <c r="D519" s="7" t="s">
        <v>212</v>
      </c>
      <c r="E519" s="7" t="s">
        <v>73</v>
      </c>
      <c r="F519" s="8" t="s">
        <v>76</v>
      </c>
      <c r="G519" s="7" t="s">
        <v>16</v>
      </c>
      <c r="H519" s="9">
        <v>1352.2701</v>
      </c>
      <c r="I519" s="9">
        <v>3.7923</v>
      </c>
      <c r="J519" s="9">
        <v>3.6543000000000001</v>
      </c>
      <c r="K519" s="10">
        <v>0.9636104738549166</v>
      </c>
      <c r="L519" s="9">
        <v>43.62</v>
      </c>
      <c r="M519" s="19">
        <f>H519*INDEX('Pliegos Tarifarios (Quilicura)'!$B:$B,MATCH($B519,'Pliegos Tarifarios (Quilicura)'!$A:$A,0))</f>
        <v>178179.1651863</v>
      </c>
      <c r="N519" s="19">
        <f>I519*INDEX('Pliegos Tarifarios (Quilicura)'!$C:$C,MATCH($B519,'Pliegos Tarifarios (Quilicura)'!$A:$A,0))</f>
        <v>12896.7514479</v>
      </c>
      <c r="O519" s="19">
        <f>J519*INDEX('Pliegos Tarifarios (Quilicura)'!$D:$D,MATCH($B519,'Pliegos Tarifarios (Quilicura)'!$A:$A,0))</f>
        <v>52854.534466500001</v>
      </c>
      <c r="P519" s="19">
        <f>H519*INDEX('Pliegos Tarifarios (Quilicura)'!$E:$E,MATCH($B519,'Pliegos Tarifarios (Quilicura)'!$A:$A,0))</f>
        <v>17611.965782399999</v>
      </c>
      <c r="Q519" s="19" cm="1">
        <f t="array" ref="Q519">H519*_xlfn.IFS(H519&lt;=350,INDEX('Pliegos Tarifarios (Quilicura)'!$F:$F,MATCH($B519,'Pliegos Tarifarios (Quilicura)'!$A:$A,0)),H519&lt;=500,INDEX('Pliegos Tarifarios (Quilicura)'!$G:$G,MATCH($B519,'Pliegos Tarifarios (Quilicura)'!$A:$A,0)),H519&lt;=1000,INDEX('Pliegos Tarifarios (Quilicura)'!$H:$H,MATCH($B519,'Pliegos Tarifarios (Quilicura)'!$A:$A,0)),H519&lt;=5000,INDEX('Pliegos Tarifarios (Quilicura)'!$I:$I,MATCH($B519,'Pliegos Tarifarios (Quilicura)'!$A:$A,0)),H519&gt;5000,INDEX('Pliegos Tarifarios (Quilicura)'!$J:$J,MATCH($B519,'Pliegos Tarifarios (Quilicura)'!$A:$A,0)))/1.19</f>
        <v>4057.9466614285711</v>
      </c>
      <c r="R519" s="19">
        <f>INDEX('Pliegos Tarifarios (Quilicura)'!$K:$K,MATCH($B519,'Pliegos Tarifarios (Quilicura)'!$A:$A,0))</f>
        <v>723.17600000000004</v>
      </c>
      <c r="S519" s="21">
        <f t="shared" si="24"/>
        <v>266323.53954452852</v>
      </c>
      <c r="T519" s="21">
        <f t="shared" si="25"/>
        <v>50601.472513460423</v>
      </c>
      <c r="U519" s="19">
        <v>0</v>
      </c>
      <c r="V519" s="21">
        <f t="shared" si="26"/>
        <v>316925.01205798896</v>
      </c>
    </row>
    <row r="520" spans="1:22" x14ac:dyDescent="0.3">
      <c r="A520" s="7" t="s">
        <v>147</v>
      </c>
      <c r="B520" s="7">
        <v>8</v>
      </c>
      <c r="C520" s="8" t="s">
        <v>186</v>
      </c>
      <c r="D520" s="7" t="s">
        <v>213</v>
      </c>
      <c r="E520" s="7" t="s">
        <v>78</v>
      </c>
      <c r="F520" s="8" t="s">
        <v>79</v>
      </c>
      <c r="G520" s="7" t="s">
        <v>16</v>
      </c>
      <c r="H520" s="9">
        <v>1125.3782000000001</v>
      </c>
      <c r="I520" s="9">
        <v>3.0577000000000001</v>
      </c>
      <c r="J520" s="9">
        <v>2.9561999999999999</v>
      </c>
      <c r="K520" s="10">
        <v>0.96680511495568555</v>
      </c>
      <c r="L520" s="9">
        <v>36.299999999999997</v>
      </c>
      <c r="M520" s="19">
        <f>H520*INDEX('Pliegos Tarifarios (Quilicura)'!$B:$B,MATCH($B520,'Pliegos Tarifarios (Quilicura)'!$A:$A,0))</f>
        <v>148283.20776660001</v>
      </c>
      <c r="N520" s="19">
        <f>I520*INDEX('Pliegos Tarifarios (Quilicura)'!$C:$C,MATCH($B520,'Pliegos Tarifarios (Quilicura)'!$A:$A,0))</f>
        <v>10398.5436021</v>
      </c>
      <c r="O520" s="19">
        <f>J520*INDEX('Pliegos Tarifarios (Quilicura)'!$D:$D,MATCH($B520,'Pliegos Tarifarios (Quilicura)'!$A:$A,0))</f>
        <v>42757.456911000001</v>
      </c>
      <c r="P520" s="19">
        <f>H520*INDEX('Pliegos Tarifarios (Quilicura)'!$E:$E,MATCH($B520,'Pliegos Tarifarios (Quilicura)'!$A:$A,0))</f>
        <v>14656.9256768</v>
      </c>
      <c r="Q520" s="19" cm="1">
        <f t="array" ref="Q520">H520*_xlfn.IFS(H520&lt;=350,INDEX('Pliegos Tarifarios (Quilicura)'!$F:$F,MATCH($B520,'Pliegos Tarifarios (Quilicura)'!$A:$A,0)),H520&lt;=500,INDEX('Pliegos Tarifarios (Quilicura)'!$G:$G,MATCH($B520,'Pliegos Tarifarios (Quilicura)'!$A:$A,0)),H520&lt;=1000,INDEX('Pliegos Tarifarios (Quilicura)'!$H:$H,MATCH($B520,'Pliegos Tarifarios (Quilicura)'!$A:$A,0)),H520&lt;=5000,INDEX('Pliegos Tarifarios (Quilicura)'!$I:$I,MATCH($B520,'Pliegos Tarifarios (Quilicura)'!$A:$A,0)),H520&gt;5000,INDEX('Pliegos Tarifarios (Quilicura)'!$J:$J,MATCH($B520,'Pliegos Tarifarios (Quilicura)'!$A:$A,0)))/1.19</f>
        <v>3377.0802959663865</v>
      </c>
      <c r="R520" s="19">
        <f>INDEX('Pliegos Tarifarios (Quilicura)'!$K:$K,MATCH($B520,'Pliegos Tarifarios (Quilicura)'!$A:$A,0))</f>
        <v>723.17600000000004</v>
      </c>
      <c r="S520" s="21">
        <f t="shared" si="24"/>
        <v>220196.3902524664</v>
      </c>
      <c r="T520" s="21">
        <f t="shared" si="25"/>
        <v>41837.314147968616</v>
      </c>
      <c r="U520" s="19">
        <v>0</v>
      </c>
      <c r="V520" s="21">
        <f t="shared" si="26"/>
        <v>262033.70440043503</v>
      </c>
    </row>
    <row r="521" spans="1:22" x14ac:dyDescent="0.3">
      <c r="A521" s="7" t="s">
        <v>147</v>
      </c>
      <c r="B521" s="7">
        <v>8</v>
      </c>
      <c r="C521" s="8" t="s">
        <v>186</v>
      </c>
      <c r="D521" s="7" t="s">
        <v>214</v>
      </c>
      <c r="E521" s="7" t="s">
        <v>78</v>
      </c>
      <c r="F521" s="8" t="s">
        <v>81</v>
      </c>
      <c r="G521" s="7" t="s">
        <v>16</v>
      </c>
      <c r="H521" s="9">
        <v>750.83879999999999</v>
      </c>
      <c r="I521" s="9">
        <v>2.0701000000000001</v>
      </c>
      <c r="J521" s="9">
        <v>1.9743999999999999</v>
      </c>
      <c r="K521" s="10">
        <v>0.95377034925848991</v>
      </c>
      <c r="L521" s="9">
        <v>24.22</v>
      </c>
      <c r="M521" s="19">
        <f>H521*INDEX('Pliegos Tarifarios (Quilicura)'!$B:$B,MATCH($B521,'Pliegos Tarifarios (Quilicura)'!$A:$A,0))</f>
        <v>98932.772804399996</v>
      </c>
      <c r="N521" s="19">
        <f>I521*INDEX('Pliegos Tarifarios (Quilicura)'!$C:$C,MATCH($B521,'Pliegos Tarifarios (Quilicura)'!$A:$A,0))</f>
        <v>7039.9401873000006</v>
      </c>
      <c r="O521" s="19">
        <f>J521*INDEX('Pliegos Tarifarios (Quilicura)'!$D:$D,MATCH($B521,'Pliegos Tarifarios (Quilicura)'!$A:$A,0))</f>
        <v>28557.040432000002</v>
      </c>
      <c r="P521" s="19">
        <f>H521*INDEX('Pliegos Tarifarios (Quilicura)'!$E:$E,MATCH($B521,'Pliegos Tarifarios (Quilicura)'!$A:$A,0))</f>
        <v>9778.9245311999985</v>
      </c>
      <c r="Q521" s="19" cm="1">
        <f t="array" ref="Q521">H521*_xlfn.IFS(H521&lt;=350,INDEX('Pliegos Tarifarios (Quilicura)'!$F:$F,MATCH($B521,'Pliegos Tarifarios (Quilicura)'!$A:$A,0)),H521&lt;=500,INDEX('Pliegos Tarifarios (Quilicura)'!$G:$G,MATCH($B521,'Pliegos Tarifarios (Quilicura)'!$A:$A,0)),H521&lt;=1000,INDEX('Pliegos Tarifarios (Quilicura)'!$H:$H,MATCH($B521,'Pliegos Tarifarios (Quilicura)'!$A:$A,0)),H521&lt;=5000,INDEX('Pliegos Tarifarios (Quilicura)'!$I:$I,MATCH($B521,'Pliegos Tarifarios (Quilicura)'!$A:$A,0)),H521&gt;5000,INDEX('Pliegos Tarifarios (Quilicura)'!$J:$J,MATCH($B521,'Pliegos Tarifarios (Quilicura)'!$A:$A,0)))/1.19</f>
        <v>1761.0009166386556</v>
      </c>
      <c r="R521" s="19">
        <f>INDEX('Pliegos Tarifarios (Quilicura)'!$K:$K,MATCH($B521,'Pliegos Tarifarios (Quilicura)'!$A:$A,0))</f>
        <v>723.17600000000004</v>
      </c>
      <c r="S521" s="21">
        <f t="shared" si="24"/>
        <v>146792.85487153864</v>
      </c>
      <c r="T521" s="21">
        <f t="shared" si="25"/>
        <v>27890.642425592341</v>
      </c>
      <c r="U521" s="19">
        <v>0</v>
      </c>
      <c r="V521" s="21">
        <f t="shared" si="26"/>
        <v>174683.49729713099</v>
      </c>
    </row>
    <row r="522" spans="1:22" x14ac:dyDescent="0.3">
      <c r="A522" s="7" t="s">
        <v>147</v>
      </c>
      <c r="B522" s="7">
        <v>8</v>
      </c>
      <c r="C522" s="8" t="s">
        <v>186</v>
      </c>
      <c r="D522" s="7" t="s">
        <v>215</v>
      </c>
      <c r="E522" s="7" t="s">
        <v>78</v>
      </c>
      <c r="F522" s="8" t="s">
        <v>83</v>
      </c>
      <c r="G522" s="7" t="s">
        <v>16</v>
      </c>
      <c r="H522" s="9">
        <v>749.97280000000001</v>
      </c>
      <c r="I522" s="9">
        <v>2.0474999999999999</v>
      </c>
      <c r="J522" s="9">
        <v>2.0463</v>
      </c>
      <c r="K522" s="10">
        <v>0.99941391941391944</v>
      </c>
      <c r="L522" s="9">
        <v>24.19</v>
      </c>
      <c r="M522" s="19">
        <f>H522*INDEX('Pliegos Tarifarios (Quilicura)'!$B:$B,MATCH($B522,'Pliegos Tarifarios (Quilicura)'!$A:$A,0))</f>
        <v>98818.666046400002</v>
      </c>
      <c r="N522" s="19">
        <f>I522*INDEX('Pliegos Tarifarios (Quilicura)'!$C:$C,MATCH($B522,'Pliegos Tarifarios (Quilicura)'!$A:$A,0))</f>
        <v>6963.0827174999995</v>
      </c>
      <c r="O522" s="19">
        <f>J522*INDEX('Pliegos Tarifarios (Quilicura)'!$D:$D,MATCH($B522,'Pliegos Tarifarios (Quilicura)'!$A:$A,0))</f>
        <v>29596.977226500003</v>
      </c>
      <c r="P522" s="19">
        <f>H522*INDEX('Pliegos Tarifarios (Quilicura)'!$E:$E,MATCH($B522,'Pliegos Tarifarios (Quilicura)'!$A:$A,0))</f>
        <v>9767.6457472000002</v>
      </c>
      <c r="Q522" s="19" cm="1">
        <f t="array" ref="Q522">H522*_xlfn.IFS(H522&lt;=350,INDEX('Pliegos Tarifarios (Quilicura)'!$F:$F,MATCH($B522,'Pliegos Tarifarios (Quilicura)'!$A:$A,0)),H522&lt;=500,INDEX('Pliegos Tarifarios (Quilicura)'!$G:$G,MATCH($B522,'Pliegos Tarifarios (Quilicura)'!$A:$A,0)),H522&lt;=1000,INDEX('Pliegos Tarifarios (Quilicura)'!$H:$H,MATCH($B522,'Pliegos Tarifarios (Quilicura)'!$A:$A,0)),H522&lt;=5000,INDEX('Pliegos Tarifarios (Quilicura)'!$I:$I,MATCH($B522,'Pliegos Tarifarios (Quilicura)'!$A:$A,0)),H522&gt;5000,INDEX('Pliegos Tarifarios (Quilicura)'!$J:$J,MATCH($B522,'Pliegos Tarifarios (Quilicura)'!$A:$A,0)))/1.19</f>
        <v>1758.9698191596642</v>
      </c>
      <c r="R522" s="19">
        <f>INDEX('Pliegos Tarifarios (Quilicura)'!$K:$K,MATCH($B522,'Pliegos Tarifarios (Quilicura)'!$A:$A,0))</f>
        <v>723.17600000000004</v>
      </c>
      <c r="S522" s="21">
        <f t="shared" si="24"/>
        <v>147628.51755675967</v>
      </c>
      <c r="T522" s="21">
        <f t="shared" si="25"/>
        <v>28049.418335784339</v>
      </c>
      <c r="U522" s="19">
        <v>0</v>
      </c>
      <c r="V522" s="21">
        <f t="shared" si="26"/>
        <v>175677.93589254402</v>
      </c>
    </row>
    <row r="523" spans="1:22" x14ac:dyDescent="0.3">
      <c r="A523" s="7" t="s">
        <v>147</v>
      </c>
      <c r="B523" s="7">
        <v>8</v>
      </c>
      <c r="C523" s="8" t="s">
        <v>186</v>
      </c>
      <c r="D523" s="7" t="s">
        <v>216</v>
      </c>
      <c r="E523" s="7" t="s">
        <v>78</v>
      </c>
      <c r="F523" s="8" t="s">
        <v>85</v>
      </c>
      <c r="G523" s="7" t="s">
        <v>16</v>
      </c>
      <c r="H523" s="9">
        <v>899.62570000000005</v>
      </c>
      <c r="I523" s="9">
        <v>2.4527000000000001</v>
      </c>
      <c r="J523" s="9">
        <v>2.4527000000000001</v>
      </c>
      <c r="K523" s="10">
        <v>1</v>
      </c>
      <c r="L523" s="9">
        <v>29.02</v>
      </c>
      <c r="M523" s="19">
        <f>H523*INDEX('Pliegos Tarifarios (Quilicura)'!$B:$B,MATCH($B523,'Pliegos Tarifarios (Quilicura)'!$A:$A,0))</f>
        <v>118537.38110910001</v>
      </c>
      <c r="N523" s="19">
        <f>I523*INDEX('Pliegos Tarifarios (Quilicura)'!$C:$C,MATCH($B523,'Pliegos Tarifarios (Quilicura)'!$A:$A,0))</f>
        <v>8341.0759371000004</v>
      </c>
      <c r="O523" s="19">
        <f>J523*INDEX('Pliegos Tarifarios (Quilicura)'!$D:$D,MATCH($B523,'Pliegos Tarifarios (Quilicura)'!$A:$A,0))</f>
        <v>35475.006618500003</v>
      </c>
      <c r="P523" s="19">
        <f>H523*INDEX('Pliegos Tarifarios (Quilicura)'!$E:$E,MATCH($B523,'Pliegos Tarifarios (Quilicura)'!$A:$A,0))</f>
        <v>11716.7251168</v>
      </c>
      <c r="Q523" s="19" cm="1">
        <f t="array" ref="Q523">H523*_xlfn.IFS(H523&lt;=350,INDEX('Pliegos Tarifarios (Quilicura)'!$F:$F,MATCH($B523,'Pliegos Tarifarios (Quilicura)'!$A:$A,0)),H523&lt;=500,INDEX('Pliegos Tarifarios (Quilicura)'!$G:$G,MATCH($B523,'Pliegos Tarifarios (Quilicura)'!$A:$A,0)),H523&lt;=1000,INDEX('Pliegos Tarifarios (Quilicura)'!$H:$H,MATCH($B523,'Pliegos Tarifarios (Quilicura)'!$A:$A,0)),H523&lt;=5000,INDEX('Pliegos Tarifarios (Quilicura)'!$I:$I,MATCH($B523,'Pliegos Tarifarios (Quilicura)'!$A:$A,0)),H523&gt;5000,INDEX('Pliegos Tarifarios (Quilicura)'!$J:$J,MATCH($B523,'Pliegos Tarifarios (Quilicura)'!$A:$A,0)))/1.19</f>
        <v>2109.9624610924375</v>
      </c>
      <c r="R523" s="19">
        <f>INDEX('Pliegos Tarifarios (Quilicura)'!$K:$K,MATCH($B523,'Pliegos Tarifarios (Quilicura)'!$A:$A,0))</f>
        <v>723.17600000000004</v>
      </c>
      <c r="S523" s="21">
        <f t="shared" ref="S523:S586" si="27">SUM(M523:R523)</f>
        <v>176903.32724259247</v>
      </c>
      <c r="T523" s="21">
        <f t="shared" ref="T523:T586" si="28">S523*0.19</f>
        <v>33611.632176092571</v>
      </c>
      <c r="U523" s="19">
        <v>0</v>
      </c>
      <c r="V523" s="21">
        <f t="shared" ref="V523:V586" si="29">SUM(S523:T523)</f>
        <v>210514.95941868503</v>
      </c>
    </row>
    <row r="524" spans="1:22" x14ac:dyDescent="0.3">
      <c r="A524" s="7" t="s">
        <v>147</v>
      </c>
      <c r="B524" s="7">
        <v>8</v>
      </c>
      <c r="C524" s="8" t="s">
        <v>186</v>
      </c>
      <c r="D524" s="7" t="s">
        <v>217</v>
      </c>
      <c r="E524" s="7" t="s">
        <v>78</v>
      </c>
      <c r="F524" s="8" t="s">
        <v>87</v>
      </c>
      <c r="G524" s="7" t="s">
        <v>16</v>
      </c>
      <c r="H524" s="9">
        <v>901.58950000000004</v>
      </c>
      <c r="I524" s="9">
        <v>2.5167999999999999</v>
      </c>
      <c r="J524" s="9">
        <v>2.3708</v>
      </c>
      <c r="K524" s="10">
        <v>0.94198982835346479</v>
      </c>
      <c r="L524" s="9">
        <v>29.08</v>
      </c>
      <c r="M524" s="19">
        <f>H524*INDEX('Pliegos Tarifarios (Quilicura)'!$B:$B,MATCH($B524,'Pliegos Tarifarios (Quilicura)'!$A:$A,0))</f>
        <v>118796.13728850002</v>
      </c>
      <c r="N524" s="19">
        <f>I524*INDEX('Pliegos Tarifarios (Quilicura)'!$C:$C,MATCH($B524,'Pliegos Tarifarios (Quilicura)'!$A:$A,0))</f>
        <v>8559.0654864000007</v>
      </c>
      <c r="O524" s="19">
        <f>J524*INDEX('Pliegos Tarifarios (Quilicura)'!$D:$D,MATCH($B524,'Pliegos Tarifarios (Quilicura)'!$A:$A,0))</f>
        <v>34290.433274000003</v>
      </c>
      <c r="P524" s="19">
        <f>H524*INDEX('Pliegos Tarifarios (Quilicura)'!$E:$E,MATCH($B524,'Pliegos Tarifarios (Quilicura)'!$A:$A,0))</f>
        <v>11742.301648000001</v>
      </c>
      <c r="Q524" s="19" cm="1">
        <f t="array" ref="Q524">H524*_xlfn.IFS(H524&lt;=350,INDEX('Pliegos Tarifarios (Quilicura)'!$F:$F,MATCH($B524,'Pliegos Tarifarios (Quilicura)'!$A:$A,0)),H524&lt;=500,INDEX('Pliegos Tarifarios (Quilicura)'!$G:$G,MATCH($B524,'Pliegos Tarifarios (Quilicura)'!$A:$A,0)),H524&lt;=1000,INDEX('Pliegos Tarifarios (Quilicura)'!$H:$H,MATCH($B524,'Pliegos Tarifarios (Quilicura)'!$A:$A,0)),H524&lt;=5000,INDEX('Pliegos Tarifarios (Quilicura)'!$I:$I,MATCH($B524,'Pliegos Tarifarios (Quilicura)'!$A:$A,0)),H524&gt;5000,INDEX('Pliegos Tarifarios (Quilicura)'!$J:$J,MATCH($B524,'Pliegos Tarifarios (Quilicura)'!$A:$A,0)))/1.19</f>
        <v>2114.5683147058826</v>
      </c>
      <c r="R524" s="19">
        <f>INDEX('Pliegos Tarifarios (Quilicura)'!$K:$K,MATCH($B524,'Pliegos Tarifarios (Quilicura)'!$A:$A,0))</f>
        <v>723.17600000000004</v>
      </c>
      <c r="S524" s="21">
        <f t="shared" si="27"/>
        <v>176225.68201160591</v>
      </c>
      <c r="T524" s="21">
        <f t="shared" si="28"/>
        <v>33482.879582205125</v>
      </c>
      <c r="U524" s="19">
        <v>0</v>
      </c>
      <c r="V524" s="21">
        <f t="shared" si="29"/>
        <v>209708.56159381103</v>
      </c>
    </row>
    <row r="525" spans="1:22" x14ac:dyDescent="0.3">
      <c r="A525" s="7" t="s">
        <v>147</v>
      </c>
      <c r="B525" s="7">
        <v>8</v>
      </c>
      <c r="C525" s="8" t="s">
        <v>186</v>
      </c>
      <c r="D525" s="7" t="s">
        <v>218</v>
      </c>
      <c r="E525" s="7" t="s">
        <v>78</v>
      </c>
      <c r="F525" s="8" t="s">
        <v>89</v>
      </c>
      <c r="G525" s="7" t="s">
        <v>16</v>
      </c>
      <c r="H525" s="9">
        <v>1126.3515</v>
      </c>
      <c r="I525" s="9">
        <v>2.9908999999999999</v>
      </c>
      <c r="J525" s="9">
        <v>2.9735999999999998</v>
      </c>
      <c r="K525" s="10">
        <v>0.99421578788993281</v>
      </c>
      <c r="L525" s="9">
        <v>36.33</v>
      </c>
      <c r="M525" s="19">
        <f>H525*INDEX('Pliegos Tarifarios (Quilicura)'!$B:$B,MATCH($B525,'Pliegos Tarifarios (Quilicura)'!$A:$A,0))</f>
        <v>148411.45269450001</v>
      </c>
      <c r="N525" s="19">
        <f>I525*INDEX('Pliegos Tarifarios (Quilicura)'!$C:$C,MATCH($B525,'Pliegos Tarifarios (Quilicura)'!$A:$A,0))</f>
        <v>10171.3719657</v>
      </c>
      <c r="O525" s="19">
        <f>J525*INDEX('Pliegos Tarifarios (Quilicura)'!$D:$D,MATCH($B525,'Pliegos Tarifarios (Quilicura)'!$A:$A,0))</f>
        <v>43009.124508000001</v>
      </c>
      <c r="P525" s="19">
        <f>H525*INDEX('Pliegos Tarifarios (Quilicura)'!$E:$E,MATCH($B525,'Pliegos Tarifarios (Quilicura)'!$A:$A,0))</f>
        <v>14669.601935999999</v>
      </c>
      <c r="Q525" s="19" cm="1">
        <f t="array" ref="Q525">H525*_xlfn.IFS(H525&lt;=350,INDEX('Pliegos Tarifarios (Quilicura)'!$F:$F,MATCH($B525,'Pliegos Tarifarios (Quilicura)'!$A:$A,0)),H525&lt;=500,INDEX('Pliegos Tarifarios (Quilicura)'!$G:$G,MATCH($B525,'Pliegos Tarifarios (Quilicura)'!$A:$A,0)),H525&lt;=1000,INDEX('Pliegos Tarifarios (Quilicura)'!$H:$H,MATCH($B525,'Pliegos Tarifarios (Quilicura)'!$A:$A,0)),H525&lt;=5000,INDEX('Pliegos Tarifarios (Quilicura)'!$I:$I,MATCH($B525,'Pliegos Tarifarios (Quilicura)'!$A:$A,0)),H525&gt;5000,INDEX('Pliegos Tarifarios (Quilicura)'!$J:$J,MATCH($B525,'Pliegos Tarifarios (Quilicura)'!$A:$A,0)))/1.19</f>
        <v>3380.0010138655457</v>
      </c>
      <c r="R525" s="19">
        <f>INDEX('Pliegos Tarifarios (Quilicura)'!$K:$K,MATCH($B525,'Pliegos Tarifarios (Quilicura)'!$A:$A,0))</f>
        <v>723.17600000000004</v>
      </c>
      <c r="S525" s="21">
        <f t="shared" si="27"/>
        <v>220364.72811806557</v>
      </c>
      <c r="T525" s="21">
        <f t="shared" si="28"/>
        <v>41869.298342432456</v>
      </c>
      <c r="U525" s="19">
        <v>0</v>
      </c>
      <c r="V525" s="21">
        <f t="shared" si="29"/>
        <v>262234.02646049805</v>
      </c>
    </row>
    <row r="526" spans="1:22" x14ac:dyDescent="0.3">
      <c r="A526" s="7" t="s">
        <v>147</v>
      </c>
      <c r="B526" s="7">
        <v>8</v>
      </c>
      <c r="C526" s="8" t="s">
        <v>186</v>
      </c>
      <c r="D526" s="7" t="s">
        <v>219</v>
      </c>
      <c r="E526" s="7" t="s">
        <v>91</v>
      </c>
      <c r="F526" s="8" t="s">
        <v>92</v>
      </c>
      <c r="G526" s="7" t="s">
        <v>16</v>
      </c>
      <c r="H526" s="9">
        <v>901.64919999999995</v>
      </c>
      <c r="I526" s="9">
        <v>2.4533999999999998</v>
      </c>
      <c r="J526" s="9">
        <v>2.4533999999999998</v>
      </c>
      <c r="K526" s="10">
        <v>1</v>
      </c>
      <c r="L526" s="9">
        <v>29.09</v>
      </c>
      <c r="M526" s="19">
        <f>H526*INDEX('Pliegos Tarifarios (Quilicura)'!$B:$B,MATCH($B526,'Pliegos Tarifarios (Quilicura)'!$A:$A,0))</f>
        <v>118804.0035396</v>
      </c>
      <c r="N526" s="19">
        <f>I526*INDEX('Pliegos Tarifarios (Quilicura)'!$C:$C,MATCH($B526,'Pliegos Tarifarios (Quilicura)'!$A:$A,0))</f>
        <v>8343.4564781999998</v>
      </c>
      <c r="O526" s="19">
        <f>J526*INDEX('Pliegos Tarifarios (Quilicura)'!$D:$D,MATCH($B526,'Pliegos Tarifarios (Quilicura)'!$A:$A,0))</f>
        <v>35485.131176999996</v>
      </c>
      <c r="P526" s="19">
        <f>H526*INDEX('Pliegos Tarifarios (Quilicura)'!$E:$E,MATCH($B526,'Pliegos Tarifarios (Quilicura)'!$A:$A,0))</f>
        <v>11743.079180799999</v>
      </c>
      <c r="Q526" s="19" cm="1">
        <f t="array" ref="Q526">H526*_xlfn.IFS(H526&lt;=350,INDEX('Pliegos Tarifarios (Quilicura)'!$F:$F,MATCH($B526,'Pliegos Tarifarios (Quilicura)'!$A:$A,0)),H526&lt;=500,INDEX('Pliegos Tarifarios (Quilicura)'!$G:$G,MATCH($B526,'Pliegos Tarifarios (Quilicura)'!$A:$A,0)),H526&lt;=1000,INDEX('Pliegos Tarifarios (Quilicura)'!$H:$H,MATCH($B526,'Pliegos Tarifarios (Quilicura)'!$A:$A,0)),H526&lt;=5000,INDEX('Pliegos Tarifarios (Quilicura)'!$I:$I,MATCH($B526,'Pliegos Tarifarios (Quilicura)'!$A:$A,0)),H526&gt;5000,INDEX('Pliegos Tarifarios (Quilicura)'!$J:$J,MATCH($B526,'Pliegos Tarifarios (Quilicura)'!$A:$A,0)))/1.19</f>
        <v>2114.7083337815129</v>
      </c>
      <c r="R526" s="19">
        <f>INDEX('Pliegos Tarifarios (Quilicura)'!$K:$K,MATCH($B526,'Pliegos Tarifarios (Quilicura)'!$A:$A,0))</f>
        <v>723.17600000000004</v>
      </c>
      <c r="S526" s="21">
        <f t="shared" si="27"/>
        <v>177213.55470938151</v>
      </c>
      <c r="T526" s="21">
        <f t="shared" si="28"/>
        <v>33670.575394782485</v>
      </c>
      <c r="U526" s="19">
        <v>0</v>
      </c>
      <c r="V526" s="21">
        <f t="shared" si="29"/>
        <v>210884.13010416401</v>
      </c>
    </row>
    <row r="527" spans="1:22" x14ac:dyDescent="0.3">
      <c r="A527" s="7" t="s">
        <v>147</v>
      </c>
      <c r="B527" s="7">
        <v>8</v>
      </c>
      <c r="C527" s="8" t="s">
        <v>186</v>
      </c>
      <c r="D527" s="7" t="s">
        <v>220</v>
      </c>
      <c r="E527" s="7" t="s">
        <v>94</v>
      </c>
      <c r="F527" s="8" t="s">
        <v>95</v>
      </c>
      <c r="G527" s="7" t="s">
        <v>16</v>
      </c>
      <c r="H527" s="9">
        <v>674.22220000000004</v>
      </c>
      <c r="I527" s="9">
        <v>1.8083</v>
      </c>
      <c r="J527" s="9">
        <v>1.8083</v>
      </c>
      <c r="K527" s="10">
        <v>1</v>
      </c>
      <c r="L527" s="9">
        <v>21.75</v>
      </c>
      <c r="M527" s="19">
        <f>H527*INDEX('Pliegos Tarifarios (Quilicura)'!$B:$B,MATCH($B527,'Pliegos Tarifarios (Quilicura)'!$A:$A,0))</f>
        <v>88837.539738600011</v>
      </c>
      <c r="N527" s="19">
        <f>I527*INDEX('Pliegos Tarifarios (Quilicura)'!$C:$C,MATCH($B527,'Pliegos Tarifarios (Quilicura)'!$A:$A,0))</f>
        <v>6149.6178159000001</v>
      </c>
      <c r="O527" s="19">
        <f>J527*INDEX('Pliegos Tarifarios (Quilicura)'!$D:$D,MATCH($B527,'Pliegos Tarifarios (Quilicura)'!$A:$A,0))</f>
        <v>26154.627336500002</v>
      </c>
      <c r="P527" s="19">
        <f>H527*INDEX('Pliegos Tarifarios (Quilicura)'!$E:$E,MATCH($B527,'Pliegos Tarifarios (Quilicura)'!$A:$A,0))</f>
        <v>8781.0699327999992</v>
      </c>
      <c r="Q527" s="19" cm="1">
        <f t="array" ref="Q527">H527*_xlfn.IFS(H527&lt;=350,INDEX('Pliegos Tarifarios (Quilicura)'!$F:$F,MATCH($B527,'Pliegos Tarifarios (Quilicura)'!$A:$A,0)),H527&lt;=500,INDEX('Pliegos Tarifarios (Quilicura)'!$G:$G,MATCH($B527,'Pliegos Tarifarios (Quilicura)'!$A:$A,0)),H527&lt;=1000,INDEX('Pliegos Tarifarios (Quilicura)'!$H:$H,MATCH($B527,'Pliegos Tarifarios (Quilicura)'!$A:$A,0)),H527&lt;=5000,INDEX('Pliegos Tarifarios (Quilicura)'!$I:$I,MATCH($B527,'Pliegos Tarifarios (Quilicura)'!$A:$A,0)),H527&gt;5000,INDEX('Pliegos Tarifarios (Quilicura)'!$J:$J,MATCH($B527,'Pliegos Tarifarios (Quilicura)'!$A:$A,0)))/1.19</f>
        <v>1581.3060169747903</v>
      </c>
      <c r="R527" s="19">
        <f>INDEX('Pliegos Tarifarios (Quilicura)'!$K:$K,MATCH($B527,'Pliegos Tarifarios (Quilicura)'!$A:$A,0))</f>
        <v>723.17600000000004</v>
      </c>
      <c r="S527" s="21">
        <f t="shared" si="27"/>
        <v>132227.33684077481</v>
      </c>
      <c r="T527" s="21">
        <f t="shared" si="28"/>
        <v>25123.193999747215</v>
      </c>
      <c r="U527" s="19">
        <v>0</v>
      </c>
      <c r="V527" s="21">
        <f t="shared" si="29"/>
        <v>157350.53084052203</v>
      </c>
    </row>
    <row r="528" spans="1:22" x14ac:dyDescent="0.3">
      <c r="A528" s="7" t="s">
        <v>147</v>
      </c>
      <c r="B528" s="7">
        <v>8</v>
      </c>
      <c r="C528" s="8" t="s">
        <v>186</v>
      </c>
      <c r="D528" s="7" t="s">
        <v>221</v>
      </c>
      <c r="E528" s="7" t="s">
        <v>91</v>
      </c>
      <c r="F528" s="8" t="s">
        <v>97</v>
      </c>
      <c r="G528" s="7" t="s">
        <v>16</v>
      </c>
      <c r="H528" s="9">
        <v>676.03700000000003</v>
      </c>
      <c r="I528" s="9">
        <v>1.8452</v>
      </c>
      <c r="J528" s="9">
        <v>1.8452</v>
      </c>
      <c r="K528" s="10">
        <v>1</v>
      </c>
      <c r="L528" s="9">
        <v>21.81</v>
      </c>
      <c r="M528" s="19">
        <f>H528*INDEX('Pliegos Tarifarios (Quilicura)'!$B:$B,MATCH($B528,'Pliegos Tarifarios (Quilicura)'!$A:$A,0))</f>
        <v>89076.663231000013</v>
      </c>
      <c r="N528" s="19">
        <f>I528*INDEX('Pliegos Tarifarios (Quilicura)'!$C:$C,MATCH($B528,'Pliegos Tarifarios (Quilicura)'!$A:$A,0))</f>
        <v>6275.1063396</v>
      </c>
      <c r="O528" s="19">
        <f>J528*INDEX('Pliegos Tarifarios (Quilicura)'!$D:$D,MATCH($B528,'Pliegos Tarifarios (Quilicura)'!$A:$A,0))</f>
        <v>26688.336206</v>
      </c>
      <c r="P528" s="19">
        <f>H528*INDEX('Pliegos Tarifarios (Quilicura)'!$E:$E,MATCH($B528,'Pliegos Tarifarios (Quilicura)'!$A:$A,0))</f>
        <v>8804.7058880000004</v>
      </c>
      <c r="Q528" s="19" cm="1">
        <f t="array" ref="Q528">H528*_xlfn.IFS(H528&lt;=350,INDEX('Pliegos Tarifarios (Quilicura)'!$F:$F,MATCH($B528,'Pliegos Tarifarios (Quilicura)'!$A:$A,0)),H528&lt;=500,INDEX('Pliegos Tarifarios (Quilicura)'!$G:$G,MATCH($B528,'Pliegos Tarifarios (Quilicura)'!$A:$A,0)),H528&lt;=1000,INDEX('Pliegos Tarifarios (Quilicura)'!$H:$H,MATCH($B528,'Pliegos Tarifarios (Quilicura)'!$A:$A,0)),H528&lt;=5000,INDEX('Pliegos Tarifarios (Quilicura)'!$I:$I,MATCH($B528,'Pliegos Tarifarios (Quilicura)'!$A:$A,0)),H528&gt;5000,INDEX('Pliegos Tarifarios (Quilicura)'!$J:$J,MATCH($B528,'Pliegos Tarifarios (Quilicura)'!$A:$A,0)))/1.19</f>
        <v>1585.5624092436979</v>
      </c>
      <c r="R528" s="19">
        <f>INDEX('Pliegos Tarifarios (Quilicura)'!$K:$K,MATCH($B528,'Pliegos Tarifarios (Quilicura)'!$A:$A,0))</f>
        <v>723.17600000000004</v>
      </c>
      <c r="S528" s="21">
        <f t="shared" si="27"/>
        <v>133153.55007384371</v>
      </c>
      <c r="T528" s="21">
        <f t="shared" si="28"/>
        <v>25299.174514030306</v>
      </c>
      <c r="U528" s="19">
        <v>0</v>
      </c>
      <c r="V528" s="21">
        <f t="shared" si="29"/>
        <v>158452.72458787402</v>
      </c>
    </row>
    <row r="529" spans="1:22" x14ac:dyDescent="0.3">
      <c r="A529" s="7" t="s">
        <v>147</v>
      </c>
      <c r="B529" s="7">
        <v>8</v>
      </c>
      <c r="C529" s="8" t="s">
        <v>186</v>
      </c>
      <c r="D529" s="7" t="s">
        <v>222</v>
      </c>
      <c r="E529" s="7" t="s">
        <v>99</v>
      </c>
      <c r="F529" s="8" t="s">
        <v>100</v>
      </c>
      <c r="G529" s="7" t="s">
        <v>16</v>
      </c>
      <c r="H529" s="9">
        <v>3383.5248000000001</v>
      </c>
      <c r="I529" s="9">
        <v>9.3241999999999994</v>
      </c>
      <c r="J529" s="9">
        <v>8.8437999999999999</v>
      </c>
      <c r="K529" s="10">
        <v>0.94847815362175847</v>
      </c>
      <c r="L529" s="9">
        <v>109.15</v>
      </c>
      <c r="M529" s="19">
        <f>H529*INDEX('Pliegos Tarifarios (Quilicura)'!$B:$B,MATCH($B529,'Pliegos Tarifarios (Quilicura)'!$A:$A,0))</f>
        <v>445823.37822240003</v>
      </c>
      <c r="N529" s="19">
        <f>I529*INDEX('Pliegos Tarifarios (Quilicura)'!$C:$C,MATCH($B529,'Pliegos Tarifarios (Quilicura)'!$A:$A,0))</f>
        <v>31709.4876066</v>
      </c>
      <c r="O529" s="19">
        <f>J529*INDEX('Pliegos Tarifarios (Quilicura)'!$D:$D,MATCH($B529,'Pliegos Tarifarios (Quilicura)'!$A:$A,0))</f>
        <v>127913.672089</v>
      </c>
      <c r="P529" s="19">
        <f>H529*INDEX('Pliegos Tarifarios (Quilicura)'!$E:$E,MATCH($B529,'Pliegos Tarifarios (Quilicura)'!$A:$A,0))</f>
        <v>44067.026995200002</v>
      </c>
      <c r="Q529" s="19" cm="1">
        <f t="array" ref="Q529">H529*_xlfn.IFS(H529&lt;=350,INDEX('Pliegos Tarifarios (Quilicura)'!$F:$F,MATCH($B529,'Pliegos Tarifarios (Quilicura)'!$A:$A,0)),H529&lt;=500,INDEX('Pliegos Tarifarios (Quilicura)'!$G:$G,MATCH($B529,'Pliegos Tarifarios (Quilicura)'!$A:$A,0)),H529&lt;=1000,INDEX('Pliegos Tarifarios (Quilicura)'!$H:$H,MATCH($B529,'Pliegos Tarifarios (Quilicura)'!$A:$A,0)),H529&lt;=5000,INDEX('Pliegos Tarifarios (Quilicura)'!$I:$I,MATCH($B529,'Pliegos Tarifarios (Quilicura)'!$A:$A,0)),H529&gt;5000,INDEX('Pliegos Tarifarios (Quilicura)'!$J:$J,MATCH($B529,'Pliegos Tarifarios (Quilicura)'!$A:$A,0)))/1.19</f>
        <v>10153.417698151261</v>
      </c>
      <c r="R529" s="19">
        <f>INDEX('Pliegos Tarifarios (Quilicura)'!$K:$K,MATCH($B529,'Pliegos Tarifarios (Quilicura)'!$A:$A,0))</f>
        <v>723.17600000000004</v>
      </c>
      <c r="S529" s="21">
        <f t="shared" si="27"/>
        <v>660390.15861135127</v>
      </c>
      <c r="T529" s="21">
        <f t="shared" si="28"/>
        <v>125474.13013615675</v>
      </c>
      <c r="U529" s="19">
        <v>0</v>
      </c>
      <c r="V529" s="21">
        <f t="shared" si="29"/>
        <v>785864.28874750808</v>
      </c>
    </row>
    <row r="530" spans="1:22" x14ac:dyDescent="0.3">
      <c r="A530" s="7" t="s">
        <v>147</v>
      </c>
      <c r="B530" s="7">
        <v>8</v>
      </c>
      <c r="C530" s="8" t="s">
        <v>186</v>
      </c>
      <c r="D530" s="7" t="s">
        <v>223</v>
      </c>
      <c r="E530" s="7" t="s">
        <v>102</v>
      </c>
      <c r="F530" s="8" t="s">
        <v>103</v>
      </c>
      <c r="G530" s="7" t="s">
        <v>16</v>
      </c>
      <c r="H530" s="9">
        <v>2703.1212999999998</v>
      </c>
      <c r="I530" s="9">
        <v>7.2923</v>
      </c>
      <c r="J530" s="9">
        <v>7.1532</v>
      </c>
      <c r="K530" s="10">
        <v>0.98092508536401413</v>
      </c>
      <c r="L530" s="9">
        <v>87.2</v>
      </c>
      <c r="M530" s="19">
        <f>H530*INDEX('Pliegos Tarifarios (Quilicura)'!$B:$B,MATCH($B530,'Pliegos Tarifarios (Quilicura)'!$A:$A,0))</f>
        <v>356171.37185190001</v>
      </c>
      <c r="N530" s="19">
        <f>I530*INDEX('Pliegos Tarifarios (Quilicura)'!$C:$C,MATCH($B530,'Pliegos Tarifarios (Quilicura)'!$A:$A,0))</f>
        <v>24799.456947900002</v>
      </c>
      <c r="O530" s="19">
        <f>J530*INDEX('Pliegos Tarifarios (Quilicura)'!$D:$D,MATCH($B530,'Pliegos Tarifarios (Quilicura)'!$A:$A,0))</f>
        <v>103461.416946</v>
      </c>
      <c r="P530" s="19">
        <f>H530*INDEX('Pliegos Tarifarios (Quilicura)'!$E:$E,MATCH($B530,'Pliegos Tarifarios (Quilicura)'!$A:$A,0))</f>
        <v>35205.451811199993</v>
      </c>
      <c r="Q530" s="19" cm="1">
        <f t="array" ref="Q530">H530*_xlfn.IFS(H530&lt;=350,INDEX('Pliegos Tarifarios (Quilicura)'!$F:$F,MATCH($B530,'Pliegos Tarifarios (Quilicura)'!$A:$A,0)),H530&lt;=500,INDEX('Pliegos Tarifarios (Quilicura)'!$G:$G,MATCH($B530,'Pliegos Tarifarios (Quilicura)'!$A:$A,0)),H530&lt;=1000,INDEX('Pliegos Tarifarios (Quilicura)'!$H:$H,MATCH($B530,'Pliegos Tarifarios (Quilicura)'!$A:$A,0)),H530&lt;=5000,INDEX('Pliegos Tarifarios (Quilicura)'!$I:$I,MATCH($B530,'Pliegos Tarifarios (Quilicura)'!$A:$A,0)),H530&gt;5000,INDEX('Pliegos Tarifarios (Quilicura)'!$J:$J,MATCH($B530,'Pliegos Tarifarios (Quilicura)'!$A:$A,0)))/1.19</f>
        <v>8111.6354305042005</v>
      </c>
      <c r="R530" s="19">
        <f>INDEX('Pliegos Tarifarios (Quilicura)'!$K:$K,MATCH($B530,'Pliegos Tarifarios (Quilicura)'!$A:$A,0))</f>
        <v>723.17600000000004</v>
      </c>
      <c r="S530" s="21">
        <f t="shared" si="27"/>
        <v>528472.50898750417</v>
      </c>
      <c r="T530" s="21">
        <f t="shared" si="28"/>
        <v>100409.77670762579</v>
      </c>
      <c r="U530" s="19">
        <v>0</v>
      </c>
      <c r="V530" s="21">
        <f t="shared" si="29"/>
        <v>628882.28569513001</v>
      </c>
    </row>
    <row r="531" spans="1:22" x14ac:dyDescent="0.3">
      <c r="A531" s="7" t="s">
        <v>147</v>
      </c>
      <c r="B531" s="7">
        <v>8</v>
      </c>
      <c r="C531" s="8" t="s">
        <v>186</v>
      </c>
      <c r="D531" s="7" t="s">
        <v>224</v>
      </c>
      <c r="E531" s="7" t="s">
        <v>105</v>
      </c>
      <c r="F531" s="8" t="s">
        <v>106</v>
      </c>
      <c r="G531" s="7" t="s">
        <v>30</v>
      </c>
      <c r="H531" s="9">
        <v>900.44880000000001</v>
      </c>
      <c r="I531" s="9">
        <v>2.4228000000000001</v>
      </c>
      <c r="J531" s="9">
        <v>2.3332999999999999</v>
      </c>
      <c r="K531" s="10">
        <v>0.96305927026580807</v>
      </c>
      <c r="L531" s="9">
        <v>29.05</v>
      </c>
      <c r="M531" s="19">
        <f>H531*INDEX('Pliegos Tarifarios (Quilicura)'!$B:$B,MATCH($B531,'Pliegos Tarifarios (Quilicura)'!$A:$A,0))</f>
        <v>118645.8352344</v>
      </c>
      <c r="N531" s="19">
        <f>I531*INDEX('Pliegos Tarifarios (Quilicura)'!$C:$C,MATCH($B531,'Pliegos Tarifarios (Quilicura)'!$A:$A,0))</f>
        <v>8239.3928243999999</v>
      </c>
      <c r="O531" s="19">
        <f>J531*INDEX('Pliegos Tarifarios (Quilicura)'!$D:$D,MATCH($B531,'Pliegos Tarifarios (Quilicura)'!$A:$A,0))</f>
        <v>33748.046211499997</v>
      </c>
      <c r="P531" s="19">
        <f>H531*INDEX('Pliegos Tarifarios (Quilicura)'!$E:$E,MATCH($B531,'Pliegos Tarifarios (Quilicura)'!$A:$A,0))</f>
        <v>11727.445171199999</v>
      </c>
      <c r="Q531" s="19" cm="1">
        <f t="array" ref="Q531">H531*_xlfn.IFS(H531&lt;=350,INDEX('Pliegos Tarifarios (Quilicura)'!$F:$F,MATCH($B531,'Pliegos Tarifarios (Quilicura)'!$A:$A,0)),H531&lt;=500,INDEX('Pliegos Tarifarios (Quilicura)'!$G:$G,MATCH($B531,'Pliegos Tarifarios (Quilicura)'!$A:$A,0)),H531&lt;=1000,INDEX('Pliegos Tarifarios (Quilicura)'!$H:$H,MATCH($B531,'Pliegos Tarifarios (Quilicura)'!$A:$A,0)),H531&lt;=5000,INDEX('Pliegos Tarifarios (Quilicura)'!$I:$I,MATCH($B531,'Pliegos Tarifarios (Quilicura)'!$A:$A,0)),H531&gt;5000,INDEX('Pliegos Tarifarios (Quilicura)'!$J:$J,MATCH($B531,'Pliegos Tarifarios (Quilicura)'!$A:$A,0)))/1.19</f>
        <v>2111.8929418487401</v>
      </c>
      <c r="R531" s="19">
        <f>INDEX('Pliegos Tarifarios (Quilicura)'!$K:$K,MATCH($B531,'Pliegos Tarifarios (Quilicura)'!$A:$A,0))</f>
        <v>723.17600000000004</v>
      </c>
      <c r="S531" s="21">
        <f t="shared" si="27"/>
        <v>175195.78838334876</v>
      </c>
      <c r="T531" s="21">
        <f t="shared" si="28"/>
        <v>33287.199792836262</v>
      </c>
      <c r="U531" s="19">
        <v>0</v>
      </c>
      <c r="V531" s="21">
        <f t="shared" si="29"/>
        <v>208482.98817618503</v>
      </c>
    </row>
    <row r="532" spans="1:22" x14ac:dyDescent="0.3">
      <c r="A532" s="7" t="s">
        <v>147</v>
      </c>
      <c r="B532" s="7">
        <v>8</v>
      </c>
      <c r="C532" s="8" t="s">
        <v>186</v>
      </c>
      <c r="D532" s="7" t="s">
        <v>225</v>
      </c>
      <c r="E532" s="7" t="s">
        <v>105</v>
      </c>
      <c r="F532" s="8" t="s">
        <v>108</v>
      </c>
      <c r="G532" s="7" t="s">
        <v>30</v>
      </c>
      <c r="H532" s="9">
        <v>902.12729999999999</v>
      </c>
      <c r="I532" s="9">
        <v>2.4270999999999998</v>
      </c>
      <c r="J532" s="9">
        <v>2.4270999999999998</v>
      </c>
      <c r="K532" s="10">
        <v>1</v>
      </c>
      <c r="L532" s="9">
        <v>29.1</v>
      </c>
      <c r="M532" s="19">
        <f>H532*INDEX('Pliegos Tarifarios (Quilicura)'!$B:$B,MATCH($B532,'Pliegos Tarifarios (Quilicura)'!$A:$A,0))</f>
        <v>118866.99942990001</v>
      </c>
      <c r="N532" s="19">
        <f>I532*INDEX('Pliegos Tarifarios (Quilicura)'!$C:$C,MATCH($B532,'Pliegos Tarifarios (Quilicura)'!$A:$A,0))</f>
        <v>8254.0161482999993</v>
      </c>
      <c r="O532" s="19">
        <f>J532*INDEX('Pliegos Tarifarios (Quilicura)'!$D:$D,MATCH($B532,'Pliegos Tarifarios (Quilicura)'!$A:$A,0))</f>
        <v>35104.7370505</v>
      </c>
      <c r="P532" s="19">
        <f>H532*INDEX('Pliegos Tarifarios (Quilicura)'!$E:$E,MATCH($B532,'Pliegos Tarifarios (Quilicura)'!$A:$A,0))</f>
        <v>11749.3059552</v>
      </c>
      <c r="Q532" s="19" cm="1">
        <f t="array" ref="Q532">H532*_xlfn.IFS(H532&lt;=350,INDEX('Pliegos Tarifarios (Quilicura)'!$F:$F,MATCH($B532,'Pliegos Tarifarios (Quilicura)'!$A:$A,0)),H532&lt;=500,INDEX('Pliegos Tarifarios (Quilicura)'!$G:$G,MATCH($B532,'Pliegos Tarifarios (Quilicura)'!$A:$A,0)),H532&lt;=1000,INDEX('Pliegos Tarifarios (Quilicura)'!$H:$H,MATCH($B532,'Pliegos Tarifarios (Quilicura)'!$A:$A,0)),H532&lt;=5000,INDEX('Pliegos Tarifarios (Quilicura)'!$I:$I,MATCH($B532,'Pliegos Tarifarios (Quilicura)'!$A:$A,0)),H532&gt;5000,INDEX('Pliegos Tarifarios (Quilicura)'!$J:$J,MATCH($B532,'Pliegos Tarifarios (Quilicura)'!$A:$A,0)))/1.19</f>
        <v>2115.8296590756308</v>
      </c>
      <c r="R532" s="19">
        <f>INDEX('Pliegos Tarifarios (Quilicura)'!$K:$K,MATCH($B532,'Pliegos Tarifarios (Quilicura)'!$A:$A,0))</f>
        <v>723.17600000000004</v>
      </c>
      <c r="S532" s="21">
        <f t="shared" si="27"/>
        <v>176814.06424297561</v>
      </c>
      <c r="T532" s="21">
        <f t="shared" si="28"/>
        <v>33594.672206165364</v>
      </c>
      <c r="U532" s="19">
        <v>0</v>
      </c>
      <c r="V532" s="21">
        <f t="shared" si="29"/>
        <v>210408.73644914097</v>
      </c>
    </row>
    <row r="533" spans="1:22" x14ac:dyDescent="0.3">
      <c r="A533" s="7" t="s">
        <v>147</v>
      </c>
      <c r="B533" s="7">
        <v>8</v>
      </c>
      <c r="C533" s="8" t="s">
        <v>186</v>
      </c>
      <c r="D533" s="7" t="s">
        <v>226</v>
      </c>
      <c r="E533" s="7" t="s">
        <v>110</v>
      </c>
      <c r="F533" s="8" t="s">
        <v>111</v>
      </c>
      <c r="G533" s="7" t="s">
        <v>30</v>
      </c>
      <c r="H533" s="9">
        <v>450.85660000000001</v>
      </c>
      <c r="I533" s="9">
        <v>1.2074</v>
      </c>
      <c r="J533" s="9">
        <v>1.1835</v>
      </c>
      <c r="K533" s="10">
        <v>0.98020540003312906</v>
      </c>
      <c r="L533" s="9">
        <v>14.54</v>
      </c>
      <c r="M533" s="19">
        <f>H533*INDEX('Pliegos Tarifarios (Quilicura)'!$B:$B,MATCH($B533,'Pliegos Tarifarios (Quilicura)'!$A:$A,0))</f>
        <v>59406.218185800004</v>
      </c>
      <c r="N533" s="19">
        <f>I533*INDEX('Pliegos Tarifarios (Quilicura)'!$C:$C,MATCH($B533,'Pliegos Tarifarios (Quilicura)'!$A:$A,0))</f>
        <v>4106.0933202000006</v>
      </c>
      <c r="O533" s="19">
        <f>J533*INDEX('Pliegos Tarifarios (Quilicura)'!$D:$D,MATCH($B533,'Pliegos Tarifarios (Quilicura)'!$A:$A,0))</f>
        <v>17117.735692500002</v>
      </c>
      <c r="P533" s="19">
        <f>H533*INDEX('Pliegos Tarifarios (Quilicura)'!$E:$E,MATCH($B533,'Pliegos Tarifarios (Quilicura)'!$A:$A,0))</f>
        <v>5871.9563583999998</v>
      </c>
      <c r="Q533" s="19" cm="1">
        <f t="array" ref="Q533">H533*_xlfn.IFS(H533&lt;=350,INDEX('Pliegos Tarifarios (Quilicura)'!$F:$F,MATCH($B533,'Pliegos Tarifarios (Quilicura)'!$A:$A,0)),H533&lt;=500,INDEX('Pliegos Tarifarios (Quilicura)'!$G:$G,MATCH($B533,'Pliegos Tarifarios (Quilicura)'!$A:$A,0)),H533&lt;=1000,INDEX('Pliegos Tarifarios (Quilicura)'!$H:$H,MATCH($B533,'Pliegos Tarifarios (Quilicura)'!$A:$A,0)),H533&lt;=5000,INDEX('Pliegos Tarifarios (Quilicura)'!$I:$I,MATCH($B533,'Pliegos Tarifarios (Quilicura)'!$A:$A,0)),H533&gt;5000,INDEX('Pliegos Tarifarios (Quilicura)'!$J:$J,MATCH($B533,'Pliegos Tarifarios (Quilicura)'!$A:$A,0)))/1.19</f>
        <v>634.98795092436978</v>
      </c>
      <c r="R533" s="19">
        <f>INDEX('Pliegos Tarifarios (Quilicura)'!$K:$K,MATCH($B533,'Pliegos Tarifarios (Quilicura)'!$A:$A,0))</f>
        <v>723.17600000000004</v>
      </c>
      <c r="S533" s="21">
        <f t="shared" si="27"/>
        <v>87860.167507824386</v>
      </c>
      <c r="T533" s="21">
        <f t="shared" si="28"/>
        <v>16693.431826486634</v>
      </c>
      <c r="U533" s="19">
        <v>0</v>
      </c>
      <c r="V533" s="21">
        <f t="shared" si="29"/>
        <v>104553.59933431102</v>
      </c>
    </row>
    <row r="534" spans="1:22" x14ac:dyDescent="0.3">
      <c r="A534" s="7" t="s">
        <v>147</v>
      </c>
      <c r="B534" s="7">
        <v>8</v>
      </c>
      <c r="C534" s="8" t="s">
        <v>186</v>
      </c>
      <c r="D534" s="7" t="s">
        <v>227</v>
      </c>
      <c r="E534" s="7" t="s">
        <v>113</v>
      </c>
      <c r="F534" s="8" t="s">
        <v>114</v>
      </c>
      <c r="G534" s="7" t="s">
        <v>30</v>
      </c>
      <c r="H534" s="9">
        <v>675.61389999999994</v>
      </c>
      <c r="I534" s="9">
        <v>1.8438000000000001</v>
      </c>
      <c r="J534" s="9">
        <v>1.8438000000000001</v>
      </c>
      <c r="K534" s="10">
        <v>1</v>
      </c>
      <c r="L534" s="9">
        <v>21.79</v>
      </c>
      <c r="M534" s="19">
        <f>H534*INDEX('Pliegos Tarifarios (Quilicura)'!$B:$B,MATCH($B534,'Pliegos Tarifarios (Quilicura)'!$A:$A,0))</f>
        <v>89020.914305699989</v>
      </c>
      <c r="N534" s="19">
        <f>I534*INDEX('Pliegos Tarifarios (Quilicura)'!$C:$C,MATCH($B534,'Pliegos Tarifarios (Quilicura)'!$A:$A,0))</f>
        <v>6270.3452574000003</v>
      </c>
      <c r="O534" s="19">
        <f>J534*INDEX('Pliegos Tarifarios (Quilicura)'!$D:$D,MATCH($B534,'Pliegos Tarifarios (Quilicura)'!$A:$A,0))</f>
        <v>26668.087089000004</v>
      </c>
      <c r="P534" s="19">
        <f>H534*INDEX('Pliegos Tarifarios (Quilicura)'!$E:$E,MATCH($B534,'Pliegos Tarifarios (Quilicura)'!$A:$A,0))</f>
        <v>8799.1954335999981</v>
      </c>
      <c r="Q534" s="19" cm="1">
        <f t="array" ref="Q534">H534*_xlfn.IFS(H534&lt;=350,INDEX('Pliegos Tarifarios (Quilicura)'!$F:$F,MATCH($B534,'Pliegos Tarifarios (Quilicura)'!$A:$A,0)),H534&lt;=500,INDEX('Pliegos Tarifarios (Quilicura)'!$G:$G,MATCH($B534,'Pliegos Tarifarios (Quilicura)'!$A:$A,0)),H534&lt;=1000,INDEX('Pliegos Tarifarios (Quilicura)'!$H:$H,MATCH($B534,'Pliegos Tarifarios (Quilicura)'!$A:$A,0)),H534&lt;=5000,INDEX('Pliegos Tarifarios (Quilicura)'!$I:$I,MATCH($B534,'Pliegos Tarifarios (Quilicura)'!$A:$A,0)),H534&gt;5000,INDEX('Pliegos Tarifarios (Quilicura)'!$J:$J,MATCH($B534,'Pliegos Tarifarios (Quilicura)'!$A:$A,0)))/1.19</f>
        <v>1584.5700797478994</v>
      </c>
      <c r="R534" s="19">
        <f>INDEX('Pliegos Tarifarios (Quilicura)'!$K:$K,MATCH($B534,'Pliegos Tarifarios (Quilicura)'!$A:$A,0))</f>
        <v>723.17600000000004</v>
      </c>
      <c r="S534" s="21">
        <f t="shared" si="27"/>
        <v>133066.28816544791</v>
      </c>
      <c r="T534" s="21">
        <f t="shared" si="28"/>
        <v>25282.594751435103</v>
      </c>
      <c r="U534" s="19">
        <v>0</v>
      </c>
      <c r="V534" s="21">
        <f t="shared" si="29"/>
        <v>158348.88291688301</v>
      </c>
    </row>
    <row r="535" spans="1:22" x14ac:dyDescent="0.3">
      <c r="A535" s="7" t="s">
        <v>147</v>
      </c>
      <c r="B535" s="7">
        <v>8</v>
      </c>
      <c r="C535" s="8" t="s">
        <v>186</v>
      </c>
      <c r="D535" s="7" t="s">
        <v>228</v>
      </c>
      <c r="E535" s="7" t="s">
        <v>116</v>
      </c>
      <c r="F535" s="8" t="s">
        <v>117</v>
      </c>
      <c r="G535" s="7" t="s">
        <v>30</v>
      </c>
      <c r="H535" s="9">
        <v>112.6409</v>
      </c>
      <c r="I535" s="9">
        <v>0.30620000000000003</v>
      </c>
      <c r="J535" s="9">
        <v>0.29820000000000002</v>
      </c>
      <c r="K535" s="10">
        <v>0.97387328543435658</v>
      </c>
      <c r="L535" s="9">
        <v>3.63</v>
      </c>
      <c r="M535" s="19">
        <f>H535*INDEX('Pliegos Tarifarios (Quilicura)'!$B:$B,MATCH($B535,'Pliegos Tarifarios (Quilicura)'!$A:$A,0))</f>
        <v>14841.902906700001</v>
      </c>
      <c r="N535" s="19">
        <f>I535*INDEX('Pliegos Tarifarios (Quilicura)'!$C:$C,MATCH($B535,'Pliegos Tarifarios (Quilicura)'!$A:$A,0))</f>
        <v>1041.3166926000001</v>
      </c>
      <c r="O535" s="19">
        <f>J535*INDEX('Pliegos Tarifarios (Quilicura)'!$D:$D,MATCH($B535,'Pliegos Tarifarios (Quilicura)'!$A:$A,0))</f>
        <v>4313.0619210000004</v>
      </c>
      <c r="P535" s="19">
        <f>H535*INDEX('Pliegos Tarifarios (Quilicura)'!$E:$E,MATCH($B535,'Pliegos Tarifarios (Quilicura)'!$A:$A,0))</f>
        <v>1467.0350816</v>
      </c>
      <c r="Q535" s="19" cm="1">
        <f t="array" ref="Q535">H535*_xlfn.IFS(H535&lt;=350,INDEX('Pliegos Tarifarios (Quilicura)'!$F:$F,MATCH($B535,'Pliegos Tarifarios (Quilicura)'!$A:$A,0)),H535&lt;=500,INDEX('Pliegos Tarifarios (Quilicura)'!$G:$G,MATCH($B535,'Pliegos Tarifarios (Quilicura)'!$A:$A,0)),H535&lt;=1000,INDEX('Pliegos Tarifarios (Quilicura)'!$H:$H,MATCH($B535,'Pliegos Tarifarios (Quilicura)'!$A:$A,0)),H535&lt;=5000,INDEX('Pliegos Tarifarios (Quilicura)'!$I:$I,MATCH($B535,'Pliegos Tarifarios (Quilicura)'!$A:$A,0)),H535&gt;5000,INDEX('Pliegos Tarifarios (Quilicura)'!$J:$J,MATCH($B535,'Pliegos Tarifarios (Quilicura)'!$A:$A,0)))/1.19</f>
        <v>74.210475294117657</v>
      </c>
      <c r="R535" s="19">
        <f>INDEX('Pliegos Tarifarios (Quilicura)'!$K:$K,MATCH($B535,'Pliegos Tarifarios (Quilicura)'!$A:$A,0))</f>
        <v>723.17600000000004</v>
      </c>
      <c r="S535" s="21">
        <f t="shared" si="27"/>
        <v>22460.703077194114</v>
      </c>
      <c r="T535" s="21">
        <f t="shared" si="28"/>
        <v>4267.5335846668813</v>
      </c>
      <c r="U535" s="19">
        <v>0</v>
      </c>
      <c r="V535" s="21">
        <f t="shared" si="29"/>
        <v>26728.236661860996</v>
      </c>
    </row>
    <row r="536" spans="1:22" x14ac:dyDescent="0.3">
      <c r="A536" s="7" t="s">
        <v>147</v>
      </c>
      <c r="B536" s="7">
        <v>8</v>
      </c>
      <c r="C536" s="8" t="s">
        <v>186</v>
      </c>
      <c r="D536" s="7" t="s">
        <v>229</v>
      </c>
      <c r="E536" s="7" t="s">
        <v>116</v>
      </c>
      <c r="F536" s="8" t="s">
        <v>119</v>
      </c>
      <c r="G536" s="7" t="s">
        <v>30</v>
      </c>
      <c r="H536" s="9">
        <v>112.679</v>
      </c>
      <c r="I536" s="9">
        <v>0.29980000000000001</v>
      </c>
      <c r="J536" s="9">
        <v>0.29110000000000003</v>
      </c>
      <c r="K536" s="10">
        <v>0.97098065376917952</v>
      </c>
      <c r="L536" s="9">
        <v>3.63</v>
      </c>
      <c r="M536" s="19">
        <f>H536*INDEX('Pliegos Tarifarios (Quilicura)'!$B:$B,MATCH($B536,'Pliegos Tarifarios (Quilicura)'!$A:$A,0))</f>
        <v>14846.923077000001</v>
      </c>
      <c r="N536" s="19">
        <f>I536*INDEX('Pliegos Tarifarios (Quilicura)'!$C:$C,MATCH($B536,'Pliegos Tarifarios (Quilicura)'!$A:$A,0))</f>
        <v>1019.5517454000001</v>
      </c>
      <c r="O536" s="19">
        <f>J536*INDEX('Pliegos Tarifarios (Quilicura)'!$D:$D,MATCH($B536,'Pliegos Tarifarios (Quilicura)'!$A:$A,0))</f>
        <v>4210.3699705000008</v>
      </c>
      <c r="P536" s="19">
        <f>H536*INDEX('Pliegos Tarifarios (Quilicura)'!$E:$E,MATCH($B536,'Pliegos Tarifarios (Quilicura)'!$A:$A,0))</f>
        <v>1467.5312959999999</v>
      </c>
      <c r="Q536" s="19" cm="1">
        <f t="array" ref="Q536">H536*_xlfn.IFS(H536&lt;=350,INDEX('Pliegos Tarifarios (Quilicura)'!$F:$F,MATCH($B536,'Pliegos Tarifarios (Quilicura)'!$A:$A,0)),H536&lt;=500,INDEX('Pliegos Tarifarios (Quilicura)'!$G:$G,MATCH($B536,'Pliegos Tarifarios (Quilicura)'!$A:$A,0)),H536&lt;=1000,INDEX('Pliegos Tarifarios (Quilicura)'!$H:$H,MATCH($B536,'Pliegos Tarifarios (Quilicura)'!$A:$A,0)),H536&lt;=5000,INDEX('Pliegos Tarifarios (Quilicura)'!$I:$I,MATCH($B536,'Pliegos Tarifarios (Quilicura)'!$A:$A,0)),H536&gt;5000,INDEX('Pliegos Tarifarios (Quilicura)'!$J:$J,MATCH($B536,'Pliegos Tarifarios (Quilicura)'!$A:$A,0)))/1.19</f>
        <v>74.235576470588242</v>
      </c>
      <c r="R536" s="19">
        <f>INDEX('Pliegos Tarifarios (Quilicura)'!$K:$K,MATCH($B536,'Pliegos Tarifarios (Quilicura)'!$A:$A,0))</f>
        <v>723.17600000000004</v>
      </c>
      <c r="S536" s="21">
        <f t="shared" si="27"/>
        <v>22341.787665370593</v>
      </c>
      <c r="T536" s="21">
        <f t="shared" si="28"/>
        <v>4244.9396564204126</v>
      </c>
      <c r="U536" s="19">
        <v>0</v>
      </c>
      <c r="V536" s="21">
        <f t="shared" si="29"/>
        <v>26586.727321791004</v>
      </c>
    </row>
    <row r="537" spans="1:22" x14ac:dyDescent="0.3">
      <c r="A537" s="7" t="s">
        <v>147</v>
      </c>
      <c r="B537" s="7">
        <v>8</v>
      </c>
      <c r="C537" s="8" t="s">
        <v>186</v>
      </c>
      <c r="D537" s="7" t="s">
        <v>230</v>
      </c>
      <c r="E537" s="7" t="s">
        <v>121</v>
      </c>
      <c r="F537" s="8" t="s">
        <v>122</v>
      </c>
      <c r="G537" s="7" t="s">
        <v>30</v>
      </c>
      <c r="H537" s="9">
        <v>112.67230000000001</v>
      </c>
      <c r="I537" s="9">
        <v>0.30649999999999999</v>
      </c>
      <c r="J537" s="9">
        <v>0.3054</v>
      </c>
      <c r="K537" s="10">
        <v>0.99641109298531816</v>
      </c>
      <c r="L537" s="9">
        <v>3.63</v>
      </c>
      <c r="M537" s="19">
        <f>H537*INDEX('Pliegos Tarifarios (Quilicura)'!$B:$B,MATCH($B537,'Pliegos Tarifarios (Quilicura)'!$A:$A,0))</f>
        <v>14846.040264900001</v>
      </c>
      <c r="N537" s="19">
        <f>I537*INDEX('Pliegos Tarifarios (Quilicura)'!$C:$C,MATCH($B537,'Pliegos Tarifarios (Quilicura)'!$A:$A,0))</f>
        <v>1042.3369245000001</v>
      </c>
      <c r="O537" s="19">
        <f>J537*INDEX('Pliegos Tarifarios (Quilicura)'!$D:$D,MATCH($B537,'Pliegos Tarifarios (Quilicura)'!$A:$A,0))</f>
        <v>4417.200237</v>
      </c>
      <c r="P537" s="19">
        <f>H537*INDEX('Pliegos Tarifarios (Quilicura)'!$E:$E,MATCH($B537,'Pliegos Tarifarios (Quilicura)'!$A:$A,0))</f>
        <v>1467.4440351999999</v>
      </c>
      <c r="Q537" s="19" cm="1">
        <f t="array" ref="Q537">H537*_xlfn.IFS(H537&lt;=350,INDEX('Pliegos Tarifarios (Quilicura)'!$F:$F,MATCH($B537,'Pliegos Tarifarios (Quilicura)'!$A:$A,0)),H537&lt;=500,INDEX('Pliegos Tarifarios (Quilicura)'!$G:$G,MATCH($B537,'Pliegos Tarifarios (Quilicura)'!$A:$A,0)),H537&lt;=1000,INDEX('Pliegos Tarifarios (Quilicura)'!$H:$H,MATCH($B537,'Pliegos Tarifarios (Quilicura)'!$A:$A,0)),H537&lt;=5000,INDEX('Pliegos Tarifarios (Quilicura)'!$I:$I,MATCH($B537,'Pliegos Tarifarios (Quilicura)'!$A:$A,0)),H537&gt;5000,INDEX('Pliegos Tarifarios (Quilicura)'!$J:$J,MATCH($B537,'Pliegos Tarifarios (Quilicura)'!$A:$A,0)))/1.19</f>
        <v>74.231162352941197</v>
      </c>
      <c r="R537" s="19">
        <f>INDEX('Pliegos Tarifarios (Quilicura)'!$K:$K,MATCH($B537,'Pliegos Tarifarios (Quilicura)'!$A:$A,0))</f>
        <v>723.17600000000004</v>
      </c>
      <c r="S537" s="21">
        <f t="shared" si="27"/>
        <v>22570.428623952939</v>
      </c>
      <c r="T537" s="21">
        <f t="shared" si="28"/>
        <v>4288.3814385510586</v>
      </c>
      <c r="U537" s="19">
        <v>0</v>
      </c>
      <c r="V537" s="21">
        <f t="shared" si="29"/>
        <v>26858.810062503999</v>
      </c>
    </row>
    <row r="538" spans="1:22" x14ac:dyDescent="0.3">
      <c r="A538" s="7" t="s">
        <v>147</v>
      </c>
      <c r="B538" s="7">
        <v>8</v>
      </c>
      <c r="C538" s="8" t="s">
        <v>186</v>
      </c>
      <c r="D538" s="7" t="s">
        <v>231</v>
      </c>
      <c r="E538" s="7" t="s">
        <v>121</v>
      </c>
      <c r="F538" s="8" t="s">
        <v>124</v>
      </c>
      <c r="G538" s="7" t="s">
        <v>30</v>
      </c>
      <c r="H538" s="9">
        <v>112.59229999999999</v>
      </c>
      <c r="I538" s="9">
        <v>0.30430000000000001</v>
      </c>
      <c r="J538" s="9">
        <v>0.30430000000000001</v>
      </c>
      <c r="K538" s="10">
        <v>1</v>
      </c>
      <c r="L538" s="9">
        <v>3.63</v>
      </c>
      <c r="M538" s="19">
        <f>H538*INDEX('Pliegos Tarifarios (Quilicura)'!$B:$B,MATCH($B538,'Pliegos Tarifarios (Quilicura)'!$A:$A,0))</f>
        <v>14835.499224900001</v>
      </c>
      <c r="N538" s="19">
        <f>I538*INDEX('Pliegos Tarifarios (Quilicura)'!$C:$C,MATCH($B538,'Pliegos Tarifarios (Quilicura)'!$A:$A,0))</f>
        <v>1034.8552239000001</v>
      </c>
      <c r="O538" s="19">
        <f>J538*INDEX('Pliegos Tarifarios (Quilicura)'!$D:$D,MATCH($B538,'Pliegos Tarifarios (Quilicura)'!$A:$A,0))</f>
        <v>4401.2902165000005</v>
      </c>
      <c r="P538" s="19">
        <f>H538*INDEX('Pliegos Tarifarios (Quilicura)'!$E:$E,MATCH($B538,'Pliegos Tarifarios (Quilicura)'!$A:$A,0))</f>
        <v>1466.4021151999998</v>
      </c>
      <c r="Q538" s="19" cm="1">
        <f t="array" ref="Q538">H538*_xlfn.IFS(H538&lt;=350,INDEX('Pliegos Tarifarios (Quilicura)'!$F:$F,MATCH($B538,'Pliegos Tarifarios (Quilicura)'!$A:$A,0)),H538&lt;=500,INDEX('Pliegos Tarifarios (Quilicura)'!$G:$G,MATCH($B538,'Pliegos Tarifarios (Quilicura)'!$A:$A,0)),H538&lt;=1000,INDEX('Pliegos Tarifarios (Quilicura)'!$H:$H,MATCH($B538,'Pliegos Tarifarios (Quilicura)'!$A:$A,0)),H538&lt;=5000,INDEX('Pliegos Tarifarios (Quilicura)'!$I:$I,MATCH($B538,'Pliegos Tarifarios (Quilicura)'!$A:$A,0)),H538&gt;5000,INDEX('Pliegos Tarifarios (Quilicura)'!$J:$J,MATCH($B538,'Pliegos Tarifarios (Quilicura)'!$A:$A,0)))/1.19</f>
        <v>74.178456470588245</v>
      </c>
      <c r="R538" s="19">
        <f>INDEX('Pliegos Tarifarios (Quilicura)'!$K:$K,MATCH($B538,'Pliegos Tarifarios (Quilicura)'!$A:$A,0))</f>
        <v>723.17600000000004</v>
      </c>
      <c r="S538" s="21">
        <f t="shared" si="27"/>
        <v>22535.401236970589</v>
      </c>
      <c r="T538" s="21">
        <f t="shared" si="28"/>
        <v>4281.7262350244118</v>
      </c>
      <c r="U538" s="19">
        <v>0</v>
      </c>
      <c r="V538" s="21">
        <f t="shared" si="29"/>
        <v>26817.127471995002</v>
      </c>
    </row>
    <row r="539" spans="1:22" x14ac:dyDescent="0.3">
      <c r="A539" s="7" t="s">
        <v>147</v>
      </c>
      <c r="B539" s="7">
        <v>8</v>
      </c>
      <c r="C539" s="8" t="s">
        <v>186</v>
      </c>
      <c r="D539" s="7" t="s">
        <v>232</v>
      </c>
      <c r="E539" s="7" t="s">
        <v>121</v>
      </c>
      <c r="F539" s="8" t="s">
        <v>126</v>
      </c>
      <c r="G539" s="7" t="s">
        <v>30</v>
      </c>
      <c r="H539" s="9">
        <v>112.73699999999999</v>
      </c>
      <c r="I539" s="9">
        <v>0.30909999999999999</v>
      </c>
      <c r="J539" s="9">
        <v>0.30059999999999998</v>
      </c>
      <c r="K539" s="10">
        <v>0.97250080879974121</v>
      </c>
      <c r="L539" s="9">
        <v>3.64</v>
      </c>
      <c r="M539" s="19">
        <f>H539*INDEX('Pliegos Tarifarios (Quilicura)'!$B:$B,MATCH($B539,'Pliegos Tarifarios (Quilicura)'!$A:$A,0))</f>
        <v>14854.565331</v>
      </c>
      <c r="N539" s="19">
        <f>I539*INDEX('Pliegos Tarifarios (Quilicura)'!$C:$C,MATCH($B539,'Pliegos Tarifarios (Quilicura)'!$A:$A,0))</f>
        <v>1051.1789343</v>
      </c>
      <c r="O539" s="19">
        <f>J539*INDEX('Pliegos Tarifarios (Quilicura)'!$D:$D,MATCH($B539,'Pliegos Tarifarios (Quilicura)'!$A:$A,0))</f>
        <v>4347.7746930000003</v>
      </c>
      <c r="P539" s="19">
        <f>H539*INDEX('Pliegos Tarifarios (Quilicura)'!$E:$E,MATCH($B539,'Pliegos Tarifarios (Quilicura)'!$A:$A,0))</f>
        <v>1468.2866879999999</v>
      </c>
      <c r="Q539" s="19" cm="1">
        <f t="array" ref="Q539">H539*_xlfn.IFS(H539&lt;=350,INDEX('Pliegos Tarifarios (Quilicura)'!$F:$F,MATCH($B539,'Pliegos Tarifarios (Quilicura)'!$A:$A,0)),H539&lt;=500,INDEX('Pliegos Tarifarios (Quilicura)'!$G:$G,MATCH($B539,'Pliegos Tarifarios (Quilicura)'!$A:$A,0)),H539&lt;=1000,INDEX('Pliegos Tarifarios (Quilicura)'!$H:$H,MATCH($B539,'Pliegos Tarifarios (Quilicura)'!$A:$A,0)),H539&lt;=5000,INDEX('Pliegos Tarifarios (Quilicura)'!$I:$I,MATCH($B539,'Pliegos Tarifarios (Quilicura)'!$A:$A,0)),H539&gt;5000,INDEX('Pliegos Tarifarios (Quilicura)'!$J:$J,MATCH($B539,'Pliegos Tarifarios (Quilicura)'!$A:$A,0)))/1.19</f>
        <v>74.27378823529412</v>
      </c>
      <c r="R539" s="19">
        <f>INDEX('Pliegos Tarifarios (Quilicura)'!$K:$K,MATCH($B539,'Pliegos Tarifarios (Quilicura)'!$A:$A,0))</f>
        <v>723.17600000000004</v>
      </c>
      <c r="S539" s="21">
        <f t="shared" si="27"/>
        <v>22519.255434535295</v>
      </c>
      <c r="T539" s="21">
        <f t="shared" si="28"/>
        <v>4278.6585325617061</v>
      </c>
      <c r="U539" s="19">
        <v>0</v>
      </c>
      <c r="V539" s="21">
        <f t="shared" si="29"/>
        <v>26797.913967097</v>
      </c>
    </row>
    <row r="540" spans="1:22" x14ac:dyDescent="0.3">
      <c r="A540" s="7" t="s">
        <v>147</v>
      </c>
      <c r="B540" s="7">
        <v>8</v>
      </c>
      <c r="C540" s="8" t="s">
        <v>186</v>
      </c>
      <c r="D540" s="7" t="s">
        <v>233</v>
      </c>
      <c r="E540" s="7" t="s">
        <v>121</v>
      </c>
      <c r="F540" s="8" t="s">
        <v>128</v>
      </c>
      <c r="G540" s="7" t="s">
        <v>30</v>
      </c>
      <c r="H540" s="9">
        <v>112.48350000000001</v>
      </c>
      <c r="I540" s="9">
        <v>0.316</v>
      </c>
      <c r="J540" s="9">
        <v>0.316</v>
      </c>
      <c r="K540" s="10">
        <v>1</v>
      </c>
      <c r="L540" s="9">
        <v>3.63</v>
      </c>
      <c r="M540" s="19">
        <f>H540*INDEX('Pliegos Tarifarios (Quilicura)'!$B:$B,MATCH($B540,'Pliegos Tarifarios (Quilicura)'!$A:$A,0))</f>
        <v>14821.163410500001</v>
      </c>
      <c r="N540" s="19">
        <f>I540*INDEX('Pliegos Tarifarios (Quilicura)'!$C:$C,MATCH($B540,'Pliegos Tarifarios (Quilicura)'!$A:$A,0))</f>
        <v>1074.644268</v>
      </c>
      <c r="O540" s="19">
        <f>J540*INDEX('Pliegos Tarifarios (Quilicura)'!$D:$D,MATCH($B540,'Pliegos Tarifarios (Quilicura)'!$A:$A,0))</f>
        <v>4570.5149799999999</v>
      </c>
      <c r="P540" s="19">
        <f>H540*INDEX('Pliegos Tarifarios (Quilicura)'!$E:$E,MATCH($B540,'Pliegos Tarifarios (Quilicura)'!$A:$A,0))</f>
        <v>1464.9851040000001</v>
      </c>
      <c r="Q540" s="19" cm="1">
        <f t="array" ref="Q540">H540*_xlfn.IFS(H540&lt;=350,INDEX('Pliegos Tarifarios (Quilicura)'!$F:$F,MATCH($B540,'Pliegos Tarifarios (Quilicura)'!$A:$A,0)),H540&lt;=500,INDEX('Pliegos Tarifarios (Quilicura)'!$G:$G,MATCH($B540,'Pliegos Tarifarios (Quilicura)'!$A:$A,0)),H540&lt;=1000,INDEX('Pliegos Tarifarios (Quilicura)'!$H:$H,MATCH($B540,'Pliegos Tarifarios (Quilicura)'!$A:$A,0)),H540&lt;=5000,INDEX('Pliegos Tarifarios (Quilicura)'!$I:$I,MATCH($B540,'Pliegos Tarifarios (Quilicura)'!$A:$A,0)),H540&gt;5000,INDEX('Pliegos Tarifarios (Quilicura)'!$J:$J,MATCH($B540,'Pliegos Tarifarios (Quilicura)'!$A:$A,0)))/1.19</f>
        <v>74.106776470588244</v>
      </c>
      <c r="R540" s="19">
        <f>INDEX('Pliegos Tarifarios (Quilicura)'!$K:$K,MATCH($B540,'Pliegos Tarifarios (Quilicura)'!$A:$A,0))</f>
        <v>723.17600000000004</v>
      </c>
      <c r="S540" s="21">
        <f t="shared" si="27"/>
        <v>22728.590538970588</v>
      </c>
      <c r="T540" s="21">
        <f t="shared" si="28"/>
        <v>4318.4322024044113</v>
      </c>
      <c r="U540" s="19">
        <v>0</v>
      </c>
      <c r="V540" s="21">
        <f t="shared" si="29"/>
        <v>27047.022741375</v>
      </c>
    </row>
    <row r="541" spans="1:22" x14ac:dyDescent="0.3">
      <c r="A541" s="7" t="s">
        <v>147</v>
      </c>
      <c r="B541" s="7">
        <v>8</v>
      </c>
      <c r="C541" s="8" t="s">
        <v>186</v>
      </c>
      <c r="D541" s="7" t="s">
        <v>234</v>
      </c>
      <c r="E541" s="7" t="s">
        <v>121</v>
      </c>
      <c r="F541" s="8" t="s">
        <v>130</v>
      </c>
      <c r="G541" s="7" t="s">
        <v>30</v>
      </c>
      <c r="H541" s="9">
        <v>112.56100000000001</v>
      </c>
      <c r="I541" s="9">
        <v>0.31030000000000002</v>
      </c>
      <c r="J541" s="9">
        <v>0.2979</v>
      </c>
      <c r="K541" s="10">
        <v>0.9600386722526586</v>
      </c>
      <c r="L541" s="9">
        <v>3.63</v>
      </c>
      <c r="M541" s="19">
        <f>H541*INDEX('Pliegos Tarifarios (Quilicura)'!$B:$B,MATCH($B541,'Pliegos Tarifarios (Quilicura)'!$A:$A,0))</f>
        <v>14831.375043000002</v>
      </c>
      <c r="N541" s="19">
        <f>I541*INDEX('Pliegos Tarifarios (Quilicura)'!$C:$C,MATCH($B541,'Pliegos Tarifarios (Quilicura)'!$A:$A,0))</f>
        <v>1055.2598619</v>
      </c>
      <c r="O541" s="19">
        <f>J541*INDEX('Pliegos Tarifarios (Quilicura)'!$D:$D,MATCH($B541,'Pliegos Tarifarios (Quilicura)'!$A:$A,0))</f>
        <v>4308.7228245000006</v>
      </c>
      <c r="P541" s="19">
        <f>H541*INDEX('Pliegos Tarifarios (Quilicura)'!$E:$E,MATCH($B541,'Pliegos Tarifarios (Quilicura)'!$A:$A,0))</f>
        <v>1465.9944640000001</v>
      </c>
      <c r="Q541" s="19" cm="1">
        <f t="array" ref="Q541">H541*_xlfn.IFS(H541&lt;=350,INDEX('Pliegos Tarifarios (Quilicura)'!$F:$F,MATCH($B541,'Pliegos Tarifarios (Quilicura)'!$A:$A,0)),H541&lt;=500,INDEX('Pliegos Tarifarios (Quilicura)'!$G:$G,MATCH($B541,'Pliegos Tarifarios (Quilicura)'!$A:$A,0)),H541&lt;=1000,INDEX('Pliegos Tarifarios (Quilicura)'!$H:$H,MATCH($B541,'Pliegos Tarifarios (Quilicura)'!$A:$A,0)),H541&lt;=5000,INDEX('Pliegos Tarifarios (Quilicura)'!$I:$I,MATCH($B541,'Pliegos Tarifarios (Quilicura)'!$A:$A,0)),H541&gt;5000,INDEX('Pliegos Tarifarios (Quilicura)'!$J:$J,MATCH($B541,'Pliegos Tarifarios (Quilicura)'!$A:$A,0)))/1.19</f>
        <v>74.15783529411766</v>
      </c>
      <c r="R541" s="19">
        <f>INDEX('Pliegos Tarifarios (Quilicura)'!$K:$K,MATCH($B541,'Pliegos Tarifarios (Quilicura)'!$A:$A,0))</f>
        <v>723.17600000000004</v>
      </c>
      <c r="S541" s="21">
        <f t="shared" si="27"/>
        <v>22458.686028694119</v>
      </c>
      <c r="T541" s="21">
        <f t="shared" si="28"/>
        <v>4267.1503454518825</v>
      </c>
      <c r="U541" s="19">
        <v>0</v>
      </c>
      <c r="V541" s="21">
        <f t="shared" si="29"/>
        <v>26725.836374146002</v>
      </c>
    </row>
    <row r="542" spans="1:22" x14ac:dyDescent="0.3">
      <c r="A542" s="7" t="s">
        <v>147</v>
      </c>
      <c r="B542" s="7">
        <v>8</v>
      </c>
      <c r="C542" s="8" t="s">
        <v>186</v>
      </c>
      <c r="D542" s="7" t="s">
        <v>235</v>
      </c>
      <c r="E542" s="7" t="s">
        <v>121</v>
      </c>
      <c r="F542" s="8" t="s">
        <v>132</v>
      </c>
      <c r="G542" s="7" t="s">
        <v>30</v>
      </c>
      <c r="H542" s="9">
        <v>112.8986</v>
      </c>
      <c r="I542" s="9">
        <v>0.30120000000000002</v>
      </c>
      <c r="J542" s="9">
        <v>0.30120000000000002</v>
      </c>
      <c r="K542" s="10">
        <v>1</v>
      </c>
      <c r="L542" s="9">
        <v>3.64</v>
      </c>
      <c r="M542" s="19">
        <f>H542*INDEX('Pliegos Tarifarios (Quilicura)'!$B:$B,MATCH($B542,'Pliegos Tarifarios (Quilicura)'!$A:$A,0))</f>
        <v>14875.858231800001</v>
      </c>
      <c r="N542" s="19">
        <f>I542*INDEX('Pliegos Tarifarios (Quilicura)'!$C:$C,MATCH($B542,'Pliegos Tarifarios (Quilicura)'!$A:$A,0))</f>
        <v>1024.3128276000002</v>
      </c>
      <c r="O542" s="19">
        <f>J542*INDEX('Pliegos Tarifarios (Quilicura)'!$D:$D,MATCH($B542,'Pliegos Tarifarios (Quilicura)'!$A:$A,0))</f>
        <v>4356.4528860000009</v>
      </c>
      <c r="P542" s="19">
        <f>H542*INDEX('Pliegos Tarifarios (Quilicura)'!$E:$E,MATCH($B542,'Pliegos Tarifarios (Quilicura)'!$A:$A,0))</f>
        <v>1470.3913663999999</v>
      </c>
      <c r="Q542" s="19" cm="1">
        <f t="array" ref="Q542">H542*_xlfn.IFS(H542&lt;=350,INDEX('Pliegos Tarifarios (Quilicura)'!$F:$F,MATCH($B542,'Pliegos Tarifarios (Quilicura)'!$A:$A,0)),H542&lt;=500,INDEX('Pliegos Tarifarios (Quilicura)'!$G:$G,MATCH($B542,'Pliegos Tarifarios (Quilicura)'!$A:$A,0)),H542&lt;=1000,INDEX('Pliegos Tarifarios (Quilicura)'!$H:$H,MATCH($B542,'Pliegos Tarifarios (Quilicura)'!$A:$A,0)),H542&lt;=5000,INDEX('Pliegos Tarifarios (Quilicura)'!$I:$I,MATCH($B542,'Pliegos Tarifarios (Quilicura)'!$A:$A,0)),H542&gt;5000,INDEX('Pliegos Tarifarios (Quilicura)'!$J:$J,MATCH($B542,'Pliegos Tarifarios (Quilicura)'!$A:$A,0)))/1.19</f>
        <v>74.38025411764707</v>
      </c>
      <c r="R542" s="19">
        <f>INDEX('Pliegos Tarifarios (Quilicura)'!$K:$K,MATCH($B542,'Pliegos Tarifarios (Quilicura)'!$A:$A,0))</f>
        <v>723.17600000000004</v>
      </c>
      <c r="S542" s="21">
        <f t="shared" si="27"/>
        <v>22524.571565917649</v>
      </c>
      <c r="T542" s="21">
        <f t="shared" si="28"/>
        <v>4279.6685975243536</v>
      </c>
      <c r="U542" s="19">
        <v>0</v>
      </c>
      <c r="V542" s="21">
        <f t="shared" si="29"/>
        <v>26804.240163442002</v>
      </c>
    </row>
    <row r="543" spans="1:22" x14ac:dyDescent="0.3">
      <c r="A543" s="7" t="s">
        <v>147</v>
      </c>
      <c r="B543" s="7">
        <v>8</v>
      </c>
      <c r="C543" s="8" t="s">
        <v>186</v>
      </c>
      <c r="D543" s="7" t="s">
        <v>236</v>
      </c>
      <c r="E543" s="7" t="s">
        <v>121</v>
      </c>
      <c r="F543" s="8" t="s">
        <v>134</v>
      </c>
      <c r="G543" s="7" t="s">
        <v>30</v>
      </c>
      <c r="H543" s="9">
        <v>112.595</v>
      </c>
      <c r="I543" s="9">
        <v>0.30530000000000002</v>
      </c>
      <c r="J543" s="9">
        <v>0.30209999999999998</v>
      </c>
      <c r="K543" s="10">
        <v>0.9895185063871601</v>
      </c>
      <c r="L543" s="9">
        <v>3.63</v>
      </c>
      <c r="M543" s="19">
        <f>H543*INDEX('Pliegos Tarifarios (Quilicura)'!$B:$B,MATCH($B543,'Pliegos Tarifarios (Quilicura)'!$A:$A,0))</f>
        <v>14835.854985</v>
      </c>
      <c r="N543" s="19">
        <f>I543*INDEX('Pliegos Tarifarios (Quilicura)'!$C:$C,MATCH($B543,'Pliegos Tarifarios (Quilicura)'!$A:$A,0))</f>
        <v>1038.2559969000001</v>
      </c>
      <c r="O543" s="19">
        <f>J543*INDEX('Pliegos Tarifarios (Quilicura)'!$D:$D,MATCH($B543,'Pliegos Tarifarios (Quilicura)'!$A:$A,0))</f>
        <v>4369.4701754999996</v>
      </c>
      <c r="P543" s="19">
        <f>H543*INDEX('Pliegos Tarifarios (Quilicura)'!$E:$E,MATCH($B543,'Pliegos Tarifarios (Quilicura)'!$A:$A,0))</f>
        <v>1466.4372799999999</v>
      </c>
      <c r="Q543" s="19" cm="1">
        <f t="array" ref="Q543">H543*_xlfn.IFS(H543&lt;=350,INDEX('Pliegos Tarifarios (Quilicura)'!$F:$F,MATCH($B543,'Pliegos Tarifarios (Quilicura)'!$A:$A,0)),H543&lt;=500,INDEX('Pliegos Tarifarios (Quilicura)'!$G:$G,MATCH($B543,'Pliegos Tarifarios (Quilicura)'!$A:$A,0)),H543&lt;=1000,INDEX('Pliegos Tarifarios (Quilicura)'!$H:$H,MATCH($B543,'Pliegos Tarifarios (Quilicura)'!$A:$A,0)),H543&lt;=5000,INDEX('Pliegos Tarifarios (Quilicura)'!$I:$I,MATCH($B543,'Pliegos Tarifarios (Quilicura)'!$A:$A,0)),H543&gt;5000,INDEX('Pliegos Tarifarios (Quilicura)'!$J:$J,MATCH($B543,'Pliegos Tarifarios (Quilicura)'!$A:$A,0)))/1.19</f>
        <v>74.180235294117651</v>
      </c>
      <c r="R543" s="19">
        <f>INDEX('Pliegos Tarifarios (Quilicura)'!$K:$K,MATCH($B543,'Pliegos Tarifarios (Quilicura)'!$A:$A,0))</f>
        <v>723.17600000000004</v>
      </c>
      <c r="S543" s="21">
        <f t="shared" si="27"/>
        <v>22507.374672694114</v>
      </c>
      <c r="T543" s="21">
        <f t="shared" si="28"/>
        <v>4276.4011878118818</v>
      </c>
      <c r="U543" s="19">
        <v>0</v>
      </c>
      <c r="V543" s="21">
        <f t="shared" si="29"/>
        <v>26783.775860505993</v>
      </c>
    </row>
    <row r="544" spans="1:22" x14ac:dyDescent="0.3">
      <c r="A544" s="7" t="s">
        <v>147</v>
      </c>
      <c r="B544" s="7">
        <v>8</v>
      </c>
      <c r="C544" s="8" t="s">
        <v>186</v>
      </c>
      <c r="D544" s="7" t="s">
        <v>237</v>
      </c>
      <c r="E544" s="7" t="s">
        <v>121</v>
      </c>
      <c r="F544" s="8" t="s">
        <v>136</v>
      </c>
      <c r="G544" s="7" t="s">
        <v>30</v>
      </c>
      <c r="H544" s="9">
        <v>112.6978</v>
      </c>
      <c r="I544" s="9">
        <v>0.32119999999999999</v>
      </c>
      <c r="J544" s="9">
        <v>0.29930000000000001</v>
      </c>
      <c r="K544" s="10">
        <v>0.93181818181818188</v>
      </c>
      <c r="L544" s="9">
        <v>3.64</v>
      </c>
      <c r="M544" s="19">
        <f>H544*INDEX('Pliegos Tarifarios (Quilicura)'!$B:$B,MATCH($B544,'Pliegos Tarifarios (Quilicura)'!$A:$A,0))</f>
        <v>14849.400221400001</v>
      </c>
      <c r="N544" s="19">
        <f>I544*INDEX('Pliegos Tarifarios (Quilicura)'!$C:$C,MATCH($B544,'Pliegos Tarifarios (Quilicura)'!$A:$A,0))</f>
        <v>1092.3282876000001</v>
      </c>
      <c r="O544" s="19">
        <f>J544*INDEX('Pliegos Tarifarios (Quilicura)'!$D:$D,MATCH($B544,'Pliegos Tarifarios (Quilicura)'!$A:$A,0))</f>
        <v>4328.9719415</v>
      </c>
      <c r="P544" s="19">
        <f>H544*INDEX('Pliegos Tarifarios (Quilicura)'!$E:$E,MATCH($B544,'Pliegos Tarifarios (Quilicura)'!$A:$A,0))</f>
        <v>1467.7761472</v>
      </c>
      <c r="Q544" s="19" cm="1">
        <f t="array" ref="Q544">H544*_xlfn.IFS(H544&lt;=350,INDEX('Pliegos Tarifarios (Quilicura)'!$F:$F,MATCH($B544,'Pliegos Tarifarios (Quilicura)'!$A:$A,0)),H544&lt;=500,INDEX('Pliegos Tarifarios (Quilicura)'!$G:$G,MATCH($B544,'Pliegos Tarifarios (Quilicura)'!$A:$A,0)),H544&lt;=1000,INDEX('Pliegos Tarifarios (Quilicura)'!$H:$H,MATCH($B544,'Pliegos Tarifarios (Quilicura)'!$A:$A,0)),H544&lt;=5000,INDEX('Pliegos Tarifarios (Quilicura)'!$I:$I,MATCH($B544,'Pliegos Tarifarios (Quilicura)'!$A:$A,0)),H544&gt;5000,INDEX('Pliegos Tarifarios (Quilicura)'!$J:$J,MATCH($B544,'Pliegos Tarifarios (Quilicura)'!$A:$A,0)))/1.19</f>
        <v>74.247962352941187</v>
      </c>
      <c r="R544" s="19">
        <f>INDEX('Pliegos Tarifarios (Quilicura)'!$K:$K,MATCH($B544,'Pliegos Tarifarios (Quilicura)'!$A:$A,0))</f>
        <v>723.17600000000004</v>
      </c>
      <c r="S544" s="21">
        <f t="shared" si="27"/>
        <v>22535.900560052938</v>
      </c>
      <c r="T544" s="21">
        <f t="shared" si="28"/>
        <v>4281.8211064100578</v>
      </c>
      <c r="U544" s="19">
        <v>0</v>
      </c>
      <c r="V544" s="21">
        <f t="shared" si="29"/>
        <v>26817.721666462996</v>
      </c>
    </row>
    <row r="545" spans="1:22" x14ac:dyDescent="0.3">
      <c r="A545" s="7" t="s">
        <v>147</v>
      </c>
      <c r="B545" s="7">
        <v>8</v>
      </c>
      <c r="C545" s="8" t="s">
        <v>186</v>
      </c>
      <c r="D545" s="7" t="s">
        <v>238</v>
      </c>
      <c r="E545" s="7" t="s">
        <v>121</v>
      </c>
      <c r="F545" s="8" t="s">
        <v>138</v>
      </c>
      <c r="G545" s="7" t="s">
        <v>30</v>
      </c>
      <c r="H545" s="9">
        <v>112.7209</v>
      </c>
      <c r="I545" s="9">
        <v>0.30199999999999999</v>
      </c>
      <c r="J545" s="9">
        <v>0.29570000000000002</v>
      </c>
      <c r="K545" s="10">
        <v>0.9791390728476822</v>
      </c>
      <c r="L545" s="9">
        <v>3.64</v>
      </c>
      <c r="M545" s="19">
        <f>H545*INDEX('Pliegos Tarifarios (Quilicura)'!$B:$B,MATCH($B545,'Pliegos Tarifarios (Quilicura)'!$A:$A,0))</f>
        <v>14852.443946700001</v>
      </c>
      <c r="N545" s="19">
        <f>I545*INDEX('Pliegos Tarifarios (Quilicura)'!$C:$C,MATCH($B545,'Pliegos Tarifarios (Quilicura)'!$A:$A,0))</f>
        <v>1027.0334459999999</v>
      </c>
      <c r="O545" s="19">
        <f>J545*INDEX('Pliegos Tarifarios (Quilicura)'!$D:$D,MATCH($B545,'Pliegos Tarifarios (Quilicura)'!$A:$A,0))</f>
        <v>4276.9027835000006</v>
      </c>
      <c r="P545" s="19">
        <f>H545*INDEX('Pliegos Tarifarios (Quilicura)'!$E:$E,MATCH($B545,'Pliegos Tarifarios (Quilicura)'!$A:$A,0))</f>
        <v>1468.0770015999999</v>
      </c>
      <c r="Q545" s="19" cm="1">
        <f t="array" ref="Q545">H545*_xlfn.IFS(H545&lt;=350,INDEX('Pliegos Tarifarios (Quilicura)'!$F:$F,MATCH($B545,'Pliegos Tarifarios (Quilicura)'!$A:$A,0)),H545&lt;=500,INDEX('Pliegos Tarifarios (Quilicura)'!$G:$G,MATCH($B545,'Pliegos Tarifarios (Quilicura)'!$A:$A,0)),H545&lt;=1000,INDEX('Pliegos Tarifarios (Quilicura)'!$H:$H,MATCH($B545,'Pliegos Tarifarios (Quilicura)'!$A:$A,0)),H545&lt;=5000,INDEX('Pliegos Tarifarios (Quilicura)'!$I:$I,MATCH($B545,'Pliegos Tarifarios (Quilicura)'!$A:$A,0)),H545&gt;5000,INDEX('Pliegos Tarifarios (Quilicura)'!$J:$J,MATCH($B545,'Pliegos Tarifarios (Quilicura)'!$A:$A,0)))/1.19</f>
        <v>74.263181176470596</v>
      </c>
      <c r="R545" s="19">
        <f>INDEX('Pliegos Tarifarios (Quilicura)'!$K:$K,MATCH($B545,'Pliegos Tarifarios (Quilicura)'!$A:$A,0))</f>
        <v>723.17600000000004</v>
      </c>
      <c r="S545" s="21">
        <f t="shared" si="27"/>
        <v>22421.896358976468</v>
      </c>
      <c r="T545" s="21">
        <f t="shared" si="28"/>
        <v>4260.160308205529</v>
      </c>
      <c r="U545" s="19">
        <v>0</v>
      </c>
      <c r="V545" s="21">
        <f t="shared" si="29"/>
        <v>26682.056667181998</v>
      </c>
    </row>
    <row r="546" spans="1:22" x14ac:dyDescent="0.3">
      <c r="A546" s="7" t="s">
        <v>147</v>
      </c>
      <c r="B546" s="7">
        <v>8</v>
      </c>
      <c r="C546" s="8" t="s">
        <v>186</v>
      </c>
      <c r="D546" s="7" t="s">
        <v>239</v>
      </c>
      <c r="E546" s="7" t="s">
        <v>121</v>
      </c>
      <c r="F546" s="8" t="s">
        <v>140</v>
      </c>
      <c r="G546" s="7" t="s">
        <v>30</v>
      </c>
      <c r="H546" s="9">
        <v>112.81959999999999</v>
      </c>
      <c r="I546" s="9">
        <v>0.30480000000000002</v>
      </c>
      <c r="J546" s="9">
        <v>0.29599999999999999</v>
      </c>
      <c r="K546" s="10">
        <v>0.97112860892388442</v>
      </c>
      <c r="L546" s="9">
        <v>3.64</v>
      </c>
      <c r="M546" s="19">
        <f>H546*INDEX('Pliegos Tarifarios (Quilicura)'!$B:$B,MATCH($B546,'Pliegos Tarifarios (Quilicura)'!$A:$A,0))</f>
        <v>14865.4489548</v>
      </c>
      <c r="N546" s="19">
        <f>I546*INDEX('Pliegos Tarifarios (Quilicura)'!$C:$C,MATCH($B546,'Pliegos Tarifarios (Quilicura)'!$A:$A,0))</f>
        <v>1036.5556104000002</v>
      </c>
      <c r="O546" s="19">
        <f>J546*INDEX('Pliegos Tarifarios (Quilicura)'!$D:$D,MATCH($B546,'Pliegos Tarifarios (Quilicura)'!$A:$A,0))</f>
        <v>4281.2418799999996</v>
      </c>
      <c r="P546" s="19">
        <f>H546*INDEX('Pliegos Tarifarios (Quilicura)'!$E:$E,MATCH($B546,'Pliegos Tarifarios (Quilicura)'!$A:$A,0))</f>
        <v>1469.3624703999999</v>
      </c>
      <c r="Q546" s="19" cm="1">
        <f t="array" ref="Q546">H546*_xlfn.IFS(H546&lt;=350,INDEX('Pliegos Tarifarios (Quilicura)'!$F:$F,MATCH($B546,'Pliegos Tarifarios (Quilicura)'!$A:$A,0)),H546&lt;=500,INDEX('Pliegos Tarifarios (Quilicura)'!$G:$G,MATCH($B546,'Pliegos Tarifarios (Quilicura)'!$A:$A,0)),H546&lt;=1000,INDEX('Pliegos Tarifarios (Quilicura)'!$H:$H,MATCH($B546,'Pliegos Tarifarios (Quilicura)'!$A:$A,0)),H546&lt;=5000,INDEX('Pliegos Tarifarios (Quilicura)'!$I:$I,MATCH($B546,'Pliegos Tarifarios (Quilicura)'!$A:$A,0)),H546&gt;5000,INDEX('Pliegos Tarifarios (Quilicura)'!$J:$J,MATCH($B546,'Pliegos Tarifarios (Quilicura)'!$A:$A,0)))/1.19</f>
        <v>74.328207058823537</v>
      </c>
      <c r="R546" s="19">
        <f>INDEX('Pliegos Tarifarios (Quilicura)'!$K:$K,MATCH($B546,'Pliegos Tarifarios (Quilicura)'!$A:$A,0))</f>
        <v>723.17600000000004</v>
      </c>
      <c r="S546" s="21">
        <f t="shared" si="27"/>
        <v>22450.113122658822</v>
      </c>
      <c r="T546" s="21">
        <f t="shared" si="28"/>
        <v>4265.5214933051766</v>
      </c>
      <c r="U546" s="19">
        <v>0</v>
      </c>
      <c r="V546" s="21">
        <f t="shared" si="29"/>
        <v>26715.634615963998</v>
      </c>
    </row>
    <row r="547" spans="1:22" x14ac:dyDescent="0.3">
      <c r="A547" s="7" t="s">
        <v>147</v>
      </c>
      <c r="B547" s="7">
        <v>8</v>
      </c>
      <c r="C547" s="8" t="s">
        <v>186</v>
      </c>
      <c r="D547" s="7" t="s">
        <v>240</v>
      </c>
      <c r="E547" s="7" t="s">
        <v>121</v>
      </c>
      <c r="F547" s="8" t="s">
        <v>241</v>
      </c>
      <c r="G547" s="7" t="s">
        <v>30</v>
      </c>
      <c r="H547" s="9">
        <v>112.9663</v>
      </c>
      <c r="I547" s="9">
        <v>0.30559999999999998</v>
      </c>
      <c r="J547" s="9">
        <v>0.29759999999999998</v>
      </c>
      <c r="K547" s="10">
        <v>0.97382198952879584</v>
      </c>
      <c r="L547" s="9">
        <v>3.64</v>
      </c>
      <c r="M547" s="19">
        <f>H547*INDEX('Pliegos Tarifarios (Quilicura)'!$B:$B,MATCH($B547,'Pliegos Tarifarios (Quilicura)'!$A:$A,0))</f>
        <v>14884.778586900002</v>
      </c>
      <c r="N547" s="19">
        <f>I547*INDEX('Pliegos Tarifarios (Quilicura)'!$C:$C,MATCH($B547,'Pliegos Tarifarios (Quilicura)'!$A:$A,0))</f>
        <v>1039.2762287999999</v>
      </c>
      <c r="O547" s="19">
        <f>J547*INDEX('Pliegos Tarifarios (Quilicura)'!$D:$D,MATCH($B547,'Pliegos Tarifarios (Quilicura)'!$A:$A,0))</f>
        <v>4304.3837279999998</v>
      </c>
      <c r="P547" s="19">
        <f>H547*INDEX('Pliegos Tarifarios (Quilicura)'!$E:$E,MATCH($B547,'Pliegos Tarifarios (Quilicura)'!$A:$A,0))</f>
        <v>1471.2730912</v>
      </c>
      <c r="Q547" s="19" cm="1">
        <f t="array" ref="Q547">H547*_xlfn.IFS(H547&lt;=350,INDEX('Pliegos Tarifarios (Quilicura)'!$F:$F,MATCH($B547,'Pliegos Tarifarios (Quilicura)'!$A:$A,0)),H547&lt;=500,INDEX('Pliegos Tarifarios (Quilicura)'!$G:$G,MATCH($B547,'Pliegos Tarifarios (Quilicura)'!$A:$A,0)),H547&lt;=1000,INDEX('Pliegos Tarifarios (Quilicura)'!$H:$H,MATCH($B547,'Pliegos Tarifarios (Quilicura)'!$A:$A,0)),H547&lt;=5000,INDEX('Pliegos Tarifarios (Quilicura)'!$I:$I,MATCH($B547,'Pliegos Tarifarios (Quilicura)'!$A:$A,0)),H547&gt;5000,INDEX('Pliegos Tarifarios (Quilicura)'!$J:$J,MATCH($B547,'Pliegos Tarifarios (Quilicura)'!$A:$A,0)))/1.19</f>
        <v>74.424856470588239</v>
      </c>
      <c r="R547" s="19">
        <f>INDEX('Pliegos Tarifarios (Quilicura)'!$K:$K,MATCH($B547,'Pliegos Tarifarios (Quilicura)'!$A:$A,0))</f>
        <v>723.17600000000004</v>
      </c>
      <c r="S547" s="21">
        <f t="shared" si="27"/>
        <v>22497.312491370591</v>
      </c>
      <c r="T547" s="21">
        <f t="shared" si="28"/>
        <v>4274.4893733604122</v>
      </c>
      <c r="U547" s="19">
        <v>0</v>
      </c>
      <c r="V547" s="21">
        <f t="shared" si="29"/>
        <v>26771.801864731002</v>
      </c>
    </row>
    <row r="548" spans="1:22" x14ac:dyDescent="0.3">
      <c r="A548" s="7" t="s">
        <v>147</v>
      </c>
      <c r="B548" s="7">
        <v>8</v>
      </c>
      <c r="C548" s="8" t="s">
        <v>186</v>
      </c>
      <c r="D548" s="7" t="s">
        <v>242</v>
      </c>
      <c r="E548" s="7" t="s">
        <v>121</v>
      </c>
      <c r="F548" s="8" t="s">
        <v>243</v>
      </c>
      <c r="G548" s="7" t="s">
        <v>30</v>
      </c>
      <c r="H548" s="9">
        <v>112.6459</v>
      </c>
      <c r="I548" s="9">
        <v>0.30349999999999999</v>
      </c>
      <c r="J548" s="9">
        <v>0.29399999999999998</v>
      </c>
      <c r="K548" s="10">
        <v>0.96869851729818779</v>
      </c>
      <c r="L548" s="9">
        <v>3.63</v>
      </c>
      <c r="M548" s="19">
        <f>H548*INDEX('Pliegos Tarifarios (Quilicura)'!$B:$B,MATCH($B548,'Pliegos Tarifarios (Quilicura)'!$A:$A,0))</f>
        <v>14842.5617217</v>
      </c>
      <c r="N548" s="19">
        <f>I548*INDEX('Pliegos Tarifarios (Quilicura)'!$C:$C,MATCH($B548,'Pliegos Tarifarios (Quilicura)'!$A:$A,0))</f>
        <v>1032.1346054999999</v>
      </c>
      <c r="O548" s="19">
        <f>J548*INDEX('Pliegos Tarifarios (Quilicura)'!$D:$D,MATCH($B548,'Pliegos Tarifarios (Quilicura)'!$A:$A,0))</f>
        <v>4252.3145699999995</v>
      </c>
      <c r="P548" s="19">
        <f>H548*INDEX('Pliegos Tarifarios (Quilicura)'!$E:$E,MATCH($B548,'Pliegos Tarifarios (Quilicura)'!$A:$A,0))</f>
        <v>1467.1002015999998</v>
      </c>
      <c r="Q548" s="19" cm="1">
        <f t="array" ref="Q548">H548*_xlfn.IFS(H548&lt;=350,INDEX('Pliegos Tarifarios (Quilicura)'!$F:$F,MATCH($B548,'Pliegos Tarifarios (Quilicura)'!$A:$A,0)),H548&lt;=500,INDEX('Pliegos Tarifarios (Quilicura)'!$G:$G,MATCH($B548,'Pliegos Tarifarios (Quilicura)'!$A:$A,0)),H548&lt;=1000,INDEX('Pliegos Tarifarios (Quilicura)'!$H:$H,MATCH($B548,'Pliegos Tarifarios (Quilicura)'!$A:$A,0)),H548&lt;=5000,INDEX('Pliegos Tarifarios (Quilicura)'!$I:$I,MATCH($B548,'Pliegos Tarifarios (Quilicura)'!$A:$A,0)),H548&gt;5000,INDEX('Pliegos Tarifarios (Quilicura)'!$J:$J,MATCH($B548,'Pliegos Tarifarios (Quilicura)'!$A:$A,0)))/1.19</f>
        <v>74.213769411764716</v>
      </c>
      <c r="R548" s="19">
        <f>INDEX('Pliegos Tarifarios (Quilicura)'!$K:$K,MATCH($B548,'Pliegos Tarifarios (Quilicura)'!$A:$A,0))</f>
        <v>723.17600000000004</v>
      </c>
      <c r="S548" s="21">
        <f t="shared" si="27"/>
        <v>22391.500868211762</v>
      </c>
      <c r="T548" s="21">
        <f t="shared" si="28"/>
        <v>4254.3851649602348</v>
      </c>
      <c r="U548" s="19">
        <v>0</v>
      </c>
      <c r="V548" s="21">
        <f t="shared" si="29"/>
        <v>26645.886033171999</v>
      </c>
    </row>
    <row r="549" spans="1:22" x14ac:dyDescent="0.3">
      <c r="A549" s="7" t="s">
        <v>147</v>
      </c>
      <c r="B549" s="7">
        <v>8</v>
      </c>
      <c r="C549" s="8" t="s">
        <v>186</v>
      </c>
      <c r="D549" s="7" t="s">
        <v>244</v>
      </c>
      <c r="E549" s="7" t="s">
        <v>121</v>
      </c>
      <c r="F549" s="8" t="s">
        <v>245</v>
      </c>
      <c r="G549" s="7" t="s">
        <v>30</v>
      </c>
      <c r="H549" s="9">
        <v>112.87690000000001</v>
      </c>
      <c r="I549" s="9">
        <v>0.30620000000000003</v>
      </c>
      <c r="J549" s="9">
        <v>0.29620000000000002</v>
      </c>
      <c r="K549" s="10">
        <v>0.96734160679294579</v>
      </c>
      <c r="L549" s="9">
        <v>3.64</v>
      </c>
      <c r="M549" s="19">
        <f>H549*INDEX('Pliegos Tarifarios (Quilicura)'!$B:$B,MATCH($B549,'Pliegos Tarifarios (Quilicura)'!$A:$A,0))</f>
        <v>14872.998974700002</v>
      </c>
      <c r="N549" s="19">
        <f>I549*INDEX('Pliegos Tarifarios (Quilicura)'!$C:$C,MATCH($B549,'Pliegos Tarifarios (Quilicura)'!$A:$A,0))</f>
        <v>1041.3166926000001</v>
      </c>
      <c r="O549" s="19">
        <f>J549*INDEX('Pliegos Tarifarios (Quilicura)'!$D:$D,MATCH($B549,'Pliegos Tarifarios (Quilicura)'!$A:$A,0))</f>
        <v>4284.1346110000004</v>
      </c>
      <c r="P549" s="19">
        <f>H549*INDEX('Pliegos Tarifarios (Quilicura)'!$E:$E,MATCH($B549,'Pliegos Tarifarios (Quilicura)'!$A:$A,0))</f>
        <v>1470.1087456</v>
      </c>
      <c r="Q549" s="19" cm="1">
        <f t="array" ref="Q549">H549*_xlfn.IFS(H549&lt;=350,INDEX('Pliegos Tarifarios (Quilicura)'!$F:$F,MATCH($B549,'Pliegos Tarifarios (Quilicura)'!$A:$A,0)),H549&lt;=500,INDEX('Pliegos Tarifarios (Quilicura)'!$G:$G,MATCH($B549,'Pliegos Tarifarios (Quilicura)'!$A:$A,0)),H549&lt;=1000,INDEX('Pliegos Tarifarios (Quilicura)'!$H:$H,MATCH($B549,'Pliegos Tarifarios (Quilicura)'!$A:$A,0)),H549&lt;=5000,INDEX('Pliegos Tarifarios (Quilicura)'!$I:$I,MATCH($B549,'Pliegos Tarifarios (Quilicura)'!$A:$A,0)),H549&gt;5000,INDEX('Pliegos Tarifarios (Quilicura)'!$J:$J,MATCH($B549,'Pliegos Tarifarios (Quilicura)'!$A:$A,0)))/1.19</f>
        <v>74.365957647058835</v>
      </c>
      <c r="R549" s="19">
        <f>INDEX('Pliegos Tarifarios (Quilicura)'!$K:$K,MATCH($B549,'Pliegos Tarifarios (Quilicura)'!$A:$A,0))</f>
        <v>723.17600000000004</v>
      </c>
      <c r="S549" s="21">
        <f t="shared" si="27"/>
        <v>22466.100981547061</v>
      </c>
      <c r="T549" s="21">
        <f t="shared" si="28"/>
        <v>4268.5591864939415</v>
      </c>
      <c r="U549" s="19">
        <v>0</v>
      </c>
      <c r="V549" s="21">
        <f t="shared" si="29"/>
        <v>26734.660168041002</v>
      </c>
    </row>
    <row r="550" spans="1:22" x14ac:dyDescent="0.3">
      <c r="A550" s="7" t="s">
        <v>147</v>
      </c>
      <c r="B550" s="7">
        <v>8</v>
      </c>
      <c r="C550" s="8" t="s">
        <v>186</v>
      </c>
      <c r="D550" s="7" t="s">
        <v>246</v>
      </c>
      <c r="E550" s="7" t="s">
        <v>121</v>
      </c>
      <c r="F550" s="8" t="s">
        <v>247</v>
      </c>
      <c r="G550" s="7" t="s">
        <v>30</v>
      </c>
      <c r="H550" s="9">
        <v>112.83620000000001</v>
      </c>
      <c r="I550" s="9">
        <v>0.29930000000000001</v>
      </c>
      <c r="J550" s="9">
        <v>0.29559999999999997</v>
      </c>
      <c r="K550" s="10">
        <v>0.98763782158369517</v>
      </c>
      <c r="L550" s="9">
        <v>3.64</v>
      </c>
      <c r="M550" s="19">
        <f>H550*INDEX('Pliegos Tarifarios (Quilicura)'!$B:$B,MATCH($B550,'Pliegos Tarifarios (Quilicura)'!$A:$A,0))</f>
        <v>14867.636220600001</v>
      </c>
      <c r="N550" s="19">
        <f>I550*INDEX('Pliegos Tarifarios (Quilicura)'!$C:$C,MATCH($B550,'Pliegos Tarifarios (Quilicura)'!$A:$A,0))</f>
        <v>1017.8513589</v>
      </c>
      <c r="O550" s="19">
        <f>J550*INDEX('Pliegos Tarifarios (Quilicura)'!$D:$D,MATCH($B550,'Pliegos Tarifarios (Quilicura)'!$A:$A,0))</f>
        <v>4275.4564179999998</v>
      </c>
      <c r="P550" s="19">
        <f>H550*INDEX('Pliegos Tarifarios (Quilicura)'!$E:$E,MATCH($B550,'Pliegos Tarifarios (Quilicura)'!$A:$A,0))</f>
        <v>1469.5786688000001</v>
      </c>
      <c r="Q550" s="19" cm="1">
        <f t="array" ref="Q550">H550*_xlfn.IFS(H550&lt;=350,INDEX('Pliegos Tarifarios (Quilicura)'!$F:$F,MATCH($B550,'Pliegos Tarifarios (Quilicura)'!$A:$A,0)),H550&lt;=500,INDEX('Pliegos Tarifarios (Quilicura)'!$G:$G,MATCH($B550,'Pliegos Tarifarios (Quilicura)'!$A:$A,0)),H550&lt;=1000,INDEX('Pliegos Tarifarios (Quilicura)'!$H:$H,MATCH($B550,'Pliegos Tarifarios (Quilicura)'!$A:$A,0)),H550&lt;=5000,INDEX('Pliegos Tarifarios (Quilicura)'!$I:$I,MATCH($B550,'Pliegos Tarifarios (Quilicura)'!$A:$A,0)),H550&gt;5000,INDEX('Pliegos Tarifarios (Quilicura)'!$J:$J,MATCH($B550,'Pliegos Tarifarios (Quilicura)'!$A:$A,0)))/1.19</f>
        <v>74.339143529411771</v>
      </c>
      <c r="R550" s="19">
        <f>INDEX('Pliegos Tarifarios (Quilicura)'!$K:$K,MATCH($B550,'Pliegos Tarifarios (Quilicura)'!$A:$A,0))</f>
        <v>723.17600000000004</v>
      </c>
      <c r="S550" s="21">
        <f t="shared" si="27"/>
        <v>22428.03780982941</v>
      </c>
      <c r="T550" s="21">
        <f t="shared" si="28"/>
        <v>4261.3271838675882</v>
      </c>
      <c r="U550" s="19">
        <v>0</v>
      </c>
      <c r="V550" s="21">
        <f t="shared" si="29"/>
        <v>26689.364993696996</v>
      </c>
    </row>
    <row r="551" spans="1:22" x14ac:dyDescent="0.3">
      <c r="A551" s="7" t="s">
        <v>147</v>
      </c>
      <c r="B551" s="7">
        <v>8</v>
      </c>
      <c r="C551" s="8" t="s">
        <v>186</v>
      </c>
      <c r="D551" s="7" t="s">
        <v>248</v>
      </c>
      <c r="E551" s="7" t="s">
        <v>121</v>
      </c>
      <c r="F551" s="8" t="s">
        <v>249</v>
      </c>
      <c r="G551" s="7" t="s">
        <v>30</v>
      </c>
      <c r="H551" s="9">
        <v>112.6288</v>
      </c>
      <c r="I551" s="9">
        <v>0.30380000000000001</v>
      </c>
      <c r="J551" s="9">
        <v>0.30380000000000001</v>
      </c>
      <c r="K551" s="10">
        <v>1</v>
      </c>
      <c r="L551" s="9">
        <v>3.63</v>
      </c>
      <c r="M551" s="19">
        <f>H551*INDEX('Pliegos Tarifarios (Quilicura)'!$B:$B,MATCH($B551,'Pliegos Tarifarios (Quilicura)'!$A:$A,0))</f>
        <v>14840.3085744</v>
      </c>
      <c r="N551" s="19">
        <f>I551*INDEX('Pliegos Tarifarios (Quilicura)'!$C:$C,MATCH($B551,'Pliegos Tarifarios (Quilicura)'!$A:$A,0))</f>
        <v>1033.1548374000001</v>
      </c>
      <c r="O551" s="19">
        <f>J551*INDEX('Pliegos Tarifarios (Quilicura)'!$D:$D,MATCH($B551,'Pliegos Tarifarios (Quilicura)'!$A:$A,0))</f>
        <v>4394.0583890000007</v>
      </c>
      <c r="P551" s="19">
        <f>H551*INDEX('Pliegos Tarifarios (Quilicura)'!$E:$E,MATCH($B551,'Pliegos Tarifarios (Quilicura)'!$A:$A,0))</f>
        <v>1466.8774911999999</v>
      </c>
      <c r="Q551" s="19" cm="1">
        <f t="array" ref="Q551">H551*_xlfn.IFS(H551&lt;=350,INDEX('Pliegos Tarifarios (Quilicura)'!$F:$F,MATCH($B551,'Pliegos Tarifarios (Quilicura)'!$A:$A,0)),H551&lt;=500,INDEX('Pliegos Tarifarios (Quilicura)'!$G:$G,MATCH($B551,'Pliegos Tarifarios (Quilicura)'!$A:$A,0)),H551&lt;=1000,INDEX('Pliegos Tarifarios (Quilicura)'!$H:$H,MATCH($B551,'Pliegos Tarifarios (Quilicura)'!$A:$A,0)),H551&lt;=5000,INDEX('Pliegos Tarifarios (Quilicura)'!$I:$I,MATCH($B551,'Pliegos Tarifarios (Quilicura)'!$A:$A,0)),H551&gt;5000,INDEX('Pliegos Tarifarios (Quilicura)'!$J:$J,MATCH($B551,'Pliegos Tarifarios (Quilicura)'!$A:$A,0)))/1.19</f>
        <v>74.202503529411771</v>
      </c>
      <c r="R551" s="19">
        <f>INDEX('Pliegos Tarifarios (Quilicura)'!$K:$K,MATCH($B551,'Pliegos Tarifarios (Quilicura)'!$A:$A,0))</f>
        <v>723.17600000000004</v>
      </c>
      <c r="S551" s="21">
        <f t="shared" si="27"/>
        <v>22531.777795529411</v>
      </c>
      <c r="T551" s="21">
        <f t="shared" si="28"/>
        <v>4281.0377811505878</v>
      </c>
      <c r="U551" s="19">
        <v>0</v>
      </c>
      <c r="V551" s="21">
        <f t="shared" si="29"/>
        <v>26812.815576679997</v>
      </c>
    </row>
    <row r="552" spans="1:22" x14ac:dyDescent="0.3">
      <c r="A552" s="7" t="s">
        <v>147</v>
      </c>
      <c r="B552" s="7">
        <v>8</v>
      </c>
      <c r="C552" s="8" t="s">
        <v>186</v>
      </c>
      <c r="D552" s="7" t="s">
        <v>250</v>
      </c>
      <c r="E552" s="7" t="s">
        <v>121</v>
      </c>
      <c r="F552" s="8" t="s">
        <v>251</v>
      </c>
      <c r="G552" s="7" t="s">
        <v>30</v>
      </c>
      <c r="H552" s="9">
        <v>112.807</v>
      </c>
      <c r="I552" s="9">
        <v>0.3029</v>
      </c>
      <c r="J552" s="9">
        <v>0.29920000000000002</v>
      </c>
      <c r="K552" s="10">
        <v>0.98778474744139988</v>
      </c>
      <c r="L552" s="9">
        <v>3.64</v>
      </c>
      <c r="M552" s="19">
        <f>H552*INDEX('Pliegos Tarifarios (Quilicura)'!$B:$B,MATCH($B552,'Pliegos Tarifarios (Quilicura)'!$A:$A,0))</f>
        <v>14863.788741</v>
      </c>
      <c r="N552" s="19">
        <f>I552*INDEX('Pliegos Tarifarios (Quilicura)'!$C:$C,MATCH($B552,'Pliegos Tarifarios (Quilicura)'!$A:$A,0))</f>
        <v>1030.0941417000001</v>
      </c>
      <c r="O552" s="19">
        <f>J552*INDEX('Pliegos Tarifarios (Quilicura)'!$D:$D,MATCH($B552,'Pliegos Tarifarios (Quilicura)'!$A:$A,0))</f>
        <v>4327.5255760000009</v>
      </c>
      <c r="P552" s="19">
        <f>H552*INDEX('Pliegos Tarifarios (Quilicura)'!$E:$E,MATCH($B552,'Pliegos Tarifarios (Quilicura)'!$A:$A,0))</f>
        <v>1469.1983679999998</v>
      </c>
      <c r="Q552" s="19" cm="1">
        <f t="array" ref="Q552">H552*_xlfn.IFS(H552&lt;=350,INDEX('Pliegos Tarifarios (Quilicura)'!$F:$F,MATCH($B552,'Pliegos Tarifarios (Quilicura)'!$A:$A,0)),H552&lt;=500,INDEX('Pliegos Tarifarios (Quilicura)'!$G:$G,MATCH($B552,'Pliegos Tarifarios (Quilicura)'!$A:$A,0)),H552&lt;=1000,INDEX('Pliegos Tarifarios (Quilicura)'!$H:$H,MATCH($B552,'Pliegos Tarifarios (Quilicura)'!$A:$A,0)),H552&lt;=5000,INDEX('Pliegos Tarifarios (Quilicura)'!$I:$I,MATCH($B552,'Pliegos Tarifarios (Quilicura)'!$A:$A,0)),H552&gt;5000,INDEX('Pliegos Tarifarios (Quilicura)'!$J:$J,MATCH($B552,'Pliegos Tarifarios (Quilicura)'!$A:$A,0)))/1.19</f>
        <v>74.319905882352955</v>
      </c>
      <c r="R552" s="19">
        <f>INDEX('Pliegos Tarifarios (Quilicura)'!$K:$K,MATCH($B552,'Pliegos Tarifarios (Quilicura)'!$A:$A,0))</f>
        <v>723.17600000000004</v>
      </c>
      <c r="S552" s="21">
        <f t="shared" si="27"/>
        <v>22488.102732582352</v>
      </c>
      <c r="T552" s="21">
        <f t="shared" si="28"/>
        <v>4272.7395191906471</v>
      </c>
      <c r="U552" s="19">
        <v>0</v>
      </c>
      <c r="V552" s="21">
        <f t="shared" si="29"/>
        <v>26760.842251773</v>
      </c>
    </row>
    <row r="553" spans="1:22" x14ac:dyDescent="0.3">
      <c r="A553" s="7" t="s">
        <v>147</v>
      </c>
      <c r="B553" s="7">
        <v>8</v>
      </c>
      <c r="C553" s="8" t="s">
        <v>186</v>
      </c>
      <c r="D553" s="7" t="s">
        <v>252</v>
      </c>
      <c r="E553" s="7" t="s">
        <v>121</v>
      </c>
      <c r="F553" s="8" t="s">
        <v>253</v>
      </c>
      <c r="G553" s="7" t="s">
        <v>30</v>
      </c>
      <c r="H553" s="9">
        <v>112.4678</v>
      </c>
      <c r="I553" s="9">
        <v>0.29699999999999999</v>
      </c>
      <c r="J553" s="9">
        <v>0.2944</v>
      </c>
      <c r="K553" s="10">
        <v>0.99124579124579126</v>
      </c>
      <c r="L553" s="9">
        <v>3.63</v>
      </c>
      <c r="M553" s="19">
        <f>H553*INDEX('Pliegos Tarifarios (Quilicura)'!$B:$B,MATCH($B553,'Pliegos Tarifarios (Quilicura)'!$A:$A,0))</f>
        <v>14819.0947314</v>
      </c>
      <c r="N553" s="19">
        <f>I553*INDEX('Pliegos Tarifarios (Quilicura)'!$C:$C,MATCH($B553,'Pliegos Tarifarios (Quilicura)'!$A:$A,0))</f>
        <v>1010.029581</v>
      </c>
      <c r="O553" s="19">
        <f>J553*INDEX('Pliegos Tarifarios (Quilicura)'!$D:$D,MATCH($B553,'Pliegos Tarifarios (Quilicura)'!$A:$A,0))</f>
        <v>4258.1000320000003</v>
      </c>
      <c r="P553" s="19">
        <f>H553*INDEX('Pliegos Tarifarios (Quilicura)'!$E:$E,MATCH($B553,'Pliegos Tarifarios (Quilicura)'!$A:$A,0))</f>
        <v>1464.7806271999998</v>
      </c>
      <c r="Q553" s="19" cm="1">
        <f t="array" ref="Q553">H553*_xlfn.IFS(H553&lt;=350,INDEX('Pliegos Tarifarios (Quilicura)'!$F:$F,MATCH($B553,'Pliegos Tarifarios (Quilicura)'!$A:$A,0)),H553&lt;=500,INDEX('Pliegos Tarifarios (Quilicura)'!$G:$G,MATCH($B553,'Pliegos Tarifarios (Quilicura)'!$A:$A,0)),H553&lt;=1000,INDEX('Pliegos Tarifarios (Quilicura)'!$H:$H,MATCH($B553,'Pliegos Tarifarios (Quilicura)'!$A:$A,0)),H553&lt;=5000,INDEX('Pliegos Tarifarios (Quilicura)'!$I:$I,MATCH($B553,'Pliegos Tarifarios (Quilicura)'!$A:$A,0)),H553&gt;5000,INDEX('Pliegos Tarifarios (Quilicura)'!$J:$J,MATCH($B553,'Pliegos Tarifarios (Quilicura)'!$A:$A,0)))/1.19</f>
        <v>74.096432941176474</v>
      </c>
      <c r="R553" s="19">
        <f>INDEX('Pliegos Tarifarios (Quilicura)'!$K:$K,MATCH($B553,'Pliegos Tarifarios (Quilicura)'!$A:$A,0))</f>
        <v>723.17600000000004</v>
      </c>
      <c r="S553" s="21">
        <f t="shared" si="27"/>
        <v>22349.277404541175</v>
      </c>
      <c r="T553" s="21">
        <f t="shared" si="28"/>
        <v>4246.362706862823</v>
      </c>
      <c r="U553" s="19">
        <v>0</v>
      </c>
      <c r="V553" s="21">
        <f t="shared" si="29"/>
        <v>26595.640111403998</v>
      </c>
    </row>
    <row r="554" spans="1:22" x14ac:dyDescent="0.3">
      <c r="A554" s="7" t="s">
        <v>147</v>
      </c>
      <c r="B554" s="7">
        <v>8</v>
      </c>
      <c r="C554" s="8" t="s">
        <v>186</v>
      </c>
      <c r="D554" s="7" t="s">
        <v>254</v>
      </c>
      <c r="E554" s="7" t="s">
        <v>121</v>
      </c>
      <c r="F554" s="8" t="s">
        <v>255</v>
      </c>
      <c r="G554" s="7" t="s">
        <v>30</v>
      </c>
      <c r="H554" s="9">
        <v>112.51390000000001</v>
      </c>
      <c r="I554" s="9">
        <v>0.2989</v>
      </c>
      <c r="J554" s="9">
        <v>0.2989</v>
      </c>
      <c r="K554" s="10">
        <v>1</v>
      </c>
      <c r="L554" s="9">
        <v>3.63</v>
      </c>
      <c r="M554" s="19">
        <f>H554*INDEX('Pliegos Tarifarios (Quilicura)'!$B:$B,MATCH($B554,'Pliegos Tarifarios (Quilicura)'!$A:$A,0))</f>
        <v>14825.169005700001</v>
      </c>
      <c r="N554" s="19">
        <f>I554*INDEX('Pliegos Tarifarios (Quilicura)'!$C:$C,MATCH($B554,'Pliegos Tarifarios (Quilicura)'!$A:$A,0))</f>
        <v>1016.4910497000001</v>
      </c>
      <c r="O554" s="19">
        <f>J554*INDEX('Pliegos Tarifarios (Quilicura)'!$D:$D,MATCH($B554,'Pliegos Tarifarios (Quilicura)'!$A:$A,0))</f>
        <v>4323.1864795000001</v>
      </c>
      <c r="P554" s="19">
        <f>H554*INDEX('Pliegos Tarifarios (Quilicura)'!$E:$E,MATCH($B554,'Pliegos Tarifarios (Quilicura)'!$A:$A,0))</f>
        <v>1465.3810335999999</v>
      </c>
      <c r="Q554" s="19" cm="1">
        <f t="array" ref="Q554">H554*_xlfn.IFS(H554&lt;=350,INDEX('Pliegos Tarifarios (Quilicura)'!$F:$F,MATCH($B554,'Pliegos Tarifarios (Quilicura)'!$A:$A,0)),H554&lt;=500,INDEX('Pliegos Tarifarios (Quilicura)'!$G:$G,MATCH($B554,'Pliegos Tarifarios (Quilicura)'!$A:$A,0)),H554&lt;=1000,INDEX('Pliegos Tarifarios (Quilicura)'!$H:$H,MATCH($B554,'Pliegos Tarifarios (Quilicura)'!$A:$A,0)),H554&lt;=5000,INDEX('Pliegos Tarifarios (Quilicura)'!$I:$I,MATCH($B554,'Pliegos Tarifarios (Quilicura)'!$A:$A,0)),H554&gt;5000,INDEX('Pliegos Tarifarios (Quilicura)'!$J:$J,MATCH($B554,'Pliegos Tarifarios (Quilicura)'!$A:$A,0)))/1.19</f>
        <v>74.126804705882364</v>
      </c>
      <c r="R554" s="19">
        <f>INDEX('Pliegos Tarifarios (Quilicura)'!$K:$K,MATCH($B554,'Pliegos Tarifarios (Quilicura)'!$A:$A,0))</f>
        <v>723.17600000000004</v>
      </c>
      <c r="S554" s="21">
        <f t="shared" si="27"/>
        <v>22427.530373205886</v>
      </c>
      <c r="T554" s="21">
        <f t="shared" si="28"/>
        <v>4261.2307709091183</v>
      </c>
      <c r="U554" s="19">
        <v>0</v>
      </c>
      <c r="V554" s="21">
        <f t="shared" si="29"/>
        <v>26688.761144115004</v>
      </c>
    </row>
    <row r="555" spans="1:22" x14ac:dyDescent="0.3">
      <c r="A555" s="7" t="s">
        <v>147</v>
      </c>
      <c r="B555" s="7">
        <v>8</v>
      </c>
      <c r="C555" s="8" t="s">
        <v>186</v>
      </c>
      <c r="D555" s="7" t="s">
        <v>256</v>
      </c>
      <c r="E555" s="7" t="s">
        <v>121</v>
      </c>
      <c r="F555" s="8" t="s">
        <v>257</v>
      </c>
      <c r="G555" s="7" t="s">
        <v>30</v>
      </c>
      <c r="H555" s="9">
        <v>112.64790000000001</v>
      </c>
      <c r="I555" s="9">
        <v>0.30430000000000001</v>
      </c>
      <c r="J555" s="9">
        <v>0.30270000000000002</v>
      </c>
      <c r="K555" s="10">
        <v>0.99474203089056856</v>
      </c>
      <c r="L555" s="9">
        <v>3.63</v>
      </c>
      <c r="M555" s="19">
        <f>H555*INDEX('Pliegos Tarifarios (Quilicura)'!$B:$B,MATCH($B555,'Pliegos Tarifarios (Quilicura)'!$A:$A,0))</f>
        <v>14842.825247700002</v>
      </c>
      <c r="N555" s="19">
        <f>I555*INDEX('Pliegos Tarifarios (Quilicura)'!$C:$C,MATCH($B555,'Pliegos Tarifarios (Quilicura)'!$A:$A,0))</f>
        <v>1034.8552239000001</v>
      </c>
      <c r="O555" s="19">
        <f>J555*INDEX('Pliegos Tarifarios (Quilicura)'!$D:$D,MATCH($B555,'Pliegos Tarifarios (Quilicura)'!$A:$A,0))</f>
        <v>4378.1483685000003</v>
      </c>
      <c r="P555" s="19">
        <f>H555*INDEX('Pliegos Tarifarios (Quilicura)'!$E:$E,MATCH($B555,'Pliegos Tarifarios (Quilicura)'!$A:$A,0))</f>
        <v>1467.1262495999999</v>
      </c>
      <c r="Q555" s="19" cm="1">
        <f t="array" ref="Q555">H555*_xlfn.IFS(H555&lt;=350,INDEX('Pliegos Tarifarios (Quilicura)'!$F:$F,MATCH($B555,'Pliegos Tarifarios (Quilicura)'!$A:$A,0)),H555&lt;=500,INDEX('Pliegos Tarifarios (Quilicura)'!$G:$G,MATCH($B555,'Pliegos Tarifarios (Quilicura)'!$A:$A,0)),H555&lt;=1000,INDEX('Pliegos Tarifarios (Quilicura)'!$H:$H,MATCH($B555,'Pliegos Tarifarios (Quilicura)'!$A:$A,0)),H555&lt;=5000,INDEX('Pliegos Tarifarios (Quilicura)'!$I:$I,MATCH($B555,'Pliegos Tarifarios (Quilicura)'!$A:$A,0)),H555&gt;5000,INDEX('Pliegos Tarifarios (Quilicura)'!$J:$J,MATCH($B555,'Pliegos Tarifarios (Quilicura)'!$A:$A,0)))/1.19</f>
        <v>74.215087058823542</v>
      </c>
      <c r="R555" s="19">
        <f>INDEX('Pliegos Tarifarios (Quilicura)'!$K:$K,MATCH($B555,'Pliegos Tarifarios (Quilicura)'!$A:$A,0))</f>
        <v>723.17600000000004</v>
      </c>
      <c r="S555" s="21">
        <f t="shared" si="27"/>
        <v>22520.346176758823</v>
      </c>
      <c r="T555" s="21">
        <f t="shared" si="28"/>
        <v>4278.8657735841762</v>
      </c>
      <c r="U555" s="19">
        <v>0</v>
      </c>
      <c r="V555" s="21">
        <f t="shared" si="29"/>
        <v>26799.211950343</v>
      </c>
    </row>
    <row r="556" spans="1:22" x14ac:dyDescent="0.3">
      <c r="A556" s="7" t="s">
        <v>147</v>
      </c>
      <c r="B556" s="7">
        <v>8</v>
      </c>
      <c r="C556" s="8" t="s">
        <v>186</v>
      </c>
      <c r="D556" s="7" t="s">
        <v>258</v>
      </c>
      <c r="E556" s="7" t="s">
        <v>121</v>
      </c>
      <c r="F556" s="8" t="s">
        <v>259</v>
      </c>
      <c r="G556" s="7" t="s">
        <v>30</v>
      </c>
      <c r="H556" s="9">
        <v>112.68519999999999</v>
      </c>
      <c r="I556" s="9">
        <v>0.30009999999999998</v>
      </c>
      <c r="J556" s="9">
        <v>0.29959999999999998</v>
      </c>
      <c r="K556" s="10">
        <v>0.99833388870376538</v>
      </c>
      <c r="L556" s="9">
        <v>3.64</v>
      </c>
      <c r="M556" s="19">
        <f>H556*INDEX('Pliegos Tarifarios (Quilicura)'!$B:$B,MATCH($B556,'Pliegos Tarifarios (Quilicura)'!$A:$A,0))</f>
        <v>14847.740007599999</v>
      </c>
      <c r="N556" s="19">
        <f>I556*INDEX('Pliegos Tarifarios (Quilicura)'!$C:$C,MATCH($B556,'Pliegos Tarifarios (Quilicura)'!$A:$A,0))</f>
        <v>1020.5719773</v>
      </c>
      <c r="O556" s="19">
        <f>J556*INDEX('Pliegos Tarifarios (Quilicura)'!$D:$D,MATCH($B556,'Pliegos Tarifarios (Quilicura)'!$A:$A,0))</f>
        <v>4333.3110379999998</v>
      </c>
      <c r="P556" s="19">
        <f>H556*INDEX('Pliegos Tarifarios (Quilicura)'!$E:$E,MATCH($B556,'Pliegos Tarifarios (Quilicura)'!$A:$A,0))</f>
        <v>1467.6120447999999</v>
      </c>
      <c r="Q556" s="19" cm="1">
        <f t="array" ref="Q556">H556*_xlfn.IFS(H556&lt;=350,INDEX('Pliegos Tarifarios (Quilicura)'!$F:$F,MATCH($B556,'Pliegos Tarifarios (Quilicura)'!$A:$A,0)),H556&lt;=500,INDEX('Pliegos Tarifarios (Quilicura)'!$G:$G,MATCH($B556,'Pliegos Tarifarios (Quilicura)'!$A:$A,0)),H556&lt;=1000,INDEX('Pliegos Tarifarios (Quilicura)'!$H:$H,MATCH($B556,'Pliegos Tarifarios (Quilicura)'!$A:$A,0)),H556&lt;=5000,INDEX('Pliegos Tarifarios (Quilicura)'!$I:$I,MATCH($B556,'Pliegos Tarifarios (Quilicura)'!$A:$A,0)),H556&gt;5000,INDEX('Pliegos Tarifarios (Quilicura)'!$J:$J,MATCH($B556,'Pliegos Tarifarios (Quilicura)'!$A:$A,0)))/1.19</f>
        <v>74.239661176470591</v>
      </c>
      <c r="R556" s="19">
        <f>INDEX('Pliegos Tarifarios (Quilicura)'!$K:$K,MATCH($B556,'Pliegos Tarifarios (Quilicura)'!$A:$A,0))</f>
        <v>723.17600000000004</v>
      </c>
      <c r="S556" s="21">
        <f t="shared" si="27"/>
        <v>22466.65072887647</v>
      </c>
      <c r="T556" s="21">
        <f t="shared" si="28"/>
        <v>4268.6636384865296</v>
      </c>
      <c r="U556" s="19">
        <v>0</v>
      </c>
      <c r="V556" s="21">
        <f t="shared" si="29"/>
        <v>26735.314367363</v>
      </c>
    </row>
    <row r="557" spans="1:22" x14ac:dyDescent="0.3">
      <c r="A557" s="7" t="s">
        <v>147</v>
      </c>
      <c r="B557" s="7">
        <v>8</v>
      </c>
      <c r="C557" s="8" t="s">
        <v>186</v>
      </c>
      <c r="D557" s="7" t="s">
        <v>260</v>
      </c>
      <c r="E557" s="7" t="s">
        <v>121</v>
      </c>
      <c r="F557" s="8" t="s">
        <v>261</v>
      </c>
      <c r="G557" s="7" t="s">
        <v>16</v>
      </c>
      <c r="H557" s="9">
        <v>926.42759999999998</v>
      </c>
      <c r="I557" s="9">
        <v>2.516</v>
      </c>
      <c r="J557" s="9">
        <v>2.4786999999999999</v>
      </c>
      <c r="K557" s="10">
        <v>0.98517488076311599</v>
      </c>
      <c r="L557" s="9">
        <v>29.88</v>
      </c>
      <c r="M557" s="19">
        <f>H557*INDEX('Pliegos Tarifarios (Quilicura)'!$B:$B,MATCH($B557,'Pliegos Tarifarios (Quilicura)'!$A:$A,0))</f>
        <v>122068.87985880001</v>
      </c>
      <c r="N557" s="19">
        <f>I557*INDEX('Pliegos Tarifarios (Quilicura)'!$C:$C,MATCH($B557,'Pliegos Tarifarios (Quilicura)'!$A:$A,0))</f>
        <v>8556.3448680000001</v>
      </c>
      <c r="O557" s="19">
        <f>J557*INDEX('Pliegos Tarifarios (Quilicura)'!$D:$D,MATCH($B557,'Pliegos Tarifarios (Quilicura)'!$A:$A,0))</f>
        <v>35851.061648499999</v>
      </c>
      <c r="P557" s="19">
        <f>H557*INDEX('Pliegos Tarifarios (Quilicura)'!$E:$E,MATCH($B557,'Pliegos Tarifarios (Quilicura)'!$A:$A,0))</f>
        <v>12065.793062399998</v>
      </c>
      <c r="Q557" s="19" cm="1">
        <f t="array" ref="Q557">H557*_xlfn.IFS(H557&lt;=350,INDEX('Pliegos Tarifarios (Quilicura)'!$F:$F,MATCH($B557,'Pliegos Tarifarios (Quilicura)'!$A:$A,0)),H557&lt;=500,INDEX('Pliegos Tarifarios (Quilicura)'!$G:$G,MATCH($B557,'Pliegos Tarifarios (Quilicura)'!$A:$A,0)),H557&lt;=1000,INDEX('Pliegos Tarifarios (Quilicura)'!$H:$H,MATCH($B557,'Pliegos Tarifarios (Quilicura)'!$A:$A,0)),H557&lt;=5000,INDEX('Pliegos Tarifarios (Quilicura)'!$I:$I,MATCH($B557,'Pliegos Tarifarios (Quilicura)'!$A:$A,0)),H557&gt;5000,INDEX('Pliegos Tarifarios (Quilicura)'!$J:$J,MATCH($B557,'Pliegos Tarifarios (Quilicura)'!$A:$A,0)))/1.19</f>
        <v>2172.8230517647066</v>
      </c>
      <c r="R557" s="19">
        <f>INDEX('Pliegos Tarifarios (Quilicura)'!$K:$K,MATCH($B557,'Pliegos Tarifarios (Quilicura)'!$A:$A,0))</f>
        <v>723.17600000000004</v>
      </c>
      <c r="S557" s="21">
        <f t="shared" si="27"/>
        <v>181438.07848946471</v>
      </c>
      <c r="T557" s="21">
        <f t="shared" si="28"/>
        <v>34473.234912998298</v>
      </c>
      <c r="U557" s="19">
        <v>0</v>
      </c>
      <c r="V557" s="21">
        <f t="shared" si="29"/>
        <v>215911.31340246301</v>
      </c>
    </row>
    <row r="558" spans="1:22" x14ac:dyDescent="0.3">
      <c r="A558" s="7" t="s">
        <v>147</v>
      </c>
      <c r="B558" s="7">
        <v>8</v>
      </c>
      <c r="C558" s="8" t="s">
        <v>186</v>
      </c>
      <c r="D558" s="7" t="s">
        <v>262</v>
      </c>
      <c r="E558" s="7" t="s">
        <v>121</v>
      </c>
      <c r="F558" s="8" t="s">
        <v>263</v>
      </c>
      <c r="G558" s="7" t="s">
        <v>16</v>
      </c>
      <c r="H558" s="9">
        <v>925.18610000000001</v>
      </c>
      <c r="I558" s="9">
        <v>2.4807999999999999</v>
      </c>
      <c r="J558" s="9">
        <v>2.4807999999999999</v>
      </c>
      <c r="K558" s="10">
        <v>1</v>
      </c>
      <c r="L558" s="9">
        <v>29.84</v>
      </c>
      <c r="M558" s="19">
        <f>H558*INDEX('Pliegos Tarifarios (Quilicura)'!$B:$B,MATCH($B558,'Pliegos Tarifarios (Quilicura)'!$A:$A,0))</f>
        <v>121905.29609430001</v>
      </c>
      <c r="N558" s="19">
        <f>I558*INDEX('Pliegos Tarifarios (Quilicura)'!$C:$C,MATCH($B558,'Pliegos Tarifarios (Quilicura)'!$A:$A,0))</f>
        <v>8436.6376584000009</v>
      </c>
      <c r="O558" s="19">
        <f>J558*INDEX('Pliegos Tarifarios (Quilicura)'!$D:$D,MATCH($B558,'Pliegos Tarifarios (Quilicura)'!$A:$A,0))</f>
        <v>35881.435323999998</v>
      </c>
      <c r="P558" s="19">
        <f>H558*INDEX('Pliegos Tarifarios (Quilicura)'!$E:$E,MATCH($B558,'Pliegos Tarifarios (Quilicura)'!$A:$A,0))</f>
        <v>12049.6237664</v>
      </c>
      <c r="Q558" s="19" cm="1">
        <f t="array" ref="Q558">H558*_xlfn.IFS(H558&lt;=350,INDEX('Pliegos Tarifarios (Quilicura)'!$F:$F,MATCH($B558,'Pliegos Tarifarios (Quilicura)'!$A:$A,0)),H558&lt;=500,INDEX('Pliegos Tarifarios (Quilicura)'!$G:$G,MATCH($B558,'Pliegos Tarifarios (Quilicura)'!$A:$A,0)),H558&lt;=1000,INDEX('Pliegos Tarifarios (Quilicura)'!$H:$H,MATCH($B558,'Pliegos Tarifarios (Quilicura)'!$A:$A,0)),H558&lt;=5000,INDEX('Pliegos Tarifarios (Quilicura)'!$I:$I,MATCH($B558,'Pliegos Tarifarios (Quilicura)'!$A:$A,0)),H558&gt;5000,INDEX('Pliegos Tarifarios (Quilicura)'!$J:$J,MATCH($B558,'Pliegos Tarifarios (Quilicura)'!$A:$A,0)))/1.19</f>
        <v>2169.9112647899165</v>
      </c>
      <c r="R558" s="19">
        <f>INDEX('Pliegos Tarifarios (Quilicura)'!$K:$K,MATCH($B558,'Pliegos Tarifarios (Quilicura)'!$A:$A,0))</f>
        <v>723.17600000000004</v>
      </c>
      <c r="S558" s="21">
        <f t="shared" si="27"/>
        <v>181166.08010788992</v>
      </c>
      <c r="T558" s="21">
        <f t="shared" si="28"/>
        <v>34421.555220499089</v>
      </c>
      <c r="U558" s="19">
        <v>0</v>
      </c>
      <c r="V558" s="21">
        <f t="shared" si="29"/>
        <v>215587.63532838901</v>
      </c>
    </row>
    <row r="559" spans="1:22" x14ac:dyDescent="0.3">
      <c r="A559" s="7" t="s">
        <v>147</v>
      </c>
      <c r="B559" s="7">
        <v>8</v>
      </c>
      <c r="C559" s="8" t="s">
        <v>186</v>
      </c>
      <c r="D559" s="7" t="s">
        <v>264</v>
      </c>
      <c r="E559" s="7" t="s">
        <v>121</v>
      </c>
      <c r="F559" s="8" t="s">
        <v>265</v>
      </c>
      <c r="G559" s="7" t="s">
        <v>16</v>
      </c>
      <c r="H559" s="9">
        <v>752.13070000000005</v>
      </c>
      <c r="I559" s="9">
        <v>2.0011999999999999</v>
      </c>
      <c r="J559" s="9">
        <v>2.0011999999999999</v>
      </c>
      <c r="K559" s="10">
        <v>1</v>
      </c>
      <c r="L559" s="9">
        <v>24.26</v>
      </c>
      <c r="M559" s="19">
        <f>H559*INDEX('Pliegos Tarifarios (Quilicura)'!$B:$B,MATCH($B559,'Pliegos Tarifarios (Quilicura)'!$A:$A,0))</f>
        <v>99102.997424100016</v>
      </c>
      <c r="N559" s="19">
        <f>I559*INDEX('Pliegos Tarifarios (Quilicura)'!$C:$C,MATCH($B559,'Pliegos Tarifarios (Quilicura)'!$A:$A,0))</f>
        <v>6805.6269276000003</v>
      </c>
      <c r="O559" s="19">
        <f>J559*INDEX('Pliegos Tarifarios (Quilicura)'!$D:$D,MATCH($B559,'Pliegos Tarifarios (Quilicura)'!$A:$A,0))</f>
        <v>28944.666386000001</v>
      </c>
      <c r="P559" s="19">
        <f>H559*INDEX('Pliegos Tarifarios (Quilicura)'!$E:$E,MATCH($B559,'Pliegos Tarifarios (Quilicura)'!$A:$A,0))</f>
        <v>9795.7502368000005</v>
      </c>
      <c r="Q559" s="19" cm="1">
        <f t="array" ref="Q559">H559*_xlfn.IFS(H559&lt;=350,INDEX('Pliegos Tarifarios (Quilicura)'!$F:$F,MATCH($B559,'Pliegos Tarifarios (Quilicura)'!$A:$A,0)),H559&lt;=500,INDEX('Pliegos Tarifarios (Quilicura)'!$G:$G,MATCH($B559,'Pliegos Tarifarios (Quilicura)'!$A:$A,0)),H559&lt;=1000,INDEX('Pliegos Tarifarios (Quilicura)'!$H:$H,MATCH($B559,'Pliegos Tarifarios (Quilicura)'!$A:$A,0)),H559&lt;=5000,INDEX('Pliegos Tarifarios (Quilicura)'!$I:$I,MATCH($B559,'Pliegos Tarifarios (Quilicura)'!$A:$A,0)),H559&gt;5000,INDEX('Pliegos Tarifarios (Quilicura)'!$J:$J,MATCH($B559,'Pliegos Tarifarios (Quilicura)'!$A:$A,0)))/1.19</f>
        <v>1764.0309106722691</v>
      </c>
      <c r="R559" s="19">
        <f>INDEX('Pliegos Tarifarios (Quilicura)'!$K:$K,MATCH($B559,'Pliegos Tarifarios (Quilicura)'!$A:$A,0))</f>
        <v>723.17600000000004</v>
      </c>
      <c r="S559" s="21">
        <f t="shared" si="27"/>
        <v>147136.24788517228</v>
      </c>
      <c r="T559" s="21">
        <f t="shared" si="28"/>
        <v>27955.887098182735</v>
      </c>
      <c r="U559" s="19">
        <v>0</v>
      </c>
      <c r="V559" s="21">
        <f t="shared" si="29"/>
        <v>175092.134983355</v>
      </c>
    </row>
    <row r="560" spans="1:22" x14ac:dyDescent="0.3">
      <c r="A560" s="7" t="s">
        <v>147</v>
      </c>
      <c r="B560" s="7">
        <v>8</v>
      </c>
      <c r="C560" s="8" t="s">
        <v>186</v>
      </c>
      <c r="D560" s="7" t="s">
        <v>266</v>
      </c>
      <c r="E560" s="7" t="s">
        <v>121</v>
      </c>
      <c r="F560" s="8" t="s">
        <v>267</v>
      </c>
      <c r="G560" s="7" t="s">
        <v>16</v>
      </c>
      <c r="H560" s="9">
        <v>308.60809999999998</v>
      </c>
      <c r="I560" s="9">
        <v>0.82709999999999995</v>
      </c>
      <c r="J560" s="9">
        <v>0.82679999999999998</v>
      </c>
      <c r="K560" s="10">
        <v>0.99963728690605735</v>
      </c>
      <c r="L560" s="9">
        <v>9.9600000000000009</v>
      </c>
      <c r="M560" s="19">
        <f>H560*INDEX('Pliegos Tarifarios (Quilicura)'!$B:$B,MATCH($B560,'Pliegos Tarifarios (Quilicura)'!$A:$A,0))</f>
        <v>40663.129080300001</v>
      </c>
      <c r="N560" s="19">
        <f>I560*INDEX('Pliegos Tarifarios (Quilicura)'!$C:$C,MATCH($B560,'Pliegos Tarifarios (Quilicura)'!$A:$A,0))</f>
        <v>2812.7793483</v>
      </c>
      <c r="O560" s="19">
        <f>J560*INDEX('Pliegos Tarifarios (Quilicura)'!$D:$D,MATCH($B560,'Pliegos Tarifarios (Quilicura)'!$A:$A,0))</f>
        <v>11958.549954</v>
      </c>
      <c r="P560" s="19">
        <f>H560*INDEX('Pliegos Tarifarios (Quilicura)'!$E:$E,MATCH($B560,'Pliegos Tarifarios (Quilicura)'!$A:$A,0))</f>
        <v>4019.3118943999993</v>
      </c>
      <c r="Q560" s="19" cm="1">
        <f t="array" ref="Q560">H560*_xlfn.IFS(H560&lt;=350,INDEX('Pliegos Tarifarios (Quilicura)'!$F:$F,MATCH($B560,'Pliegos Tarifarios (Quilicura)'!$A:$A,0)),H560&lt;=500,INDEX('Pliegos Tarifarios (Quilicura)'!$G:$G,MATCH($B560,'Pliegos Tarifarios (Quilicura)'!$A:$A,0)),H560&lt;=1000,INDEX('Pliegos Tarifarios (Quilicura)'!$H:$H,MATCH($B560,'Pliegos Tarifarios (Quilicura)'!$A:$A,0)),H560&lt;=5000,INDEX('Pliegos Tarifarios (Quilicura)'!$I:$I,MATCH($B560,'Pliegos Tarifarios (Quilicura)'!$A:$A,0)),H560&gt;5000,INDEX('Pliegos Tarifarios (Quilicura)'!$J:$J,MATCH($B560,'Pliegos Tarifarios (Quilicura)'!$A:$A,0)))/1.19</f>
        <v>203.31827764705884</v>
      </c>
      <c r="R560" s="19">
        <f>INDEX('Pliegos Tarifarios (Quilicura)'!$K:$K,MATCH($B560,'Pliegos Tarifarios (Quilicura)'!$A:$A,0))</f>
        <v>723.17600000000004</v>
      </c>
      <c r="S560" s="21">
        <f t="shared" si="27"/>
        <v>60380.264554647059</v>
      </c>
      <c r="T560" s="21">
        <f t="shared" si="28"/>
        <v>11472.250265382942</v>
      </c>
      <c r="U560" s="19">
        <v>0</v>
      </c>
      <c r="V560" s="21">
        <f t="shared" si="29"/>
        <v>71852.514820030003</v>
      </c>
    </row>
    <row r="561" spans="1:22" x14ac:dyDescent="0.3">
      <c r="A561" s="7" t="s">
        <v>147</v>
      </c>
      <c r="B561" s="7">
        <v>8</v>
      </c>
      <c r="C561" s="8" t="s">
        <v>186</v>
      </c>
      <c r="D561" s="7" t="s">
        <v>268</v>
      </c>
      <c r="E561" s="7" t="s">
        <v>121</v>
      </c>
      <c r="F561" s="8" t="s">
        <v>269</v>
      </c>
      <c r="G561" s="7" t="s">
        <v>16</v>
      </c>
      <c r="H561" s="9">
        <v>234.02510000000001</v>
      </c>
      <c r="I561" s="9">
        <v>0.64280000000000004</v>
      </c>
      <c r="J561" s="9">
        <v>0.63090000000000002</v>
      </c>
      <c r="K561" s="10">
        <v>0.98148724331051651</v>
      </c>
      <c r="L561" s="9">
        <v>7.55</v>
      </c>
      <c r="M561" s="19">
        <f>H561*INDEX('Pliegos Tarifarios (Quilicura)'!$B:$B,MATCH($B561,'Pliegos Tarifarios (Quilicura)'!$A:$A,0))</f>
        <v>30835.849251300002</v>
      </c>
      <c r="N561" s="19">
        <f>I561*INDEX('Pliegos Tarifarios (Quilicura)'!$C:$C,MATCH($B561,'Pliegos Tarifarios (Quilicura)'!$A:$A,0))</f>
        <v>2186.0168844000004</v>
      </c>
      <c r="O561" s="19">
        <f>J561*INDEX('Pliegos Tarifarios (Quilicura)'!$D:$D,MATCH($B561,'Pliegos Tarifarios (Quilicura)'!$A:$A,0))</f>
        <v>9125.1199395000003</v>
      </c>
      <c r="P561" s="19">
        <f>H561*INDEX('Pliegos Tarifarios (Quilicura)'!$E:$E,MATCH($B561,'Pliegos Tarifarios (Quilicura)'!$A:$A,0))</f>
        <v>3047.9429024000001</v>
      </c>
      <c r="Q561" s="19" cm="1">
        <f t="array" ref="Q561">H561*_xlfn.IFS(H561&lt;=350,INDEX('Pliegos Tarifarios (Quilicura)'!$F:$F,MATCH($B561,'Pliegos Tarifarios (Quilicura)'!$A:$A,0)),H561&lt;=500,INDEX('Pliegos Tarifarios (Quilicura)'!$G:$G,MATCH($B561,'Pliegos Tarifarios (Quilicura)'!$A:$A,0)),H561&lt;=1000,INDEX('Pliegos Tarifarios (Quilicura)'!$H:$H,MATCH($B561,'Pliegos Tarifarios (Quilicura)'!$A:$A,0)),H561&lt;=5000,INDEX('Pliegos Tarifarios (Quilicura)'!$I:$I,MATCH($B561,'Pliegos Tarifarios (Quilicura)'!$A:$A,0)),H561&gt;5000,INDEX('Pliegos Tarifarios (Quilicura)'!$J:$J,MATCH($B561,'Pliegos Tarifarios (Quilicura)'!$A:$A,0)))/1.19</f>
        <v>154.18124235294121</v>
      </c>
      <c r="R561" s="19">
        <f>INDEX('Pliegos Tarifarios (Quilicura)'!$K:$K,MATCH($B561,'Pliegos Tarifarios (Quilicura)'!$A:$A,0))</f>
        <v>723.17600000000004</v>
      </c>
      <c r="S561" s="21">
        <f t="shared" si="27"/>
        <v>46072.286219952941</v>
      </c>
      <c r="T561" s="21">
        <f t="shared" si="28"/>
        <v>8753.7343817910587</v>
      </c>
      <c r="U561" s="19">
        <v>0</v>
      </c>
      <c r="V561" s="21">
        <f t="shared" si="29"/>
        <v>54826.020601744</v>
      </c>
    </row>
    <row r="562" spans="1:22" x14ac:dyDescent="0.3">
      <c r="A562" s="7" t="s">
        <v>147</v>
      </c>
      <c r="B562" s="7">
        <v>8</v>
      </c>
      <c r="C562" s="8" t="s">
        <v>186</v>
      </c>
      <c r="D562" s="7" t="s">
        <v>270</v>
      </c>
      <c r="E562" s="7" t="s">
        <v>121</v>
      </c>
      <c r="F562" s="8" t="s">
        <v>271</v>
      </c>
      <c r="G562" s="7" t="s">
        <v>16</v>
      </c>
      <c r="H562" s="9">
        <v>102.76730000000001</v>
      </c>
      <c r="I562" s="9">
        <v>0.27550000000000002</v>
      </c>
      <c r="J562" s="9">
        <v>0.27510000000000001</v>
      </c>
      <c r="K562" s="10">
        <v>0.9985480943738656</v>
      </c>
      <c r="L562" s="9">
        <v>3.32</v>
      </c>
      <c r="M562" s="19">
        <f>H562*INDEX('Pliegos Tarifarios (Quilicura)'!$B:$B,MATCH($B562,'Pliegos Tarifarios (Quilicura)'!$A:$A,0))</f>
        <v>13540.927749900002</v>
      </c>
      <c r="N562" s="19">
        <f>I562*INDEX('Pliegos Tarifarios (Quilicura)'!$C:$C,MATCH($B562,'Pliegos Tarifarios (Quilicura)'!$A:$A,0))</f>
        <v>936.91296150000016</v>
      </c>
      <c r="O562" s="19">
        <f>J562*INDEX('Pliegos Tarifarios (Quilicura)'!$D:$D,MATCH($B562,'Pliegos Tarifarios (Quilicura)'!$A:$A,0))</f>
        <v>3978.9514905000005</v>
      </c>
      <c r="P562" s="19">
        <f>H562*INDEX('Pliegos Tarifarios (Quilicura)'!$E:$E,MATCH($B562,'Pliegos Tarifarios (Quilicura)'!$A:$A,0))</f>
        <v>1338.4413152</v>
      </c>
      <c r="Q562" s="19" cm="1">
        <f t="array" ref="Q562">H562*_xlfn.IFS(H562&lt;=350,INDEX('Pliegos Tarifarios (Quilicura)'!$F:$F,MATCH($B562,'Pliegos Tarifarios (Quilicura)'!$A:$A,0)),H562&lt;=500,INDEX('Pliegos Tarifarios (Quilicura)'!$G:$G,MATCH($B562,'Pliegos Tarifarios (Quilicura)'!$A:$A,0)),H562&lt;=1000,INDEX('Pliegos Tarifarios (Quilicura)'!$H:$H,MATCH($B562,'Pliegos Tarifarios (Quilicura)'!$A:$A,0)),H562&lt;=5000,INDEX('Pliegos Tarifarios (Quilicura)'!$I:$I,MATCH($B562,'Pliegos Tarifarios (Quilicura)'!$A:$A,0)),H562&gt;5000,INDEX('Pliegos Tarifarios (Quilicura)'!$J:$J,MATCH($B562,'Pliegos Tarifarios (Quilicura)'!$A:$A,0)))/1.19</f>
        <v>67.70551529411766</v>
      </c>
      <c r="R562" s="19">
        <f>INDEX('Pliegos Tarifarios (Quilicura)'!$K:$K,MATCH($B562,'Pliegos Tarifarios (Quilicura)'!$A:$A,0))</f>
        <v>723.17600000000004</v>
      </c>
      <c r="S562" s="21">
        <f t="shared" si="27"/>
        <v>20586.115032394122</v>
      </c>
      <c r="T562" s="21">
        <f t="shared" si="28"/>
        <v>3911.3618561548833</v>
      </c>
      <c r="U562" s="19">
        <v>0</v>
      </c>
      <c r="V562" s="21">
        <f t="shared" si="29"/>
        <v>24497.476888549005</v>
      </c>
    </row>
    <row r="563" spans="1:22" x14ac:dyDescent="0.3">
      <c r="A563" s="7" t="s">
        <v>147</v>
      </c>
      <c r="B563" s="7">
        <v>8</v>
      </c>
      <c r="C563" s="8" t="s">
        <v>186</v>
      </c>
      <c r="D563" s="7" t="s">
        <v>272</v>
      </c>
      <c r="E563" s="7" t="s">
        <v>121</v>
      </c>
      <c r="F563" s="8" t="s">
        <v>273</v>
      </c>
      <c r="G563" s="7" t="s">
        <v>16</v>
      </c>
      <c r="H563" s="9">
        <v>1709.4737</v>
      </c>
      <c r="I563" s="9">
        <v>4.6269999999999998</v>
      </c>
      <c r="J563" s="9">
        <v>4.6269999999999998</v>
      </c>
      <c r="K563" s="10">
        <v>1</v>
      </c>
      <c r="L563" s="9">
        <v>55.14</v>
      </c>
      <c r="M563" s="19">
        <f>H563*INDEX('Pliegos Tarifarios (Quilicura)'!$B:$B,MATCH($B563,'Pliegos Tarifarios (Quilicura)'!$A:$A,0))</f>
        <v>225245.3831331</v>
      </c>
      <c r="N563" s="19">
        <f>I563*INDEX('Pliegos Tarifarios (Quilicura)'!$C:$C,MATCH($B563,'Pliegos Tarifarios (Quilicura)'!$A:$A,0))</f>
        <v>15735.376671</v>
      </c>
      <c r="O563" s="19">
        <f>J563*INDEX('Pliegos Tarifarios (Quilicura)'!$D:$D,MATCH($B563,'Pliegos Tarifarios (Quilicura)'!$A:$A,0))</f>
        <v>66923.331684999997</v>
      </c>
      <c r="P563" s="19">
        <f>H563*INDEX('Pliegos Tarifarios (Quilicura)'!$E:$E,MATCH($B563,'Pliegos Tarifarios (Quilicura)'!$A:$A,0))</f>
        <v>22264.185468799998</v>
      </c>
      <c r="Q563" s="19" cm="1">
        <f t="array" ref="Q563">H563*_xlfn.IFS(H563&lt;=350,INDEX('Pliegos Tarifarios (Quilicura)'!$F:$F,MATCH($B563,'Pliegos Tarifarios (Quilicura)'!$A:$A,0)),H563&lt;=500,INDEX('Pliegos Tarifarios (Quilicura)'!$G:$G,MATCH($B563,'Pliegos Tarifarios (Quilicura)'!$A:$A,0)),H563&lt;=1000,INDEX('Pliegos Tarifarios (Quilicura)'!$H:$H,MATCH($B563,'Pliegos Tarifarios (Quilicura)'!$A:$A,0)),H563&lt;=5000,INDEX('Pliegos Tarifarios (Quilicura)'!$I:$I,MATCH($B563,'Pliegos Tarifarios (Quilicura)'!$A:$A,0)),H563&gt;5000,INDEX('Pliegos Tarifarios (Quilicura)'!$J:$J,MATCH($B563,'Pliegos Tarifarios (Quilicura)'!$A:$A,0)))/1.19</f>
        <v>5129.8576325210079</v>
      </c>
      <c r="R563" s="19">
        <f>INDEX('Pliegos Tarifarios (Quilicura)'!$K:$K,MATCH($B563,'Pliegos Tarifarios (Quilicura)'!$A:$A,0))</f>
        <v>723.17600000000004</v>
      </c>
      <c r="S563" s="21">
        <f t="shared" si="27"/>
        <v>336021.31059042102</v>
      </c>
      <c r="T563" s="21">
        <f t="shared" si="28"/>
        <v>63844.049012179996</v>
      </c>
      <c r="U563" s="19">
        <v>0</v>
      </c>
      <c r="V563" s="21">
        <f t="shared" si="29"/>
        <v>399865.35960260103</v>
      </c>
    </row>
    <row r="564" spans="1:22" x14ac:dyDescent="0.3">
      <c r="A564" s="3" t="s">
        <v>148</v>
      </c>
      <c r="B564" s="3">
        <v>9</v>
      </c>
      <c r="C564" s="4" t="s">
        <v>186</v>
      </c>
      <c r="D564" s="3" t="s">
        <v>187</v>
      </c>
      <c r="E564" s="3" t="s">
        <v>14</v>
      </c>
      <c r="F564" s="4" t="s">
        <v>15</v>
      </c>
      <c r="G564" s="3" t="s">
        <v>16</v>
      </c>
      <c r="H564" s="5">
        <v>10465.464400000001</v>
      </c>
      <c r="I564" s="5">
        <v>30.323</v>
      </c>
      <c r="J564" s="5">
        <v>28.989000000000001</v>
      </c>
      <c r="K564" s="6">
        <v>0.9560069913926722</v>
      </c>
      <c r="L564" s="5">
        <v>337.6</v>
      </c>
      <c r="M564" s="19">
        <f>H564*INDEX('Pliegos Tarifarios (Quilicura)'!$B:$B,MATCH($B564,'Pliegos Tarifarios (Quilicura)'!$A:$A,0))</f>
        <v>1378960.9857372001</v>
      </c>
      <c r="N564" s="19">
        <f>I564*INDEX('Pliegos Tarifarios (Quilicura)'!$C:$C,MATCH($B564,'Pliegos Tarifarios (Quilicura)'!$A:$A,0))</f>
        <v>104381.439037</v>
      </c>
      <c r="O564" s="19">
        <f>J564*INDEX('Pliegos Tarifarios (Quilicura)'!$D:$D,MATCH($B564,'Pliegos Tarifarios (Quilicura)'!$A:$A,0))</f>
        <v>420692.25252600003</v>
      </c>
      <c r="P564" s="19">
        <f>H564*INDEX('Pliegos Tarifarios (Quilicura)'!$E:$E,MATCH($B564,'Pliegos Tarifarios (Quilicura)'!$A:$A,0))</f>
        <v>136302.2083456</v>
      </c>
      <c r="Q564" s="19" cm="1">
        <f t="array" ref="Q564">H564*_xlfn.IFS(H564&lt;=350,INDEX('Pliegos Tarifarios (Quilicura)'!$F:$F,MATCH($B564,'Pliegos Tarifarios (Quilicura)'!$A:$A,0)),H564&lt;=500,INDEX('Pliegos Tarifarios (Quilicura)'!$G:$G,MATCH($B564,'Pliegos Tarifarios (Quilicura)'!$A:$A,0)),H564&lt;=1000,INDEX('Pliegos Tarifarios (Quilicura)'!$H:$H,MATCH($B564,'Pliegos Tarifarios (Quilicura)'!$A:$A,0)),H564&lt;=5000,INDEX('Pliegos Tarifarios (Quilicura)'!$I:$I,MATCH($B564,'Pliegos Tarifarios (Quilicura)'!$A:$A,0)),H564&gt;5000,INDEX('Pliegos Tarifarios (Quilicura)'!$J:$J,MATCH($B564,'Pliegos Tarifarios (Quilicura)'!$A:$A,0)))/1.19</f>
        <v>34342.55334621849</v>
      </c>
      <c r="R564" s="19">
        <f>INDEX('Pliegos Tarifarios (Quilicura)'!$K:$K,MATCH($B564,'Pliegos Tarifarios (Quilicura)'!$A:$A,0))</f>
        <v>729.50400000000002</v>
      </c>
      <c r="S564" s="21">
        <f t="shared" si="27"/>
        <v>2075408.9429920188</v>
      </c>
      <c r="T564" s="21">
        <f t="shared" si="28"/>
        <v>394327.69916848355</v>
      </c>
      <c r="U564" s="19">
        <v>0</v>
      </c>
      <c r="V564" s="21">
        <f t="shared" si="29"/>
        <v>2469736.6421605023</v>
      </c>
    </row>
    <row r="565" spans="1:22" x14ac:dyDescent="0.3">
      <c r="A565" s="3" t="s">
        <v>148</v>
      </c>
      <c r="B565" s="3">
        <v>9</v>
      </c>
      <c r="C565" s="4" t="s">
        <v>186</v>
      </c>
      <c r="D565" s="3" t="s">
        <v>188</v>
      </c>
      <c r="E565" s="3" t="s">
        <v>18</v>
      </c>
      <c r="F565" s="4" t="s">
        <v>19</v>
      </c>
      <c r="G565" s="3" t="s">
        <v>16</v>
      </c>
      <c r="H565" s="5">
        <v>5225.5261</v>
      </c>
      <c r="I565" s="5">
        <v>14.6897</v>
      </c>
      <c r="J565" s="5">
        <v>14.6897</v>
      </c>
      <c r="K565" s="6">
        <v>1</v>
      </c>
      <c r="L565" s="5">
        <v>168.57</v>
      </c>
      <c r="M565" s="19">
        <f>H565*INDEX('Pliegos Tarifarios (Quilicura)'!$B:$B,MATCH($B565,'Pliegos Tarifarios (Quilicura)'!$A:$A,0))</f>
        <v>688530.99551430007</v>
      </c>
      <c r="N565" s="19">
        <f>I565*INDEX('Pliegos Tarifarios (Quilicura)'!$C:$C,MATCH($B565,'Pliegos Tarifarios (Quilicura)'!$A:$A,0))</f>
        <v>50566.633414299999</v>
      </c>
      <c r="O565" s="19">
        <f>J565*INDEX('Pliegos Tarifarios (Quilicura)'!$D:$D,MATCH($B565,'Pliegos Tarifarios (Quilicura)'!$A:$A,0))</f>
        <v>213178.89481980001</v>
      </c>
      <c r="P565" s="19">
        <f>H565*INDEX('Pliegos Tarifarios (Quilicura)'!$E:$E,MATCH($B565,'Pliegos Tarifarios (Quilicura)'!$A:$A,0))</f>
        <v>68057.2519264</v>
      </c>
      <c r="Q565" s="19" cm="1">
        <f t="array" ref="Q565">H565*_xlfn.IFS(H565&lt;=350,INDEX('Pliegos Tarifarios (Quilicura)'!$F:$F,MATCH($B565,'Pliegos Tarifarios (Quilicura)'!$A:$A,0)),H565&lt;=500,INDEX('Pliegos Tarifarios (Quilicura)'!$G:$G,MATCH($B565,'Pliegos Tarifarios (Quilicura)'!$A:$A,0)),H565&lt;=1000,INDEX('Pliegos Tarifarios (Quilicura)'!$H:$H,MATCH($B565,'Pliegos Tarifarios (Quilicura)'!$A:$A,0)),H565&lt;=5000,INDEX('Pliegos Tarifarios (Quilicura)'!$I:$I,MATCH($B565,'Pliegos Tarifarios (Quilicura)'!$A:$A,0)),H565&gt;5000,INDEX('Pliegos Tarifarios (Quilicura)'!$J:$J,MATCH($B565,'Pliegos Tarifarios (Quilicura)'!$A:$A,0)))/1.19</f>
        <v>17147.62976512605</v>
      </c>
      <c r="R565" s="19">
        <f>INDEX('Pliegos Tarifarios (Quilicura)'!$K:$K,MATCH($B565,'Pliegos Tarifarios (Quilicura)'!$A:$A,0))</f>
        <v>729.50400000000002</v>
      </c>
      <c r="S565" s="21">
        <f t="shared" si="27"/>
        <v>1038210.9094399262</v>
      </c>
      <c r="T565" s="21">
        <f t="shared" si="28"/>
        <v>197260.07279358598</v>
      </c>
      <c r="U565" s="19">
        <v>0</v>
      </c>
      <c r="V565" s="21">
        <f t="shared" si="29"/>
        <v>1235470.9822335122</v>
      </c>
    </row>
    <row r="566" spans="1:22" x14ac:dyDescent="0.3">
      <c r="A566" s="3" t="s">
        <v>148</v>
      </c>
      <c r="B566" s="3">
        <v>9</v>
      </c>
      <c r="C566" s="4" t="s">
        <v>186</v>
      </c>
      <c r="D566" s="3" t="s">
        <v>189</v>
      </c>
      <c r="E566" s="3" t="s">
        <v>18</v>
      </c>
      <c r="F566" s="4" t="s">
        <v>21</v>
      </c>
      <c r="G566" s="3" t="s">
        <v>16</v>
      </c>
      <c r="H566" s="5">
        <v>4189.6986999999999</v>
      </c>
      <c r="I566" s="5">
        <v>11.8759</v>
      </c>
      <c r="J566" s="5">
        <v>11.675000000000001</v>
      </c>
      <c r="K566" s="6">
        <v>0.98308338736432621</v>
      </c>
      <c r="L566" s="5">
        <v>135.15</v>
      </c>
      <c r="M566" s="19">
        <f>H566*INDEX('Pliegos Tarifarios (Quilicura)'!$B:$B,MATCH($B566,'Pliegos Tarifarios (Quilicura)'!$A:$A,0))</f>
        <v>552047.26980809995</v>
      </c>
      <c r="N566" s="19">
        <f>I566*INDEX('Pliegos Tarifarios (Quilicura)'!$C:$C,MATCH($B566,'Pliegos Tarifarios (Quilicura)'!$A:$A,0))</f>
        <v>40880.636212099998</v>
      </c>
      <c r="O566" s="19">
        <f>J566*INDEX('Pliegos Tarifarios (Quilicura)'!$D:$D,MATCH($B566,'Pliegos Tarifarios (Quilicura)'!$A:$A,0))</f>
        <v>169429.16445000001</v>
      </c>
      <c r="P566" s="19">
        <f>H566*INDEX('Pliegos Tarifarios (Quilicura)'!$E:$E,MATCH($B566,'Pliegos Tarifarios (Quilicura)'!$A:$A,0))</f>
        <v>54566.635868799996</v>
      </c>
      <c r="Q566" s="19" cm="1">
        <f t="array" ref="Q566">H566*_xlfn.IFS(H566&lt;=350,INDEX('Pliegos Tarifarios (Quilicura)'!$F:$F,MATCH($B566,'Pliegos Tarifarios (Quilicura)'!$A:$A,0)),H566&lt;=500,INDEX('Pliegos Tarifarios (Quilicura)'!$G:$G,MATCH($B566,'Pliegos Tarifarios (Quilicura)'!$A:$A,0)),H566&lt;=1000,INDEX('Pliegos Tarifarios (Quilicura)'!$H:$H,MATCH($B566,'Pliegos Tarifarios (Quilicura)'!$A:$A,0)),H566&lt;=5000,INDEX('Pliegos Tarifarios (Quilicura)'!$I:$I,MATCH($B566,'Pliegos Tarifarios (Quilicura)'!$A:$A,0)),H566&gt;5000,INDEX('Pliegos Tarifarios (Quilicura)'!$J:$J,MATCH($B566,'Pliegos Tarifarios (Quilicura)'!$A:$A,0)))/1.19</f>
        <v>12572.616855210083</v>
      </c>
      <c r="R566" s="19">
        <f>INDEX('Pliegos Tarifarios (Quilicura)'!$K:$K,MATCH($B566,'Pliegos Tarifarios (Quilicura)'!$A:$A,0))</f>
        <v>729.50400000000002</v>
      </c>
      <c r="S566" s="21">
        <f t="shared" si="27"/>
        <v>830225.82719421003</v>
      </c>
      <c r="T566" s="21">
        <f t="shared" si="28"/>
        <v>157742.90716689991</v>
      </c>
      <c r="U566" s="19">
        <v>0</v>
      </c>
      <c r="V566" s="21">
        <f t="shared" si="29"/>
        <v>987968.73436110991</v>
      </c>
    </row>
    <row r="567" spans="1:22" x14ac:dyDescent="0.3">
      <c r="A567" s="3" t="s">
        <v>148</v>
      </c>
      <c r="B567" s="3">
        <v>9</v>
      </c>
      <c r="C567" s="4" t="s">
        <v>186</v>
      </c>
      <c r="D567" s="3" t="s">
        <v>190</v>
      </c>
      <c r="E567" s="3" t="s">
        <v>18</v>
      </c>
      <c r="F567" s="4" t="s">
        <v>23</v>
      </c>
      <c r="G567" s="3" t="s">
        <v>16</v>
      </c>
      <c r="H567" s="5">
        <v>3490.4261999999999</v>
      </c>
      <c r="I567" s="5">
        <v>9.7257999999999996</v>
      </c>
      <c r="J567" s="5">
        <v>9.5254999999999992</v>
      </c>
      <c r="K567" s="6">
        <v>0.97940529313783953</v>
      </c>
      <c r="L567" s="5">
        <v>112.59</v>
      </c>
      <c r="M567" s="19">
        <f>H567*INDEX('Pliegos Tarifarios (Quilicura)'!$B:$B,MATCH($B567,'Pliegos Tarifarios (Quilicura)'!$A:$A,0))</f>
        <v>459909.02739060001</v>
      </c>
      <c r="N567" s="19">
        <f>I567*INDEX('Pliegos Tarifarios (Quilicura)'!$C:$C,MATCH($B567,'Pliegos Tarifarios (Quilicura)'!$A:$A,0))</f>
        <v>33479.306130199999</v>
      </c>
      <c r="O567" s="19">
        <f>J567*INDEX('Pliegos Tarifarios (Quilicura)'!$D:$D,MATCH($B567,'Pliegos Tarifarios (Quilicura)'!$A:$A,0))</f>
        <v>138235.332417</v>
      </c>
      <c r="P567" s="19">
        <f>H567*INDEX('Pliegos Tarifarios (Quilicura)'!$E:$E,MATCH($B567,'Pliegos Tarifarios (Quilicura)'!$A:$A,0))</f>
        <v>45459.310828799993</v>
      </c>
      <c r="Q567" s="19" cm="1">
        <f t="array" ref="Q567">H567*_xlfn.IFS(H567&lt;=350,INDEX('Pliegos Tarifarios (Quilicura)'!$F:$F,MATCH($B567,'Pliegos Tarifarios (Quilicura)'!$A:$A,0)),H567&lt;=500,INDEX('Pliegos Tarifarios (Quilicura)'!$G:$G,MATCH($B567,'Pliegos Tarifarios (Quilicura)'!$A:$A,0)),H567&lt;=1000,INDEX('Pliegos Tarifarios (Quilicura)'!$H:$H,MATCH($B567,'Pliegos Tarifarios (Quilicura)'!$A:$A,0)),H567&lt;=5000,INDEX('Pliegos Tarifarios (Quilicura)'!$I:$I,MATCH($B567,'Pliegos Tarifarios (Quilicura)'!$A:$A,0)),H567&gt;5000,INDEX('Pliegos Tarifarios (Quilicura)'!$J:$J,MATCH($B567,'Pliegos Tarifarios (Quilicura)'!$A:$A,0)))/1.19</f>
        <v>10474.211731260504</v>
      </c>
      <c r="R567" s="19">
        <f>INDEX('Pliegos Tarifarios (Quilicura)'!$K:$K,MATCH($B567,'Pliegos Tarifarios (Quilicura)'!$A:$A,0))</f>
        <v>729.50400000000002</v>
      </c>
      <c r="S567" s="21">
        <f t="shared" si="27"/>
        <v>688286.69249786041</v>
      </c>
      <c r="T567" s="21">
        <f t="shared" si="28"/>
        <v>130774.47157459348</v>
      </c>
      <c r="U567" s="19">
        <v>0</v>
      </c>
      <c r="V567" s="21">
        <f t="shared" si="29"/>
        <v>819061.16407245386</v>
      </c>
    </row>
    <row r="568" spans="1:22" x14ac:dyDescent="0.3">
      <c r="A568" s="3" t="s">
        <v>148</v>
      </c>
      <c r="B568" s="3">
        <v>9</v>
      </c>
      <c r="C568" s="4" t="s">
        <v>186</v>
      </c>
      <c r="D568" s="3" t="s">
        <v>191</v>
      </c>
      <c r="E568" s="3" t="s">
        <v>18</v>
      </c>
      <c r="F568" s="4" t="s">
        <v>25</v>
      </c>
      <c r="G568" s="3" t="s">
        <v>16</v>
      </c>
      <c r="H568" s="5">
        <v>3769.7716999999998</v>
      </c>
      <c r="I568" s="5">
        <v>10.384</v>
      </c>
      <c r="J568" s="5">
        <v>10.2872</v>
      </c>
      <c r="K568" s="6">
        <v>0.9906779661016949</v>
      </c>
      <c r="L568" s="5">
        <v>121.61</v>
      </c>
      <c r="M568" s="19">
        <f>H568*INDEX('Pliegos Tarifarios (Quilicura)'!$B:$B,MATCH($B568,'Pliegos Tarifarios (Quilicura)'!$A:$A,0))</f>
        <v>496716.42850709998</v>
      </c>
      <c r="N568" s="19">
        <f>I568*INDEX('Pliegos Tarifarios (Quilicura)'!$C:$C,MATCH($B568,'Pliegos Tarifarios (Quilicura)'!$A:$A,0))</f>
        <v>35745.040496000001</v>
      </c>
      <c r="O568" s="19">
        <f>J568*INDEX('Pliegos Tarifarios (Quilicura)'!$D:$D,MATCH($B568,'Pliegos Tarifarios (Quilicura)'!$A:$A,0))</f>
        <v>149289.2248848</v>
      </c>
      <c r="P568" s="19">
        <f>H568*INDEX('Pliegos Tarifarios (Quilicura)'!$E:$E,MATCH($B568,'Pliegos Tarifarios (Quilicura)'!$A:$A,0))</f>
        <v>49097.506620799992</v>
      </c>
      <c r="Q568" s="19" cm="1">
        <f t="array" ref="Q568">H568*_xlfn.IFS(H568&lt;=350,INDEX('Pliegos Tarifarios (Quilicura)'!$F:$F,MATCH($B568,'Pliegos Tarifarios (Quilicura)'!$A:$A,0)),H568&lt;=500,INDEX('Pliegos Tarifarios (Quilicura)'!$G:$G,MATCH($B568,'Pliegos Tarifarios (Quilicura)'!$A:$A,0)),H568&lt;=1000,INDEX('Pliegos Tarifarios (Quilicura)'!$H:$H,MATCH($B568,'Pliegos Tarifarios (Quilicura)'!$A:$A,0)),H568&lt;=5000,INDEX('Pliegos Tarifarios (Quilicura)'!$I:$I,MATCH($B568,'Pliegos Tarifarios (Quilicura)'!$A:$A,0)),H568&gt;5000,INDEX('Pliegos Tarifarios (Quilicura)'!$J:$J,MATCH($B568,'Pliegos Tarifarios (Quilicura)'!$A:$A,0)))/1.19</f>
        <v>11312.482975378151</v>
      </c>
      <c r="R568" s="19">
        <f>INDEX('Pliegos Tarifarios (Quilicura)'!$K:$K,MATCH($B568,'Pliegos Tarifarios (Quilicura)'!$A:$A,0))</f>
        <v>729.50400000000002</v>
      </c>
      <c r="S568" s="21">
        <f t="shared" si="27"/>
        <v>742890.18748407811</v>
      </c>
      <c r="T568" s="21">
        <f t="shared" si="28"/>
        <v>141149.13562197486</v>
      </c>
      <c r="U568" s="19">
        <v>0</v>
      </c>
      <c r="V568" s="21">
        <f t="shared" si="29"/>
        <v>884039.32310605294</v>
      </c>
    </row>
    <row r="569" spans="1:22" x14ac:dyDescent="0.3">
      <c r="A569" s="3" t="s">
        <v>148</v>
      </c>
      <c r="B569" s="3">
        <v>9</v>
      </c>
      <c r="C569" s="4" t="s">
        <v>186</v>
      </c>
      <c r="D569" s="3" t="s">
        <v>192</v>
      </c>
      <c r="E569" s="3" t="s">
        <v>18</v>
      </c>
      <c r="F569" s="4" t="s">
        <v>27</v>
      </c>
      <c r="G569" s="3" t="s">
        <v>16</v>
      </c>
      <c r="H569" s="5">
        <v>2511.9418999999998</v>
      </c>
      <c r="I569" s="5">
        <v>7.0555000000000003</v>
      </c>
      <c r="J569" s="5">
        <v>7.0555000000000003</v>
      </c>
      <c r="K569" s="6">
        <v>1</v>
      </c>
      <c r="L569" s="5">
        <v>81.03</v>
      </c>
      <c r="M569" s="19">
        <f>H569*INDEX('Pliegos Tarifarios (Quilicura)'!$B:$B,MATCH($B569,'Pliegos Tarifarios (Quilicura)'!$A:$A,0))</f>
        <v>330981.00056969997</v>
      </c>
      <c r="N569" s="19">
        <f>I569*INDEX('Pliegos Tarifarios (Quilicura)'!$C:$C,MATCH($B569,'Pliegos Tarifarios (Quilicura)'!$A:$A,0))</f>
        <v>24287.281704500001</v>
      </c>
      <c r="O569" s="19">
        <f>J569*INDEX('Pliegos Tarifarios (Quilicura)'!$D:$D,MATCH($B569,'Pliegos Tarifarios (Quilicura)'!$A:$A,0))</f>
        <v>102390.361437</v>
      </c>
      <c r="P569" s="19">
        <f>H569*INDEX('Pliegos Tarifarios (Quilicura)'!$E:$E,MATCH($B569,'Pliegos Tarifarios (Quilicura)'!$A:$A,0))</f>
        <v>32715.531305599994</v>
      </c>
      <c r="Q569" s="19" cm="1">
        <f t="array" ref="Q569">H569*_xlfn.IFS(H569&lt;=350,INDEX('Pliegos Tarifarios (Quilicura)'!$F:$F,MATCH($B569,'Pliegos Tarifarios (Quilicura)'!$A:$A,0)),H569&lt;=500,INDEX('Pliegos Tarifarios (Quilicura)'!$G:$G,MATCH($B569,'Pliegos Tarifarios (Quilicura)'!$A:$A,0)),H569&lt;=1000,INDEX('Pliegos Tarifarios (Quilicura)'!$H:$H,MATCH($B569,'Pliegos Tarifarios (Quilicura)'!$A:$A,0)),H569&lt;=5000,INDEX('Pliegos Tarifarios (Quilicura)'!$I:$I,MATCH($B569,'Pliegos Tarifarios (Quilicura)'!$A:$A,0)),H569&gt;5000,INDEX('Pliegos Tarifarios (Quilicura)'!$J:$J,MATCH($B569,'Pliegos Tarifarios (Quilicura)'!$A:$A,0)))/1.19</f>
        <v>7537.9365755462177</v>
      </c>
      <c r="R569" s="19">
        <f>INDEX('Pliegos Tarifarios (Quilicura)'!$K:$K,MATCH($B569,'Pliegos Tarifarios (Quilicura)'!$A:$A,0))</f>
        <v>729.50400000000002</v>
      </c>
      <c r="S569" s="21">
        <f t="shared" si="27"/>
        <v>498641.61559234624</v>
      </c>
      <c r="T569" s="21">
        <f t="shared" si="28"/>
        <v>94741.906962545792</v>
      </c>
      <c r="U569" s="19">
        <v>0</v>
      </c>
      <c r="V569" s="21">
        <f t="shared" si="29"/>
        <v>593383.522554892</v>
      </c>
    </row>
    <row r="570" spans="1:22" x14ac:dyDescent="0.3">
      <c r="A570" s="3" t="s">
        <v>148</v>
      </c>
      <c r="B570" s="3">
        <v>9</v>
      </c>
      <c r="C570" s="4" t="s">
        <v>186</v>
      </c>
      <c r="D570" s="3" t="s">
        <v>193</v>
      </c>
      <c r="E570" s="3" t="s">
        <v>18</v>
      </c>
      <c r="F570" s="4" t="s">
        <v>29</v>
      </c>
      <c r="G570" s="3" t="s">
        <v>30</v>
      </c>
      <c r="H570" s="5">
        <v>838.44010000000003</v>
      </c>
      <c r="I570" s="5">
        <v>2.3624999999999998</v>
      </c>
      <c r="J570" s="5">
        <v>2.3624999999999998</v>
      </c>
      <c r="K570" s="6">
        <v>1</v>
      </c>
      <c r="L570" s="5">
        <v>27.05</v>
      </c>
      <c r="M570" s="19">
        <f>H570*INDEX('Pliegos Tarifarios (Quilicura)'!$B:$B,MATCH($B570,'Pliegos Tarifarios (Quilicura)'!$A:$A,0))</f>
        <v>110475.38289630001</v>
      </c>
      <c r="N570" s="19">
        <f>I570*INDEX('Pliegos Tarifarios (Quilicura)'!$C:$C,MATCH($B570,'Pliegos Tarifarios (Quilicura)'!$A:$A,0))</f>
        <v>8132.4786374999994</v>
      </c>
      <c r="O570" s="19">
        <f>J570*INDEX('Pliegos Tarifarios (Quilicura)'!$D:$D,MATCH($B570,'Pliegos Tarifarios (Quilicura)'!$A:$A,0))</f>
        <v>34284.916574999996</v>
      </c>
      <c r="P570" s="19">
        <f>H570*INDEX('Pliegos Tarifarios (Quilicura)'!$E:$E,MATCH($B570,'Pliegos Tarifarios (Quilicura)'!$A:$A,0))</f>
        <v>10919.843862399999</v>
      </c>
      <c r="Q570" s="19" cm="1">
        <f t="array" ref="Q570">H570*_xlfn.IFS(H570&lt;=350,INDEX('Pliegos Tarifarios (Quilicura)'!$F:$F,MATCH($B570,'Pliegos Tarifarios (Quilicura)'!$A:$A,0)),H570&lt;=500,INDEX('Pliegos Tarifarios (Quilicura)'!$G:$G,MATCH($B570,'Pliegos Tarifarios (Quilicura)'!$A:$A,0)),H570&lt;=1000,INDEX('Pliegos Tarifarios (Quilicura)'!$H:$H,MATCH($B570,'Pliegos Tarifarios (Quilicura)'!$A:$A,0)),H570&lt;=5000,INDEX('Pliegos Tarifarios (Quilicura)'!$I:$I,MATCH($B570,'Pliegos Tarifarios (Quilicura)'!$A:$A,0)),H570&gt;5000,INDEX('Pliegos Tarifarios (Quilicura)'!$J:$J,MATCH($B570,'Pliegos Tarifarios (Quilicura)'!$A:$A,0)))/1.19</f>
        <v>1966.4590916806726</v>
      </c>
      <c r="R570" s="19">
        <f>INDEX('Pliegos Tarifarios (Quilicura)'!$K:$K,MATCH($B570,'Pliegos Tarifarios (Quilicura)'!$A:$A,0))</f>
        <v>729.50400000000002</v>
      </c>
      <c r="S570" s="21">
        <f t="shared" si="27"/>
        <v>166508.58506288068</v>
      </c>
      <c r="T570" s="21">
        <f t="shared" si="28"/>
        <v>31636.631161947331</v>
      </c>
      <c r="U570" s="19">
        <v>0</v>
      </c>
      <c r="V570" s="21">
        <f t="shared" si="29"/>
        <v>198145.21622482801</v>
      </c>
    </row>
    <row r="571" spans="1:22" x14ac:dyDescent="0.3">
      <c r="A571" s="3" t="s">
        <v>148</v>
      </c>
      <c r="B571" s="3">
        <v>9</v>
      </c>
      <c r="C571" s="4" t="s">
        <v>186</v>
      </c>
      <c r="D571" s="3" t="s">
        <v>194</v>
      </c>
      <c r="E571" s="3" t="s">
        <v>18</v>
      </c>
      <c r="F571" s="4" t="s">
        <v>32</v>
      </c>
      <c r="G571" s="3" t="s">
        <v>16</v>
      </c>
      <c r="H571" s="5">
        <v>2513.5272</v>
      </c>
      <c r="I571" s="5">
        <v>7.0278</v>
      </c>
      <c r="J571" s="5">
        <v>6.9831000000000003</v>
      </c>
      <c r="K571" s="6">
        <v>0.99363954580380776</v>
      </c>
      <c r="L571" s="5">
        <v>81.08</v>
      </c>
      <c r="M571" s="19">
        <f>H571*INDEX('Pliegos Tarifarios (Quilicura)'!$B:$B,MATCH($B571,'Pliegos Tarifarios (Quilicura)'!$A:$A,0))</f>
        <v>331189.88445360004</v>
      </c>
      <c r="N571" s="19">
        <f>I571*INDEX('Pliegos Tarifarios (Quilicura)'!$C:$C,MATCH($B571,'Pliegos Tarifarios (Quilicura)'!$A:$A,0))</f>
        <v>24191.9294682</v>
      </c>
      <c r="O571" s="19">
        <f>J571*INDEX('Pliegos Tarifarios (Quilicura)'!$D:$D,MATCH($B571,'Pliegos Tarifarios (Quilicura)'!$A:$A,0))</f>
        <v>101339.68293540001</v>
      </c>
      <c r="P571" s="19">
        <f>H571*INDEX('Pliegos Tarifarios (Quilicura)'!$E:$E,MATCH($B571,'Pliegos Tarifarios (Quilicura)'!$A:$A,0))</f>
        <v>32736.178252799997</v>
      </c>
      <c r="Q571" s="19" cm="1">
        <f t="array" ref="Q571">H571*_xlfn.IFS(H571&lt;=350,INDEX('Pliegos Tarifarios (Quilicura)'!$F:$F,MATCH($B571,'Pliegos Tarifarios (Quilicura)'!$A:$A,0)),H571&lt;=500,INDEX('Pliegos Tarifarios (Quilicura)'!$G:$G,MATCH($B571,'Pliegos Tarifarios (Quilicura)'!$A:$A,0)),H571&lt;=1000,INDEX('Pliegos Tarifarios (Quilicura)'!$H:$H,MATCH($B571,'Pliegos Tarifarios (Quilicura)'!$A:$A,0)),H571&lt;=5000,INDEX('Pliegos Tarifarios (Quilicura)'!$I:$I,MATCH($B571,'Pliegos Tarifarios (Quilicura)'!$A:$A,0)),H571&gt;5000,INDEX('Pliegos Tarifarios (Quilicura)'!$J:$J,MATCH($B571,'Pliegos Tarifarios (Quilicura)'!$A:$A,0)))/1.19</f>
        <v>7542.6938077310915</v>
      </c>
      <c r="R571" s="19">
        <f>INDEX('Pliegos Tarifarios (Quilicura)'!$K:$K,MATCH($B571,'Pliegos Tarifarios (Quilicura)'!$A:$A,0))</f>
        <v>729.50400000000002</v>
      </c>
      <c r="S571" s="21">
        <f t="shared" si="27"/>
        <v>497729.87291773118</v>
      </c>
      <c r="T571" s="21">
        <f t="shared" si="28"/>
        <v>94568.675854368921</v>
      </c>
      <c r="U571" s="19">
        <v>0</v>
      </c>
      <c r="V571" s="21">
        <f t="shared" si="29"/>
        <v>592298.54877210013</v>
      </c>
    </row>
    <row r="572" spans="1:22" x14ac:dyDescent="0.3">
      <c r="A572" s="3" t="s">
        <v>148</v>
      </c>
      <c r="B572" s="3">
        <v>9</v>
      </c>
      <c r="C572" s="4" t="s">
        <v>186</v>
      </c>
      <c r="D572" s="3" t="s">
        <v>195</v>
      </c>
      <c r="E572" s="3" t="s">
        <v>34</v>
      </c>
      <c r="F572" s="4" t="s">
        <v>35</v>
      </c>
      <c r="G572" s="3" t="s">
        <v>30</v>
      </c>
      <c r="H572" s="5">
        <v>1046.3492000000001</v>
      </c>
      <c r="I572" s="5">
        <v>2.9735</v>
      </c>
      <c r="J572" s="5">
        <v>2.8704999999999998</v>
      </c>
      <c r="K572" s="6">
        <v>0.96536068606019831</v>
      </c>
      <c r="L572" s="5">
        <v>33.75</v>
      </c>
      <c r="M572" s="19">
        <f>H572*INDEX('Pliegos Tarifarios (Quilicura)'!$B:$B,MATCH($B572,'Pliegos Tarifarios (Quilicura)'!$A:$A,0))</f>
        <v>137870.10963960001</v>
      </c>
      <c r="N572" s="19">
        <f>I572*INDEX('Pliegos Tarifarios (Quilicura)'!$C:$C,MATCH($B572,'Pliegos Tarifarios (Quilicura)'!$A:$A,0))</f>
        <v>10235.7355465</v>
      </c>
      <c r="O572" s="19">
        <f>J572*INDEX('Pliegos Tarifarios (Quilicura)'!$D:$D,MATCH($B572,'Pliegos Tarifarios (Quilicura)'!$A:$A,0))</f>
        <v>41657.080646999995</v>
      </c>
      <c r="P572" s="19">
        <f>H572*INDEX('Pliegos Tarifarios (Quilicura)'!$E:$E,MATCH($B572,'Pliegos Tarifarios (Quilicura)'!$A:$A,0))</f>
        <v>13627.651980800001</v>
      </c>
      <c r="Q572" s="19" cm="1">
        <f t="array" ref="Q572">H572*_xlfn.IFS(H572&lt;=350,INDEX('Pliegos Tarifarios (Quilicura)'!$F:$F,MATCH($B572,'Pliegos Tarifarios (Quilicura)'!$A:$A,0)),H572&lt;=500,INDEX('Pliegos Tarifarios (Quilicura)'!$G:$G,MATCH($B572,'Pliegos Tarifarios (Quilicura)'!$A:$A,0)),H572&lt;=1000,INDEX('Pliegos Tarifarios (Quilicura)'!$H:$H,MATCH($B572,'Pliegos Tarifarios (Quilicura)'!$A:$A,0)),H572&lt;=5000,INDEX('Pliegos Tarifarios (Quilicura)'!$I:$I,MATCH($B572,'Pliegos Tarifarios (Quilicura)'!$A:$A,0)),H572&gt;5000,INDEX('Pliegos Tarifarios (Quilicura)'!$J:$J,MATCH($B572,'Pliegos Tarifarios (Quilicura)'!$A:$A,0)))/1.19</f>
        <v>3139.9268850420171</v>
      </c>
      <c r="R572" s="19">
        <f>INDEX('Pliegos Tarifarios (Quilicura)'!$K:$K,MATCH($B572,'Pliegos Tarifarios (Quilicura)'!$A:$A,0))</f>
        <v>729.50400000000002</v>
      </c>
      <c r="S572" s="21">
        <f t="shared" si="27"/>
        <v>207260.00869894199</v>
      </c>
      <c r="T572" s="21">
        <f t="shared" si="28"/>
        <v>39379.401652798981</v>
      </c>
      <c r="U572" s="19">
        <v>0</v>
      </c>
      <c r="V572" s="21">
        <f t="shared" si="29"/>
        <v>246639.41035174098</v>
      </c>
    </row>
    <row r="573" spans="1:22" x14ac:dyDescent="0.3">
      <c r="A573" s="3" t="s">
        <v>148</v>
      </c>
      <c r="B573" s="3">
        <v>9</v>
      </c>
      <c r="C573" s="4" t="s">
        <v>186</v>
      </c>
      <c r="D573" s="3" t="s">
        <v>196</v>
      </c>
      <c r="E573" s="3" t="s">
        <v>34</v>
      </c>
      <c r="F573" s="4" t="s">
        <v>37</v>
      </c>
      <c r="G573" s="3" t="s">
        <v>30</v>
      </c>
      <c r="H573" s="5">
        <v>838.14350000000002</v>
      </c>
      <c r="I573" s="5">
        <v>2.3468</v>
      </c>
      <c r="J573" s="5">
        <v>2.3468</v>
      </c>
      <c r="K573" s="6">
        <v>1</v>
      </c>
      <c r="L573" s="5">
        <v>27.04</v>
      </c>
      <c r="M573" s="19">
        <f>H573*INDEX('Pliegos Tarifarios (Quilicura)'!$B:$B,MATCH($B573,'Pliegos Tarifarios (Quilicura)'!$A:$A,0))</f>
        <v>110436.30199050001</v>
      </c>
      <c r="N573" s="19">
        <f>I573*INDEX('Pliegos Tarifarios (Quilicura)'!$C:$C,MATCH($B573,'Pliegos Tarifarios (Quilicura)'!$A:$A,0))</f>
        <v>8078.4342292000001</v>
      </c>
      <c r="O573" s="19">
        <f>J573*INDEX('Pliegos Tarifarios (Quilicura)'!$D:$D,MATCH($B573,'Pliegos Tarifarios (Quilicura)'!$A:$A,0))</f>
        <v>34057.076071199997</v>
      </c>
      <c r="P573" s="19">
        <f>H573*INDEX('Pliegos Tarifarios (Quilicura)'!$E:$E,MATCH($B573,'Pliegos Tarifarios (Quilicura)'!$A:$A,0))</f>
        <v>10915.980943999999</v>
      </c>
      <c r="Q573" s="19" cm="1">
        <f t="array" ref="Q573">H573*_xlfn.IFS(H573&lt;=350,INDEX('Pliegos Tarifarios (Quilicura)'!$F:$F,MATCH($B573,'Pliegos Tarifarios (Quilicura)'!$A:$A,0)),H573&lt;=500,INDEX('Pliegos Tarifarios (Quilicura)'!$G:$G,MATCH($B573,'Pliegos Tarifarios (Quilicura)'!$A:$A,0)),H573&lt;=1000,INDEX('Pliegos Tarifarios (Quilicura)'!$H:$H,MATCH($B573,'Pliegos Tarifarios (Quilicura)'!$A:$A,0)),H573&lt;=5000,INDEX('Pliegos Tarifarios (Quilicura)'!$I:$I,MATCH($B573,'Pliegos Tarifarios (Quilicura)'!$A:$A,0)),H573&gt;5000,INDEX('Pliegos Tarifarios (Quilicura)'!$J:$J,MATCH($B573,'Pliegos Tarifarios (Quilicura)'!$A:$A,0)))/1.19</f>
        <v>1965.763452521009</v>
      </c>
      <c r="R573" s="19">
        <f>INDEX('Pliegos Tarifarios (Quilicura)'!$K:$K,MATCH($B573,'Pliegos Tarifarios (Quilicura)'!$A:$A,0))</f>
        <v>729.50400000000002</v>
      </c>
      <c r="S573" s="21">
        <f t="shared" si="27"/>
        <v>166183.06068742101</v>
      </c>
      <c r="T573" s="21">
        <f t="shared" si="28"/>
        <v>31574.781530609991</v>
      </c>
      <c r="U573" s="19">
        <v>0</v>
      </c>
      <c r="V573" s="21">
        <f t="shared" si="29"/>
        <v>197757.842218031</v>
      </c>
    </row>
    <row r="574" spans="1:22" x14ac:dyDescent="0.3">
      <c r="A574" s="3" t="s">
        <v>148</v>
      </c>
      <c r="B574" s="3">
        <v>9</v>
      </c>
      <c r="C574" s="4" t="s">
        <v>186</v>
      </c>
      <c r="D574" s="3" t="s">
        <v>197</v>
      </c>
      <c r="E574" s="3" t="s">
        <v>34</v>
      </c>
      <c r="F574" s="4" t="s">
        <v>39</v>
      </c>
      <c r="G574" s="3" t="s">
        <v>30</v>
      </c>
      <c r="H574" s="5">
        <v>835.37879999999996</v>
      </c>
      <c r="I574" s="5">
        <v>2.3319999999999999</v>
      </c>
      <c r="J574" s="5">
        <v>2.3033999999999999</v>
      </c>
      <c r="K574" s="6">
        <v>0.98773584905660383</v>
      </c>
      <c r="L574" s="5">
        <v>26.95</v>
      </c>
      <c r="M574" s="19">
        <f>H574*INDEX('Pliegos Tarifarios (Quilicura)'!$B:$B,MATCH($B574,'Pliegos Tarifarios (Quilicura)'!$A:$A,0))</f>
        <v>110072.01682439999</v>
      </c>
      <c r="N574" s="19">
        <f>I574*INDEX('Pliegos Tarifarios (Quilicura)'!$C:$C,MATCH($B574,'Pliegos Tarifarios (Quilicura)'!$A:$A,0))</f>
        <v>8027.4879079999992</v>
      </c>
      <c r="O574" s="19">
        <f>J574*INDEX('Pliegos Tarifarios (Quilicura)'!$D:$D,MATCH($B574,'Pliegos Tarifarios (Quilicura)'!$A:$A,0))</f>
        <v>33427.249455600002</v>
      </c>
      <c r="P574" s="19">
        <f>H574*INDEX('Pliegos Tarifarios (Quilicura)'!$E:$E,MATCH($B574,'Pliegos Tarifarios (Quilicura)'!$A:$A,0))</f>
        <v>10879.973491199999</v>
      </c>
      <c r="Q574" s="19" cm="1">
        <f t="array" ref="Q574">H574*_xlfn.IFS(H574&lt;=350,INDEX('Pliegos Tarifarios (Quilicura)'!$F:$F,MATCH($B574,'Pliegos Tarifarios (Quilicura)'!$A:$A,0)),H574&lt;=500,INDEX('Pliegos Tarifarios (Quilicura)'!$G:$G,MATCH($B574,'Pliegos Tarifarios (Quilicura)'!$A:$A,0)),H574&lt;=1000,INDEX('Pliegos Tarifarios (Quilicura)'!$H:$H,MATCH($B574,'Pliegos Tarifarios (Quilicura)'!$A:$A,0)),H574&lt;=5000,INDEX('Pliegos Tarifarios (Quilicura)'!$I:$I,MATCH($B574,'Pliegos Tarifarios (Quilicura)'!$A:$A,0)),H574&gt;5000,INDEX('Pliegos Tarifarios (Quilicura)'!$J:$J,MATCH($B574,'Pliegos Tarifarios (Quilicura)'!$A:$A,0)))/1.19</f>
        <v>1959.2791855462187</v>
      </c>
      <c r="R574" s="19">
        <f>INDEX('Pliegos Tarifarios (Quilicura)'!$K:$K,MATCH($B574,'Pliegos Tarifarios (Quilicura)'!$A:$A,0))</f>
        <v>729.50400000000002</v>
      </c>
      <c r="S574" s="21">
        <f t="shared" si="27"/>
        <v>165095.5108647462</v>
      </c>
      <c r="T574" s="21">
        <f t="shared" si="28"/>
        <v>31368.147064301778</v>
      </c>
      <c r="U574" s="19">
        <v>0</v>
      </c>
      <c r="V574" s="21">
        <f t="shared" si="29"/>
        <v>196463.65792904797</v>
      </c>
    </row>
    <row r="575" spans="1:22" x14ac:dyDescent="0.3">
      <c r="A575" s="3" t="s">
        <v>148</v>
      </c>
      <c r="B575" s="3">
        <v>9</v>
      </c>
      <c r="C575" s="4" t="s">
        <v>186</v>
      </c>
      <c r="D575" s="3" t="s">
        <v>198</v>
      </c>
      <c r="E575" s="3" t="s">
        <v>34</v>
      </c>
      <c r="F575" s="4" t="s">
        <v>41</v>
      </c>
      <c r="G575" s="3" t="s">
        <v>30</v>
      </c>
      <c r="H575" s="5">
        <v>627.7079</v>
      </c>
      <c r="I575" s="5">
        <v>1.7386999999999999</v>
      </c>
      <c r="J575" s="5">
        <v>1.7349000000000001</v>
      </c>
      <c r="K575" s="6">
        <v>0.9978144590786221</v>
      </c>
      <c r="L575" s="5">
        <v>20.25</v>
      </c>
      <c r="M575" s="19">
        <f>H575*INDEX('Pliegos Tarifarios (Quilicura)'!$B:$B,MATCH($B575,'Pliegos Tarifarios (Quilicura)'!$A:$A,0))</f>
        <v>82708.676027699999</v>
      </c>
      <c r="N575" s="19">
        <f>I575*INDEX('Pliegos Tarifarios (Quilicura)'!$C:$C,MATCH($B575,'Pliegos Tarifarios (Quilicura)'!$A:$A,0))</f>
        <v>5985.1600452999992</v>
      </c>
      <c r="O575" s="19">
        <f>J575*INDEX('Pliegos Tarifarios (Quilicura)'!$D:$D,MATCH($B575,'Pliegos Tarifarios (Quilicura)'!$A:$A,0))</f>
        <v>25177.101276600002</v>
      </c>
      <c r="P575" s="19">
        <f>H575*INDEX('Pliegos Tarifarios (Quilicura)'!$E:$E,MATCH($B575,'Pliegos Tarifarios (Quilicura)'!$A:$A,0))</f>
        <v>8175.2676895999994</v>
      </c>
      <c r="Q575" s="19" cm="1">
        <f t="array" ref="Q575">H575*_xlfn.IFS(H575&lt;=350,INDEX('Pliegos Tarifarios (Quilicura)'!$F:$F,MATCH($B575,'Pliegos Tarifarios (Quilicura)'!$A:$A,0)),H575&lt;=500,INDEX('Pliegos Tarifarios (Quilicura)'!$G:$G,MATCH($B575,'Pliegos Tarifarios (Quilicura)'!$A:$A,0)),H575&lt;=1000,INDEX('Pliegos Tarifarios (Quilicura)'!$H:$H,MATCH($B575,'Pliegos Tarifarios (Quilicura)'!$A:$A,0)),H575&lt;=5000,INDEX('Pliegos Tarifarios (Quilicura)'!$I:$I,MATCH($B575,'Pliegos Tarifarios (Quilicura)'!$A:$A,0)),H575&gt;5000,INDEX('Pliegos Tarifarios (Quilicura)'!$J:$J,MATCH($B575,'Pliegos Tarifarios (Quilicura)'!$A:$A,0)))/1.19</f>
        <v>1472.2123940336137</v>
      </c>
      <c r="R575" s="19">
        <f>INDEX('Pliegos Tarifarios (Quilicura)'!$K:$K,MATCH($B575,'Pliegos Tarifarios (Quilicura)'!$A:$A,0))</f>
        <v>729.50400000000002</v>
      </c>
      <c r="S575" s="21">
        <f t="shared" si="27"/>
        <v>124247.92143323363</v>
      </c>
      <c r="T575" s="21">
        <f t="shared" si="28"/>
        <v>23607.105072314389</v>
      </c>
      <c r="U575" s="19">
        <v>0</v>
      </c>
      <c r="V575" s="21">
        <f t="shared" si="29"/>
        <v>147855.02650554801</v>
      </c>
    </row>
    <row r="576" spans="1:22" x14ac:dyDescent="0.3">
      <c r="A576" s="3" t="s">
        <v>148</v>
      </c>
      <c r="B576" s="3">
        <v>9</v>
      </c>
      <c r="C576" s="4" t="s">
        <v>186</v>
      </c>
      <c r="D576" s="3" t="s">
        <v>199</v>
      </c>
      <c r="E576" s="3" t="s">
        <v>34</v>
      </c>
      <c r="F576" s="4" t="s">
        <v>43</v>
      </c>
      <c r="G576" s="3" t="s">
        <v>30</v>
      </c>
      <c r="H576" s="5">
        <v>630.01139999999998</v>
      </c>
      <c r="I576" s="5">
        <v>1.7566999999999999</v>
      </c>
      <c r="J576" s="5">
        <v>1.7306999999999999</v>
      </c>
      <c r="K576" s="6">
        <v>0.98519952183070525</v>
      </c>
      <c r="L576" s="5">
        <v>20.32</v>
      </c>
      <c r="M576" s="19">
        <f>H576*INDEX('Pliegos Tarifarios (Quilicura)'!$B:$B,MATCH($B576,'Pliegos Tarifarios (Quilicura)'!$A:$A,0))</f>
        <v>83012.192098200001</v>
      </c>
      <c r="N576" s="19">
        <f>I576*INDEX('Pliegos Tarifarios (Quilicura)'!$C:$C,MATCH($B576,'Pliegos Tarifarios (Quilicura)'!$A:$A,0))</f>
        <v>6047.1217872999996</v>
      </c>
      <c r="O576" s="19">
        <f>J576*INDEX('Pliegos Tarifarios (Quilicura)'!$D:$D,MATCH($B576,'Pliegos Tarifarios (Quilicura)'!$A:$A,0))</f>
        <v>25116.150313799997</v>
      </c>
      <c r="P576" s="19">
        <f>H576*INDEX('Pliegos Tarifarios (Quilicura)'!$E:$E,MATCH($B576,'Pliegos Tarifarios (Quilicura)'!$A:$A,0))</f>
        <v>8205.2684735999992</v>
      </c>
      <c r="Q576" s="19" cm="1">
        <f t="array" ref="Q576">H576*_xlfn.IFS(H576&lt;=350,INDEX('Pliegos Tarifarios (Quilicura)'!$F:$F,MATCH($B576,'Pliegos Tarifarios (Quilicura)'!$A:$A,0)),H576&lt;=500,INDEX('Pliegos Tarifarios (Quilicura)'!$G:$G,MATCH($B576,'Pliegos Tarifarios (Quilicura)'!$A:$A,0)),H576&lt;=1000,INDEX('Pliegos Tarifarios (Quilicura)'!$H:$H,MATCH($B576,'Pliegos Tarifarios (Quilicura)'!$A:$A,0)),H576&lt;=5000,INDEX('Pliegos Tarifarios (Quilicura)'!$I:$I,MATCH($B576,'Pliegos Tarifarios (Quilicura)'!$A:$A,0)),H576&gt;5000,INDEX('Pliegos Tarifarios (Quilicura)'!$J:$J,MATCH($B576,'Pliegos Tarifarios (Quilicura)'!$A:$A,0)))/1.19</f>
        <v>1477.6149726050423</v>
      </c>
      <c r="R576" s="19">
        <f>INDEX('Pliegos Tarifarios (Quilicura)'!$K:$K,MATCH($B576,'Pliegos Tarifarios (Quilicura)'!$A:$A,0))</f>
        <v>729.50400000000002</v>
      </c>
      <c r="S576" s="21">
        <f t="shared" si="27"/>
        <v>124587.85164550503</v>
      </c>
      <c r="T576" s="21">
        <f t="shared" si="28"/>
        <v>23671.691812645957</v>
      </c>
      <c r="U576" s="19">
        <v>0</v>
      </c>
      <c r="V576" s="21">
        <f t="shared" si="29"/>
        <v>148259.54345815099</v>
      </c>
    </row>
    <row r="577" spans="1:22" x14ac:dyDescent="0.3">
      <c r="A577" s="3" t="s">
        <v>148</v>
      </c>
      <c r="B577" s="3">
        <v>9</v>
      </c>
      <c r="C577" s="4" t="s">
        <v>186</v>
      </c>
      <c r="D577" s="3" t="s">
        <v>200</v>
      </c>
      <c r="E577" s="3" t="s">
        <v>34</v>
      </c>
      <c r="F577" s="4" t="s">
        <v>45</v>
      </c>
      <c r="G577" s="3" t="s">
        <v>30</v>
      </c>
      <c r="H577" s="5">
        <v>627.29759999999999</v>
      </c>
      <c r="I577" s="5">
        <v>1.7484</v>
      </c>
      <c r="J577" s="5">
        <v>1.7484</v>
      </c>
      <c r="K577" s="6">
        <v>1</v>
      </c>
      <c r="L577" s="5">
        <v>20.239999999999998</v>
      </c>
      <c r="M577" s="19">
        <f>H577*INDEX('Pliegos Tarifarios (Quilicura)'!$B:$B,MATCH($B577,'Pliegos Tarifarios (Quilicura)'!$A:$A,0))</f>
        <v>82654.613668799997</v>
      </c>
      <c r="N577" s="19">
        <f>I577*INDEX('Pliegos Tarifarios (Quilicura)'!$C:$C,MATCH($B577,'Pliegos Tarifarios (Quilicura)'!$A:$A,0))</f>
        <v>6018.5505395999999</v>
      </c>
      <c r="O577" s="19">
        <f>J577*INDEX('Pliegos Tarifarios (Quilicura)'!$D:$D,MATCH($B577,'Pliegos Tarifarios (Quilicura)'!$A:$A,0))</f>
        <v>25373.0150856</v>
      </c>
      <c r="P577" s="19">
        <f>H577*INDEX('Pliegos Tarifarios (Quilicura)'!$E:$E,MATCH($B577,'Pliegos Tarifarios (Quilicura)'!$A:$A,0))</f>
        <v>8169.9239423999998</v>
      </c>
      <c r="Q577" s="19" cm="1">
        <f t="array" ref="Q577">H577*_xlfn.IFS(H577&lt;=350,INDEX('Pliegos Tarifarios (Quilicura)'!$F:$F,MATCH($B577,'Pliegos Tarifarios (Quilicura)'!$A:$A,0)),H577&lt;=500,INDEX('Pliegos Tarifarios (Quilicura)'!$G:$G,MATCH($B577,'Pliegos Tarifarios (Quilicura)'!$A:$A,0)),H577&lt;=1000,INDEX('Pliegos Tarifarios (Quilicura)'!$H:$H,MATCH($B577,'Pliegos Tarifarios (Quilicura)'!$A:$A,0)),H577&lt;=5000,INDEX('Pliegos Tarifarios (Quilicura)'!$I:$I,MATCH($B577,'Pliegos Tarifarios (Quilicura)'!$A:$A,0)),H577&gt;5000,INDEX('Pliegos Tarifarios (Quilicura)'!$J:$J,MATCH($B577,'Pliegos Tarifarios (Quilicura)'!$A:$A,0)))/1.19</f>
        <v>1471.2500853781514</v>
      </c>
      <c r="R577" s="19">
        <f>INDEX('Pliegos Tarifarios (Quilicura)'!$K:$K,MATCH($B577,'Pliegos Tarifarios (Quilicura)'!$A:$A,0))</f>
        <v>729.50400000000002</v>
      </c>
      <c r="S577" s="21">
        <f t="shared" si="27"/>
        <v>124416.85732177814</v>
      </c>
      <c r="T577" s="21">
        <f t="shared" si="28"/>
        <v>23639.202891137847</v>
      </c>
      <c r="U577" s="19">
        <v>0</v>
      </c>
      <c r="V577" s="21">
        <f t="shared" si="29"/>
        <v>148056.060212916</v>
      </c>
    </row>
    <row r="578" spans="1:22" x14ac:dyDescent="0.3">
      <c r="A578" s="3" t="s">
        <v>148</v>
      </c>
      <c r="B578" s="3">
        <v>9</v>
      </c>
      <c r="C578" s="4" t="s">
        <v>186</v>
      </c>
      <c r="D578" s="3" t="s">
        <v>201</v>
      </c>
      <c r="E578" s="3" t="s">
        <v>47</v>
      </c>
      <c r="F578" s="4" t="s">
        <v>48</v>
      </c>
      <c r="G578" s="3" t="s">
        <v>30</v>
      </c>
      <c r="H578" s="5">
        <v>627.84289999999999</v>
      </c>
      <c r="I578" s="5">
        <v>1.7827</v>
      </c>
      <c r="J578" s="5">
        <v>1.7827</v>
      </c>
      <c r="K578" s="6">
        <v>1</v>
      </c>
      <c r="L578" s="5">
        <v>20.25</v>
      </c>
      <c r="M578" s="19">
        <f>H578*INDEX('Pliegos Tarifarios (Quilicura)'!$B:$B,MATCH($B578,'Pliegos Tarifarios (Quilicura)'!$A:$A,0))</f>
        <v>82726.464032699994</v>
      </c>
      <c r="N578" s="19">
        <f>I578*INDEX('Pliegos Tarifarios (Quilicura)'!$C:$C,MATCH($B578,'Pliegos Tarifarios (Quilicura)'!$A:$A,0))</f>
        <v>6136.6220813</v>
      </c>
      <c r="O578" s="19">
        <f>J578*INDEX('Pliegos Tarifarios (Quilicura)'!$D:$D,MATCH($B578,'Pliegos Tarifarios (Quilicura)'!$A:$A,0))</f>
        <v>25870.781281799998</v>
      </c>
      <c r="P578" s="19">
        <f>H578*INDEX('Pliegos Tarifarios (Quilicura)'!$E:$E,MATCH($B578,'Pliegos Tarifarios (Quilicura)'!$A:$A,0))</f>
        <v>8177.0259295999995</v>
      </c>
      <c r="Q578" s="19" cm="1">
        <f t="array" ref="Q578">H578*_xlfn.IFS(H578&lt;=350,INDEX('Pliegos Tarifarios (Quilicura)'!$F:$F,MATCH($B578,'Pliegos Tarifarios (Quilicura)'!$A:$A,0)),H578&lt;=500,INDEX('Pliegos Tarifarios (Quilicura)'!$G:$G,MATCH($B578,'Pliegos Tarifarios (Quilicura)'!$A:$A,0)),H578&lt;=1000,INDEX('Pliegos Tarifarios (Quilicura)'!$H:$H,MATCH($B578,'Pliegos Tarifarios (Quilicura)'!$A:$A,0)),H578&lt;=5000,INDEX('Pliegos Tarifarios (Quilicura)'!$I:$I,MATCH($B578,'Pliegos Tarifarios (Quilicura)'!$A:$A,0)),H578&gt;5000,INDEX('Pliegos Tarifarios (Quilicura)'!$J:$J,MATCH($B578,'Pliegos Tarifarios (Quilicura)'!$A:$A,0)))/1.19</f>
        <v>1472.5290200840338</v>
      </c>
      <c r="R578" s="19">
        <f>INDEX('Pliegos Tarifarios (Quilicura)'!$K:$K,MATCH($B578,'Pliegos Tarifarios (Quilicura)'!$A:$A,0))</f>
        <v>729.50400000000002</v>
      </c>
      <c r="S578" s="21">
        <f t="shared" si="27"/>
        <v>125112.92634548403</v>
      </c>
      <c r="T578" s="21">
        <f t="shared" si="28"/>
        <v>23771.456005641965</v>
      </c>
      <c r="U578" s="19">
        <v>0</v>
      </c>
      <c r="V578" s="21">
        <f t="shared" si="29"/>
        <v>148884.382351126</v>
      </c>
    </row>
    <row r="579" spans="1:22" x14ac:dyDescent="0.3">
      <c r="A579" s="3" t="s">
        <v>148</v>
      </c>
      <c r="B579" s="3">
        <v>9</v>
      </c>
      <c r="C579" s="4" t="s">
        <v>186</v>
      </c>
      <c r="D579" s="3" t="s">
        <v>202</v>
      </c>
      <c r="E579" s="3" t="s">
        <v>47</v>
      </c>
      <c r="F579" s="4" t="s">
        <v>50</v>
      </c>
      <c r="G579" s="3" t="s">
        <v>30</v>
      </c>
      <c r="H579" s="5">
        <v>628.39319999999998</v>
      </c>
      <c r="I579" s="5">
        <v>1.7645</v>
      </c>
      <c r="J579" s="5">
        <v>1.7295</v>
      </c>
      <c r="K579" s="6">
        <v>0.98016435250779266</v>
      </c>
      <c r="L579" s="5">
        <v>20.27</v>
      </c>
      <c r="M579" s="19">
        <f>H579*INDEX('Pliegos Tarifarios (Quilicura)'!$B:$B,MATCH($B579,'Pliegos Tarifarios (Quilicura)'!$A:$A,0))</f>
        <v>82798.973211599994</v>
      </c>
      <c r="N579" s="19">
        <f>I579*INDEX('Pliegos Tarifarios (Quilicura)'!$C:$C,MATCH($B579,'Pliegos Tarifarios (Quilicura)'!$A:$A,0))</f>
        <v>6073.9718754999994</v>
      </c>
      <c r="O579" s="19">
        <f>J579*INDEX('Pliegos Tarifarios (Quilicura)'!$D:$D,MATCH($B579,'Pliegos Tarifarios (Quilicura)'!$A:$A,0))</f>
        <v>25098.735753000001</v>
      </c>
      <c r="P579" s="19">
        <f>H579*INDEX('Pliegos Tarifarios (Quilicura)'!$E:$E,MATCH($B579,'Pliegos Tarifarios (Quilicura)'!$A:$A,0))</f>
        <v>8184.1930367999994</v>
      </c>
      <c r="Q579" s="19" cm="1">
        <f t="array" ref="Q579">H579*_xlfn.IFS(H579&lt;=350,INDEX('Pliegos Tarifarios (Quilicura)'!$F:$F,MATCH($B579,'Pliegos Tarifarios (Quilicura)'!$A:$A,0)),H579&lt;=500,INDEX('Pliegos Tarifarios (Quilicura)'!$G:$G,MATCH($B579,'Pliegos Tarifarios (Quilicura)'!$A:$A,0)),H579&lt;=1000,INDEX('Pliegos Tarifarios (Quilicura)'!$H:$H,MATCH($B579,'Pliegos Tarifarios (Quilicura)'!$A:$A,0)),H579&lt;=5000,INDEX('Pliegos Tarifarios (Quilicura)'!$I:$I,MATCH($B579,'Pliegos Tarifarios (Quilicura)'!$A:$A,0)),H579&gt;5000,INDEX('Pliegos Tarifarios (Quilicura)'!$J:$J,MATCH($B579,'Pliegos Tarifarios (Quilicura)'!$A:$A,0)))/1.19</f>
        <v>1473.8196816806724</v>
      </c>
      <c r="R579" s="19">
        <f>INDEX('Pliegos Tarifarios (Quilicura)'!$K:$K,MATCH($B579,'Pliegos Tarifarios (Quilicura)'!$A:$A,0))</f>
        <v>729.50400000000002</v>
      </c>
      <c r="S579" s="21">
        <f t="shared" si="27"/>
        <v>124359.19755858068</v>
      </c>
      <c r="T579" s="21">
        <f t="shared" si="28"/>
        <v>23628.24753613033</v>
      </c>
      <c r="U579" s="19">
        <v>0</v>
      </c>
      <c r="V579" s="21">
        <f t="shared" si="29"/>
        <v>147987.445094711</v>
      </c>
    </row>
    <row r="580" spans="1:22" x14ac:dyDescent="0.3">
      <c r="A580" s="3" t="s">
        <v>148</v>
      </c>
      <c r="B580" s="3">
        <v>9</v>
      </c>
      <c r="C580" s="4" t="s">
        <v>186</v>
      </c>
      <c r="D580" s="3" t="s">
        <v>203</v>
      </c>
      <c r="E580" s="3" t="s">
        <v>52</v>
      </c>
      <c r="F580" s="4" t="s">
        <v>53</v>
      </c>
      <c r="G580" s="3" t="s">
        <v>30</v>
      </c>
      <c r="H580" s="5">
        <v>626.31370000000004</v>
      </c>
      <c r="I580" s="5">
        <v>1.8022</v>
      </c>
      <c r="J580" s="5">
        <v>1.7511000000000001</v>
      </c>
      <c r="K580" s="6">
        <v>0.97164576628565091</v>
      </c>
      <c r="L580" s="5">
        <v>20.2</v>
      </c>
      <c r="M580" s="19">
        <f>H580*INDEX('Pliegos Tarifarios (Quilicura)'!$B:$B,MATCH($B580,'Pliegos Tarifarios (Quilicura)'!$A:$A,0))</f>
        <v>82524.972053100006</v>
      </c>
      <c r="N580" s="19">
        <f>I580*INDEX('Pliegos Tarifarios (Quilicura)'!$C:$C,MATCH($B580,'Pliegos Tarifarios (Quilicura)'!$A:$A,0))</f>
        <v>6203.7473018000001</v>
      </c>
      <c r="O580" s="19">
        <f>J580*INDEX('Pliegos Tarifarios (Quilicura)'!$D:$D,MATCH($B580,'Pliegos Tarifarios (Quilicura)'!$A:$A,0))</f>
        <v>25412.197847400003</v>
      </c>
      <c r="P580" s="19">
        <f>H580*INDEX('Pliegos Tarifarios (Quilicura)'!$E:$E,MATCH($B580,'Pliegos Tarifarios (Quilicura)'!$A:$A,0))</f>
        <v>8157.1096287999999</v>
      </c>
      <c r="Q580" s="19" cm="1">
        <f t="array" ref="Q580">H580*_xlfn.IFS(H580&lt;=350,INDEX('Pliegos Tarifarios (Quilicura)'!$F:$F,MATCH($B580,'Pliegos Tarifarios (Quilicura)'!$A:$A,0)),H580&lt;=500,INDEX('Pliegos Tarifarios (Quilicura)'!$G:$G,MATCH($B580,'Pliegos Tarifarios (Quilicura)'!$A:$A,0)),H580&lt;=1000,INDEX('Pliegos Tarifarios (Quilicura)'!$H:$H,MATCH($B580,'Pliegos Tarifarios (Quilicura)'!$A:$A,0)),H580&lt;=5000,INDEX('Pliegos Tarifarios (Quilicura)'!$I:$I,MATCH($B580,'Pliegos Tarifarios (Quilicura)'!$A:$A,0)),H580&gt;5000,INDEX('Pliegos Tarifarios (Quilicura)'!$J:$J,MATCH($B580,'Pliegos Tarifarios (Quilicura)'!$A:$A,0)))/1.19</f>
        <v>1468.9424678151263</v>
      </c>
      <c r="R580" s="19">
        <f>INDEX('Pliegos Tarifarios (Quilicura)'!$K:$K,MATCH($B580,'Pliegos Tarifarios (Quilicura)'!$A:$A,0))</f>
        <v>729.50400000000002</v>
      </c>
      <c r="S580" s="21">
        <f t="shared" si="27"/>
        <v>124496.47329891514</v>
      </c>
      <c r="T580" s="21">
        <f t="shared" si="28"/>
        <v>23654.329926793878</v>
      </c>
      <c r="U580" s="19">
        <v>0</v>
      </c>
      <c r="V580" s="21">
        <f t="shared" si="29"/>
        <v>148150.80322570901</v>
      </c>
    </row>
    <row r="581" spans="1:22" x14ac:dyDescent="0.3">
      <c r="A581" s="3" t="s">
        <v>148</v>
      </c>
      <c r="B581" s="3">
        <v>9</v>
      </c>
      <c r="C581" s="4" t="s">
        <v>186</v>
      </c>
      <c r="D581" s="3" t="s">
        <v>204</v>
      </c>
      <c r="E581" s="3" t="s">
        <v>55</v>
      </c>
      <c r="F581" s="4" t="s">
        <v>56</v>
      </c>
      <c r="G581" s="3" t="s">
        <v>30</v>
      </c>
      <c r="H581" s="5">
        <v>419.2663</v>
      </c>
      <c r="I581" s="5">
        <v>1.1766000000000001</v>
      </c>
      <c r="J581" s="5">
        <v>1.1428</v>
      </c>
      <c r="K581" s="6">
        <v>0.97127315995240515</v>
      </c>
      <c r="L581" s="5">
        <v>13.52</v>
      </c>
      <c r="M581" s="19">
        <f>H581*INDEX('Pliegos Tarifarios (Quilicura)'!$B:$B,MATCH($B581,'Pliegos Tarifarios (Quilicura)'!$A:$A,0))</f>
        <v>55243.7854869</v>
      </c>
      <c r="N581" s="19">
        <f>I581*INDEX('Pliegos Tarifarios (Quilicura)'!$C:$C,MATCH($B581,'Pliegos Tarifarios (Quilicura)'!$A:$A,0))</f>
        <v>4050.2325354000004</v>
      </c>
      <c r="O581" s="19">
        <f>J581*INDEX('Pliegos Tarifarios (Quilicura)'!$D:$D,MATCH($B581,'Pliegos Tarifarios (Quilicura)'!$A:$A,0))</f>
        <v>16584.4667352</v>
      </c>
      <c r="P581" s="19">
        <f>H581*INDEX('Pliegos Tarifarios (Quilicura)'!$E:$E,MATCH($B581,'Pliegos Tarifarios (Quilicura)'!$A:$A,0))</f>
        <v>5460.5242911999994</v>
      </c>
      <c r="Q581" s="19" cm="1">
        <f t="array" ref="Q581">H581*_xlfn.IFS(H581&lt;=350,INDEX('Pliegos Tarifarios (Quilicura)'!$F:$F,MATCH($B581,'Pliegos Tarifarios (Quilicura)'!$A:$A,0)),H581&lt;=500,INDEX('Pliegos Tarifarios (Quilicura)'!$G:$G,MATCH($B581,'Pliegos Tarifarios (Quilicura)'!$A:$A,0)),H581&lt;=1000,INDEX('Pliegos Tarifarios (Quilicura)'!$H:$H,MATCH($B581,'Pliegos Tarifarios (Quilicura)'!$A:$A,0)),H581&lt;=5000,INDEX('Pliegos Tarifarios (Quilicura)'!$I:$I,MATCH($B581,'Pliegos Tarifarios (Quilicura)'!$A:$A,0)),H581&gt;5000,INDEX('Pliegos Tarifarios (Quilicura)'!$J:$J,MATCH($B581,'Pliegos Tarifarios (Quilicura)'!$A:$A,0)))/1.19</f>
        <v>590.4960662184875</v>
      </c>
      <c r="R581" s="19">
        <f>INDEX('Pliegos Tarifarios (Quilicura)'!$K:$K,MATCH($B581,'Pliegos Tarifarios (Quilicura)'!$A:$A,0))</f>
        <v>729.50400000000002</v>
      </c>
      <c r="S581" s="21">
        <f t="shared" si="27"/>
        <v>82659.009114918488</v>
      </c>
      <c r="T581" s="21">
        <f t="shared" si="28"/>
        <v>15705.211731834514</v>
      </c>
      <c r="U581" s="19">
        <v>0</v>
      </c>
      <c r="V581" s="21">
        <f t="shared" si="29"/>
        <v>98364.220846753</v>
      </c>
    </row>
    <row r="582" spans="1:22" x14ac:dyDescent="0.3">
      <c r="A582" s="3" t="s">
        <v>148</v>
      </c>
      <c r="B582" s="3">
        <v>9</v>
      </c>
      <c r="C582" s="4" t="s">
        <v>186</v>
      </c>
      <c r="D582" s="3" t="s">
        <v>205</v>
      </c>
      <c r="E582" s="3" t="s">
        <v>58</v>
      </c>
      <c r="F582" s="4" t="s">
        <v>59</v>
      </c>
      <c r="G582" s="3" t="s">
        <v>30</v>
      </c>
      <c r="H582" s="5">
        <v>419.10610000000003</v>
      </c>
      <c r="I582" s="5">
        <v>1.1629</v>
      </c>
      <c r="J582" s="5">
        <v>1.1314</v>
      </c>
      <c r="K582" s="6">
        <v>0.97291254622065515</v>
      </c>
      <c r="L582" s="5">
        <v>13.52</v>
      </c>
      <c r="M582" s="19">
        <f>H582*INDEX('Pliegos Tarifarios (Quilicura)'!$B:$B,MATCH($B582,'Pliegos Tarifarios (Quilicura)'!$A:$A,0))</f>
        <v>55222.677054300002</v>
      </c>
      <c r="N582" s="19">
        <f>I582*INDEX('Pliegos Tarifarios (Quilicura)'!$C:$C,MATCH($B582,'Pliegos Tarifarios (Quilicura)'!$A:$A,0))</f>
        <v>4003.0727651000002</v>
      </c>
      <c r="O582" s="19">
        <f>J582*INDEX('Pliegos Tarifarios (Quilicura)'!$D:$D,MATCH($B582,'Pliegos Tarifarios (Quilicura)'!$A:$A,0))</f>
        <v>16419.028407599999</v>
      </c>
      <c r="P582" s="19">
        <f>H582*INDEX('Pliegos Tarifarios (Quilicura)'!$E:$E,MATCH($B582,'Pliegos Tarifarios (Quilicura)'!$A:$A,0))</f>
        <v>5458.4378464000001</v>
      </c>
      <c r="Q582" s="19" cm="1">
        <f t="array" ref="Q582">H582*_xlfn.IFS(H582&lt;=350,INDEX('Pliegos Tarifarios (Quilicura)'!$F:$F,MATCH($B582,'Pliegos Tarifarios (Quilicura)'!$A:$A,0)),H582&lt;=500,INDEX('Pliegos Tarifarios (Quilicura)'!$G:$G,MATCH($B582,'Pliegos Tarifarios (Quilicura)'!$A:$A,0)),H582&lt;=1000,INDEX('Pliegos Tarifarios (Quilicura)'!$H:$H,MATCH($B582,'Pliegos Tarifarios (Quilicura)'!$A:$A,0)),H582&lt;=5000,INDEX('Pliegos Tarifarios (Quilicura)'!$I:$I,MATCH($B582,'Pliegos Tarifarios (Quilicura)'!$A:$A,0)),H582&gt;5000,INDEX('Pliegos Tarifarios (Quilicura)'!$J:$J,MATCH($B582,'Pliegos Tarifarios (Quilicura)'!$A:$A,0)))/1.19</f>
        <v>590.27044000000012</v>
      </c>
      <c r="R582" s="19">
        <f>INDEX('Pliegos Tarifarios (Quilicura)'!$K:$K,MATCH($B582,'Pliegos Tarifarios (Quilicura)'!$A:$A,0))</f>
        <v>729.50400000000002</v>
      </c>
      <c r="S582" s="21">
        <f t="shared" si="27"/>
        <v>82422.9905134</v>
      </c>
      <c r="T582" s="21">
        <f t="shared" si="28"/>
        <v>15660.368197546</v>
      </c>
      <c r="U582" s="19">
        <v>0</v>
      </c>
      <c r="V582" s="21">
        <f t="shared" si="29"/>
        <v>98083.358710946006</v>
      </c>
    </row>
    <row r="583" spans="1:22" x14ac:dyDescent="0.3">
      <c r="A583" s="3" t="s">
        <v>148</v>
      </c>
      <c r="B583" s="3">
        <v>9</v>
      </c>
      <c r="C583" s="4" t="s">
        <v>186</v>
      </c>
      <c r="D583" s="3" t="s">
        <v>206</v>
      </c>
      <c r="E583" s="3" t="s">
        <v>61</v>
      </c>
      <c r="F583" s="4" t="s">
        <v>62</v>
      </c>
      <c r="G583" s="3" t="s">
        <v>30</v>
      </c>
      <c r="H583" s="5">
        <v>418.755</v>
      </c>
      <c r="I583" s="5">
        <v>1.1811</v>
      </c>
      <c r="J583" s="5">
        <v>1.1811</v>
      </c>
      <c r="K583" s="6">
        <v>1</v>
      </c>
      <c r="L583" s="5">
        <v>13.51</v>
      </c>
      <c r="M583" s="19">
        <f>H583*INDEX('Pliegos Tarifarios (Quilicura)'!$B:$B,MATCH($B583,'Pliegos Tarifarios (Quilicura)'!$A:$A,0))</f>
        <v>55176.415065000001</v>
      </c>
      <c r="N583" s="19">
        <f>I583*INDEX('Pliegos Tarifarios (Quilicura)'!$C:$C,MATCH($B583,'Pliegos Tarifarios (Quilicura)'!$A:$A,0))</f>
        <v>4065.7229709000003</v>
      </c>
      <c r="O583" s="19">
        <f>J583*INDEX('Pliegos Tarifarios (Quilicura)'!$D:$D,MATCH($B583,'Pliegos Tarifarios (Quilicura)'!$A:$A,0))</f>
        <v>17140.2814674</v>
      </c>
      <c r="P583" s="19">
        <f>H583*INDEX('Pliegos Tarifarios (Quilicura)'!$E:$E,MATCH($B583,'Pliegos Tarifarios (Quilicura)'!$A:$A,0))</f>
        <v>5453.8651199999995</v>
      </c>
      <c r="Q583" s="19" cm="1">
        <f t="array" ref="Q583">H583*_xlfn.IFS(H583&lt;=350,INDEX('Pliegos Tarifarios (Quilicura)'!$F:$F,MATCH($B583,'Pliegos Tarifarios (Quilicura)'!$A:$A,0)),H583&lt;=500,INDEX('Pliegos Tarifarios (Quilicura)'!$G:$G,MATCH($B583,'Pliegos Tarifarios (Quilicura)'!$A:$A,0)),H583&lt;=1000,INDEX('Pliegos Tarifarios (Quilicura)'!$H:$H,MATCH($B583,'Pliegos Tarifarios (Quilicura)'!$A:$A,0)),H583&lt;=5000,INDEX('Pliegos Tarifarios (Quilicura)'!$I:$I,MATCH($B583,'Pliegos Tarifarios (Quilicura)'!$A:$A,0)),H583&gt;5000,INDEX('Pliegos Tarifarios (Quilicura)'!$J:$J,MATCH($B583,'Pliegos Tarifarios (Quilicura)'!$A:$A,0)))/1.19</f>
        <v>589.77594957983194</v>
      </c>
      <c r="R583" s="19">
        <f>INDEX('Pliegos Tarifarios (Quilicura)'!$K:$K,MATCH($B583,'Pliegos Tarifarios (Quilicura)'!$A:$A,0))</f>
        <v>729.50400000000002</v>
      </c>
      <c r="S583" s="21">
        <f t="shared" si="27"/>
        <v>83155.564572879841</v>
      </c>
      <c r="T583" s="21">
        <f t="shared" si="28"/>
        <v>15799.557268847169</v>
      </c>
      <c r="U583" s="19">
        <v>0</v>
      </c>
      <c r="V583" s="21">
        <f t="shared" si="29"/>
        <v>98955.121841727014</v>
      </c>
    </row>
    <row r="584" spans="1:22" x14ac:dyDescent="0.3">
      <c r="A584" s="3" t="s">
        <v>148</v>
      </c>
      <c r="B584" s="3">
        <v>9</v>
      </c>
      <c r="C584" s="4" t="s">
        <v>186</v>
      </c>
      <c r="D584" s="3" t="s">
        <v>207</v>
      </c>
      <c r="E584" s="3" t="s">
        <v>34</v>
      </c>
      <c r="F584" s="4" t="s">
        <v>64</v>
      </c>
      <c r="G584" s="3" t="s">
        <v>30</v>
      </c>
      <c r="H584" s="5">
        <v>839.69910000000004</v>
      </c>
      <c r="I584" s="5">
        <v>2.3593999999999999</v>
      </c>
      <c r="J584" s="5">
        <v>2.3108</v>
      </c>
      <c r="K584" s="6">
        <v>0.97940154276510982</v>
      </c>
      <c r="L584" s="5">
        <v>27.09</v>
      </c>
      <c r="M584" s="19">
        <f>H584*INDEX('Pliegos Tarifarios (Quilicura)'!$B:$B,MATCH($B584,'Pliegos Tarifarios (Quilicura)'!$A:$A,0))</f>
        <v>110641.27251330001</v>
      </c>
      <c r="N584" s="19">
        <f>I584*INDEX('Pliegos Tarifarios (Quilicura)'!$C:$C,MATCH($B584,'Pliegos Tarifarios (Quilicura)'!$A:$A,0))</f>
        <v>8121.8074485999996</v>
      </c>
      <c r="O584" s="19">
        <f>J584*INDEX('Pliegos Tarifarios (Quilicura)'!$D:$D,MATCH($B584,'Pliegos Tarifarios (Quilicura)'!$A:$A,0))</f>
        <v>33534.639247200001</v>
      </c>
      <c r="P584" s="19">
        <f>H584*INDEX('Pliegos Tarifarios (Quilicura)'!$E:$E,MATCH($B584,'Pliegos Tarifarios (Quilicura)'!$A:$A,0))</f>
        <v>10936.2410784</v>
      </c>
      <c r="Q584" s="19" cm="1">
        <f t="array" ref="Q584">H584*_xlfn.IFS(H584&lt;=350,INDEX('Pliegos Tarifarios (Quilicura)'!$F:$F,MATCH($B584,'Pliegos Tarifarios (Quilicura)'!$A:$A,0)),H584&lt;=500,INDEX('Pliegos Tarifarios (Quilicura)'!$G:$G,MATCH($B584,'Pliegos Tarifarios (Quilicura)'!$A:$A,0)),H584&lt;=1000,INDEX('Pliegos Tarifarios (Quilicura)'!$H:$H,MATCH($B584,'Pliegos Tarifarios (Quilicura)'!$A:$A,0)),H584&lt;=5000,INDEX('Pliegos Tarifarios (Quilicura)'!$I:$I,MATCH($B584,'Pliegos Tarifarios (Quilicura)'!$A:$A,0)),H584&gt;5000,INDEX('Pliegos Tarifarios (Quilicura)'!$J:$J,MATCH($B584,'Pliegos Tarifarios (Quilicura)'!$A:$A,0)))/1.19</f>
        <v>1969.4119227731098</v>
      </c>
      <c r="R584" s="19">
        <f>INDEX('Pliegos Tarifarios (Quilicura)'!$K:$K,MATCH($B584,'Pliegos Tarifarios (Quilicura)'!$A:$A,0))</f>
        <v>729.50400000000002</v>
      </c>
      <c r="S584" s="21">
        <f t="shared" si="27"/>
        <v>165932.8762102731</v>
      </c>
      <c r="T584" s="21">
        <f t="shared" si="28"/>
        <v>31527.246479951889</v>
      </c>
      <c r="U584" s="19">
        <v>0</v>
      </c>
      <c r="V584" s="21">
        <f t="shared" si="29"/>
        <v>197460.12269022499</v>
      </c>
    </row>
    <row r="585" spans="1:22" x14ac:dyDescent="0.3">
      <c r="A585" s="3" t="s">
        <v>148</v>
      </c>
      <c r="B585" s="3">
        <v>9</v>
      </c>
      <c r="C585" s="4" t="s">
        <v>186</v>
      </c>
      <c r="D585" s="3" t="s">
        <v>208</v>
      </c>
      <c r="E585" s="3" t="s">
        <v>34</v>
      </c>
      <c r="F585" s="4" t="s">
        <v>66</v>
      </c>
      <c r="G585" s="3" t="s">
        <v>30</v>
      </c>
      <c r="H585" s="5">
        <v>834.91489999999999</v>
      </c>
      <c r="I585" s="5">
        <v>2.3296999999999999</v>
      </c>
      <c r="J585" s="5">
        <v>2.3296999999999999</v>
      </c>
      <c r="K585" s="6">
        <v>1</v>
      </c>
      <c r="L585" s="5">
        <v>26.93</v>
      </c>
      <c r="M585" s="19">
        <f>H585*INDEX('Pliegos Tarifarios (Quilicura)'!$B:$B,MATCH($B585,'Pliegos Tarifarios (Quilicura)'!$A:$A,0))</f>
        <v>110010.8919687</v>
      </c>
      <c r="N585" s="19">
        <f>I585*INDEX('Pliegos Tarifarios (Quilicura)'!$C:$C,MATCH($B585,'Pliegos Tarifarios (Quilicura)'!$A:$A,0))</f>
        <v>8019.5705742999999</v>
      </c>
      <c r="O585" s="19">
        <f>J585*INDEX('Pliegos Tarifarios (Quilicura)'!$D:$D,MATCH($B585,'Pliegos Tarifarios (Quilicura)'!$A:$A,0))</f>
        <v>33808.918579799996</v>
      </c>
      <c r="P585" s="19">
        <f>H585*INDEX('Pliegos Tarifarios (Quilicura)'!$E:$E,MATCH($B585,'Pliegos Tarifarios (Quilicura)'!$A:$A,0))</f>
        <v>10873.931657599998</v>
      </c>
      <c r="Q585" s="19" cm="1">
        <f t="array" ref="Q585">H585*_xlfn.IFS(H585&lt;=350,INDEX('Pliegos Tarifarios (Quilicura)'!$F:$F,MATCH($B585,'Pliegos Tarifarios (Quilicura)'!$A:$A,0)),H585&lt;=500,INDEX('Pliegos Tarifarios (Quilicura)'!$G:$G,MATCH($B585,'Pliegos Tarifarios (Quilicura)'!$A:$A,0)),H585&lt;=1000,INDEX('Pliegos Tarifarios (Quilicura)'!$H:$H,MATCH($B585,'Pliegos Tarifarios (Quilicura)'!$A:$A,0)),H585&lt;=5000,INDEX('Pliegos Tarifarios (Quilicura)'!$I:$I,MATCH($B585,'Pliegos Tarifarios (Quilicura)'!$A:$A,0)),H585&gt;5000,INDEX('Pliegos Tarifarios (Quilicura)'!$J:$J,MATCH($B585,'Pliegos Tarifarios (Quilicura)'!$A:$A,0)))/1.19</f>
        <v>1958.1911646218491</v>
      </c>
      <c r="R585" s="19">
        <f>INDEX('Pliegos Tarifarios (Quilicura)'!$K:$K,MATCH($B585,'Pliegos Tarifarios (Quilicura)'!$A:$A,0))</f>
        <v>729.50400000000002</v>
      </c>
      <c r="S585" s="21">
        <f t="shared" si="27"/>
        <v>165401.00794502182</v>
      </c>
      <c r="T585" s="21">
        <f t="shared" si="28"/>
        <v>31426.191509554144</v>
      </c>
      <c r="U585" s="19">
        <v>0</v>
      </c>
      <c r="V585" s="21">
        <f t="shared" si="29"/>
        <v>196827.19945457595</v>
      </c>
    </row>
    <row r="586" spans="1:22" x14ac:dyDescent="0.3">
      <c r="A586" s="3" t="s">
        <v>148</v>
      </c>
      <c r="B586" s="3">
        <v>9</v>
      </c>
      <c r="C586" s="4" t="s">
        <v>186</v>
      </c>
      <c r="D586" s="3" t="s">
        <v>209</v>
      </c>
      <c r="E586" s="3" t="s">
        <v>34</v>
      </c>
      <c r="F586" s="4" t="s">
        <v>68</v>
      </c>
      <c r="G586" s="3" t="s">
        <v>30</v>
      </c>
      <c r="H586" s="5">
        <v>837.47900000000004</v>
      </c>
      <c r="I586" s="5">
        <v>2.3363999999999998</v>
      </c>
      <c r="J586" s="5">
        <v>2.2629999999999999</v>
      </c>
      <c r="K586" s="6">
        <v>0.96858414655024827</v>
      </c>
      <c r="L586" s="5">
        <v>27.02</v>
      </c>
      <c r="M586" s="19">
        <f>H586*INDEX('Pliegos Tarifarios (Quilicura)'!$B:$B,MATCH($B586,'Pliegos Tarifarios (Quilicura)'!$A:$A,0))</f>
        <v>110348.745477</v>
      </c>
      <c r="N586" s="19">
        <f>I586*INDEX('Pliegos Tarifarios (Quilicura)'!$C:$C,MATCH($B586,'Pliegos Tarifarios (Quilicura)'!$A:$A,0))</f>
        <v>8042.6341115999994</v>
      </c>
      <c r="O586" s="19">
        <f>J586*INDEX('Pliegos Tarifarios (Quilicura)'!$D:$D,MATCH($B586,'Pliegos Tarifarios (Quilicura)'!$A:$A,0))</f>
        <v>32840.959241999997</v>
      </c>
      <c r="P586" s="19">
        <f>H586*INDEX('Pliegos Tarifarios (Quilicura)'!$E:$E,MATCH($B586,'Pliegos Tarifarios (Quilicura)'!$A:$A,0))</f>
        <v>10907.326496</v>
      </c>
      <c r="Q586" s="19" cm="1">
        <f t="array" ref="Q586">H586*_xlfn.IFS(H586&lt;=350,INDEX('Pliegos Tarifarios (Quilicura)'!$F:$F,MATCH($B586,'Pliegos Tarifarios (Quilicura)'!$A:$A,0)),H586&lt;=500,INDEX('Pliegos Tarifarios (Quilicura)'!$G:$G,MATCH($B586,'Pliegos Tarifarios (Quilicura)'!$A:$A,0)),H586&lt;=1000,INDEX('Pliegos Tarifarios (Quilicura)'!$H:$H,MATCH($B586,'Pliegos Tarifarios (Quilicura)'!$A:$A,0)),H586&lt;=5000,INDEX('Pliegos Tarifarios (Quilicura)'!$I:$I,MATCH($B586,'Pliegos Tarifarios (Quilicura)'!$A:$A,0)),H586&gt;5000,INDEX('Pliegos Tarifarios (Quilicura)'!$J:$J,MATCH($B586,'Pliegos Tarifarios (Quilicura)'!$A:$A,0)))/1.19</f>
        <v>1964.2049487394963</v>
      </c>
      <c r="R586" s="19">
        <f>INDEX('Pliegos Tarifarios (Quilicura)'!$K:$K,MATCH($B586,'Pliegos Tarifarios (Quilicura)'!$A:$A,0))</f>
        <v>729.50400000000002</v>
      </c>
      <c r="S586" s="21">
        <f t="shared" si="27"/>
        <v>164833.37427533948</v>
      </c>
      <c r="T586" s="21">
        <f t="shared" si="28"/>
        <v>31318.341112314502</v>
      </c>
      <c r="U586" s="19">
        <v>0</v>
      </c>
      <c r="V586" s="21">
        <f t="shared" si="29"/>
        <v>196151.71538765397</v>
      </c>
    </row>
    <row r="587" spans="1:22" x14ac:dyDescent="0.3">
      <c r="A587" s="3" t="s">
        <v>148</v>
      </c>
      <c r="B587" s="3">
        <v>9</v>
      </c>
      <c r="C587" s="4" t="s">
        <v>186</v>
      </c>
      <c r="D587" s="3" t="s">
        <v>210</v>
      </c>
      <c r="E587" s="3" t="s">
        <v>70</v>
      </c>
      <c r="F587" s="4" t="s">
        <v>71</v>
      </c>
      <c r="G587" s="3" t="s">
        <v>30</v>
      </c>
      <c r="H587" s="5">
        <v>1046.7022999999999</v>
      </c>
      <c r="I587" s="5">
        <v>2.9468000000000001</v>
      </c>
      <c r="J587" s="5">
        <v>2.9106999999999998</v>
      </c>
      <c r="K587" s="6">
        <v>0.98774942310302694</v>
      </c>
      <c r="L587" s="5">
        <v>33.76</v>
      </c>
      <c r="M587" s="19">
        <f>H587*INDEX('Pliegos Tarifarios (Quilicura)'!$B:$B,MATCH($B587,'Pliegos Tarifarios (Quilicura)'!$A:$A,0))</f>
        <v>137916.6351549</v>
      </c>
      <c r="N587" s="19">
        <f>I587*INDEX('Pliegos Tarifarios (Quilicura)'!$C:$C,MATCH($B587,'Pliegos Tarifarios (Quilicura)'!$A:$A,0))</f>
        <v>10143.825629200001</v>
      </c>
      <c r="O587" s="19">
        <f>J587*INDEX('Pliegos Tarifarios (Quilicura)'!$D:$D,MATCH($B587,'Pliegos Tarifarios (Quilicura)'!$A:$A,0))</f>
        <v>42240.468433800001</v>
      </c>
      <c r="P587" s="19">
        <f>H587*INDEX('Pliegos Tarifarios (Quilicura)'!$E:$E,MATCH($B587,'Pliegos Tarifarios (Quilicura)'!$A:$A,0))</f>
        <v>13632.250755199999</v>
      </c>
      <c r="Q587" s="19" cm="1">
        <f t="array" ref="Q587">H587*_xlfn.IFS(H587&lt;=350,INDEX('Pliegos Tarifarios (Quilicura)'!$F:$F,MATCH($B587,'Pliegos Tarifarios (Quilicura)'!$A:$A,0)),H587&lt;=500,INDEX('Pliegos Tarifarios (Quilicura)'!$G:$G,MATCH($B587,'Pliegos Tarifarios (Quilicura)'!$A:$A,0)),H587&lt;=1000,INDEX('Pliegos Tarifarios (Quilicura)'!$H:$H,MATCH($B587,'Pliegos Tarifarios (Quilicura)'!$A:$A,0)),H587&lt;=5000,INDEX('Pliegos Tarifarios (Quilicura)'!$I:$I,MATCH($B587,'Pliegos Tarifarios (Quilicura)'!$A:$A,0)),H587&gt;5000,INDEX('Pliegos Tarifarios (Quilicura)'!$J:$J,MATCH($B587,'Pliegos Tarifarios (Quilicura)'!$A:$A,0)))/1.19</f>
        <v>3140.9864817647058</v>
      </c>
      <c r="R587" s="19">
        <f>INDEX('Pliegos Tarifarios (Quilicura)'!$K:$K,MATCH($B587,'Pliegos Tarifarios (Quilicura)'!$A:$A,0))</f>
        <v>729.50400000000002</v>
      </c>
      <c r="S587" s="21">
        <f t="shared" ref="S587:S639" si="30">SUM(M587:R587)</f>
        <v>207803.67045486468</v>
      </c>
      <c r="T587" s="21">
        <f t="shared" ref="T587:T639" si="31">S587*0.19</f>
        <v>39482.69738642429</v>
      </c>
      <c r="U587" s="19">
        <v>0</v>
      </c>
      <c r="V587" s="21">
        <f t="shared" ref="V587:V639" si="32">SUM(S587:T587)</f>
        <v>247286.36784128897</v>
      </c>
    </row>
    <row r="588" spans="1:22" x14ac:dyDescent="0.3">
      <c r="A588" s="3" t="s">
        <v>148</v>
      </c>
      <c r="B588" s="3">
        <v>9</v>
      </c>
      <c r="C588" s="4" t="s">
        <v>186</v>
      </c>
      <c r="D588" s="3" t="s">
        <v>211</v>
      </c>
      <c r="E588" s="3" t="s">
        <v>73</v>
      </c>
      <c r="F588" s="4" t="s">
        <v>74</v>
      </c>
      <c r="G588" s="3" t="s">
        <v>16</v>
      </c>
      <c r="H588" s="5">
        <v>1679.1382000000001</v>
      </c>
      <c r="I588" s="5">
        <v>4.6219999999999999</v>
      </c>
      <c r="J588" s="5">
        <v>4.5057</v>
      </c>
      <c r="K588" s="6">
        <v>0.97483773258329731</v>
      </c>
      <c r="L588" s="5">
        <v>54.17</v>
      </c>
      <c r="M588" s="19">
        <f>H588*INDEX('Pliegos Tarifarios (Quilicura)'!$B:$B,MATCH($B588,'Pliegos Tarifarios (Quilicura)'!$A:$A,0))</f>
        <v>221248.28664660003</v>
      </c>
      <c r="N588" s="19">
        <f>I588*INDEX('Pliegos Tarifarios (Quilicura)'!$C:$C,MATCH($B588,'Pliegos Tarifarios (Quilicura)'!$A:$A,0))</f>
        <v>15910.398417999999</v>
      </c>
      <c r="O588" s="19">
        <f>J588*INDEX('Pliegos Tarifarios (Quilicura)'!$D:$D,MATCH($B588,'Pliegos Tarifarios (Quilicura)'!$A:$A,0))</f>
        <v>65387.322163800003</v>
      </c>
      <c r="P588" s="19">
        <f>H588*INDEX('Pliegos Tarifarios (Quilicura)'!$E:$E,MATCH($B588,'Pliegos Tarifarios (Quilicura)'!$A:$A,0))</f>
        <v>21869.095916800001</v>
      </c>
      <c r="Q588" s="19" cm="1">
        <f t="array" ref="Q588">H588*_xlfn.IFS(H588&lt;=350,INDEX('Pliegos Tarifarios (Quilicura)'!$F:$F,MATCH($B588,'Pliegos Tarifarios (Quilicura)'!$A:$A,0)),H588&lt;=500,INDEX('Pliegos Tarifarios (Quilicura)'!$G:$G,MATCH($B588,'Pliegos Tarifarios (Quilicura)'!$A:$A,0)),H588&lt;=1000,INDEX('Pliegos Tarifarios (Quilicura)'!$H:$H,MATCH($B588,'Pliegos Tarifarios (Quilicura)'!$A:$A,0)),H588&lt;=5000,INDEX('Pliegos Tarifarios (Quilicura)'!$I:$I,MATCH($B588,'Pliegos Tarifarios (Quilicura)'!$A:$A,0)),H588&gt;5000,INDEX('Pliegos Tarifarios (Quilicura)'!$J:$J,MATCH($B588,'Pliegos Tarifarios (Quilicura)'!$A:$A,0)))/1.19</f>
        <v>5038.8256405042011</v>
      </c>
      <c r="R588" s="19">
        <f>INDEX('Pliegos Tarifarios (Quilicura)'!$K:$K,MATCH($B588,'Pliegos Tarifarios (Quilicura)'!$A:$A,0))</f>
        <v>729.50400000000002</v>
      </c>
      <c r="S588" s="21">
        <f t="shared" si="30"/>
        <v>330183.43278570427</v>
      </c>
      <c r="T588" s="21">
        <f t="shared" si="31"/>
        <v>62734.85222928381</v>
      </c>
      <c r="U588" s="19">
        <v>0</v>
      </c>
      <c r="V588" s="21">
        <f t="shared" si="32"/>
        <v>392918.2850149881</v>
      </c>
    </row>
    <row r="589" spans="1:22" x14ac:dyDescent="0.3">
      <c r="A589" s="3" t="s">
        <v>148</v>
      </c>
      <c r="B589" s="3">
        <v>9</v>
      </c>
      <c r="C589" s="4" t="s">
        <v>186</v>
      </c>
      <c r="D589" s="3" t="s">
        <v>212</v>
      </c>
      <c r="E589" s="3" t="s">
        <v>73</v>
      </c>
      <c r="F589" s="4" t="s">
        <v>76</v>
      </c>
      <c r="G589" s="3" t="s">
        <v>16</v>
      </c>
      <c r="H589" s="5">
        <v>1253.7843</v>
      </c>
      <c r="I589" s="5">
        <v>3.5198999999999998</v>
      </c>
      <c r="J589" s="5">
        <v>3.5198999999999998</v>
      </c>
      <c r="K589" s="6">
        <v>1</v>
      </c>
      <c r="L589" s="5">
        <v>40.44</v>
      </c>
      <c r="M589" s="19">
        <f>H589*INDEX('Pliegos Tarifarios (Quilicura)'!$B:$B,MATCH($B589,'Pliegos Tarifarios (Quilicura)'!$A:$A,0))</f>
        <v>165202.38072090002</v>
      </c>
      <c r="N589" s="19">
        <f>I589*INDEX('Pliegos Tarifarios (Quilicura)'!$C:$C,MATCH($B589,'Pliegos Tarifarios (Quilicura)'!$A:$A,0))</f>
        <v>12116.618648099999</v>
      </c>
      <c r="O589" s="19">
        <f>J589*INDEX('Pliegos Tarifarios (Quilicura)'!$D:$D,MATCH($B589,'Pliegos Tarifarios (Quilicura)'!$A:$A,0))</f>
        <v>51081.260466599997</v>
      </c>
      <c r="P589" s="19">
        <f>H589*INDEX('Pliegos Tarifarios (Quilicura)'!$E:$E,MATCH($B589,'Pliegos Tarifarios (Quilicura)'!$A:$A,0))</f>
        <v>16329.286723199999</v>
      </c>
      <c r="Q589" s="19" cm="1">
        <f t="array" ref="Q589">H589*_xlfn.IFS(H589&lt;=350,INDEX('Pliegos Tarifarios (Quilicura)'!$F:$F,MATCH($B589,'Pliegos Tarifarios (Quilicura)'!$A:$A,0)),H589&lt;=500,INDEX('Pliegos Tarifarios (Quilicura)'!$G:$G,MATCH($B589,'Pliegos Tarifarios (Quilicura)'!$A:$A,0)),H589&lt;=1000,INDEX('Pliegos Tarifarios (Quilicura)'!$H:$H,MATCH($B589,'Pliegos Tarifarios (Quilicura)'!$A:$A,0)),H589&lt;=5000,INDEX('Pliegos Tarifarios (Quilicura)'!$I:$I,MATCH($B589,'Pliegos Tarifarios (Quilicura)'!$A:$A,0)),H589&gt;5000,INDEX('Pliegos Tarifarios (Quilicura)'!$J:$J,MATCH($B589,'Pliegos Tarifarios (Quilicura)'!$A:$A,0)))/1.19</f>
        <v>3762.4065002521011</v>
      </c>
      <c r="R589" s="19">
        <f>INDEX('Pliegos Tarifarios (Quilicura)'!$K:$K,MATCH($B589,'Pliegos Tarifarios (Quilicura)'!$A:$A,0))</f>
        <v>729.50400000000002</v>
      </c>
      <c r="S589" s="21">
        <f t="shared" si="30"/>
        <v>249221.45705905213</v>
      </c>
      <c r="T589" s="21">
        <f t="shared" si="31"/>
        <v>47352.076841219903</v>
      </c>
      <c r="U589" s="19">
        <v>0</v>
      </c>
      <c r="V589" s="21">
        <f t="shared" si="32"/>
        <v>296573.53390027204</v>
      </c>
    </row>
    <row r="590" spans="1:22" x14ac:dyDescent="0.3">
      <c r="A590" s="3" t="s">
        <v>148</v>
      </c>
      <c r="B590" s="3">
        <v>9</v>
      </c>
      <c r="C590" s="4" t="s">
        <v>186</v>
      </c>
      <c r="D590" s="3" t="s">
        <v>213</v>
      </c>
      <c r="E590" s="3" t="s">
        <v>78</v>
      </c>
      <c r="F590" s="4" t="s">
        <v>79</v>
      </c>
      <c r="G590" s="3" t="s">
        <v>16</v>
      </c>
      <c r="H590" s="5">
        <v>1045.6389999999999</v>
      </c>
      <c r="I590" s="5">
        <v>2.9379</v>
      </c>
      <c r="J590" s="5">
        <v>2.9379</v>
      </c>
      <c r="K590" s="6">
        <v>1</v>
      </c>
      <c r="L590" s="5">
        <v>33.729999999999997</v>
      </c>
      <c r="M590" s="19">
        <f>H590*INDEX('Pliegos Tarifarios (Quilicura)'!$B:$B,MATCH($B590,'Pliegos Tarifarios (Quilicura)'!$A:$A,0))</f>
        <v>137776.53155699998</v>
      </c>
      <c r="N590" s="19">
        <f>I590*INDEX('Pliegos Tarifarios (Quilicura)'!$C:$C,MATCH($B590,'Pliegos Tarifarios (Quilicura)'!$A:$A,0))</f>
        <v>10113.1889901</v>
      </c>
      <c r="O590" s="19">
        <f>J590*INDEX('Pliegos Tarifarios (Quilicura)'!$D:$D,MATCH($B590,'Pliegos Tarifarios (Quilicura)'!$A:$A,0))</f>
        <v>42635.198478600003</v>
      </c>
      <c r="P590" s="19">
        <f>H590*INDEX('Pliegos Tarifarios (Quilicura)'!$E:$E,MATCH($B590,'Pliegos Tarifarios (Quilicura)'!$A:$A,0))</f>
        <v>13618.402335999997</v>
      </c>
      <c r="Q590" s="19" cm="1">
        <f t="array" ref="Q590">H590*_xlfn.IFS(H590&lt;=350,INDEX('Pliegos Tarifarios (Quilicura)'!$F:$F,MATCH($B590,'Pliegos Tarifarios (Quilicura)'!$A:$A,0)),H590&lt;=500,INDEX('Pliegos Tarifarios (Quilicura)'!$G:$G,MATCH($B590,'Pliegos Tarifarios (Quilicura)'!$A:$A,0)),H590&lt;=1000,INDEX('Pliegos Tarifarios (Quilicura)'!$H:$H,MATCH($B590,'Pliegos Tarifarios (Quilicura)'!$A:$A,0)),H590&lt;=5000,INDEX('Pliegos Tarifarios (Quilicura)'!$I:$I,MATCH($B590,'Pliegos Tarifarios (Quilicura)'!$A:$A,0)),H590&gt;5000,INDEX('Pliegos Tarifarios (Quilicura)'!$J:$J,MATCH($B590,'Pliegos Tarifarios (Quilicura)'!$A:$A,0)))/1.19</f>
        <v>3137.7956882352937</v>
      </c>
      <c r="R590" s="19">
        <f>INDEX('Pliegos Tarifarios (Quilicura)'!$K:$K,MATCH($B590,'Pliegos Tarifarios (Quilicura)'!$A:$A,0))</f>
        <v>729.50400000000002</v>
      </c>
      <c r="S590" s="21">
        <f t="shared" si="30"/>
        <v>208010.62104993526</v>
      </c>
      <c r="T590" s="21">
        <f t="shared" si="31"/>
        <v>39522.017999487703</v>
      </c>
      <c r="U590" s="19">
        <v>0</v>
      </c>
      <c r="V590" s="21">
        <f t="shared" si="32"/>
        <v>247532.63904942296</v>
      </c>
    </row>
    <row r="591" spans="1:22" x14ac:dyDescent="0.3">
      <c r="A591" s="3" t="s">
        <v>148</v>
      </c>
      <c r="B591" s="3">
        <v>9</v>
      </c>
      <c r="C591" s="4" t="s">
        <v>186</v>
      </c>
      <c r="D591" s="3" t="s">
        <v>214</v>
      </c>
      <c r="E591" s="3" t="s">
        <v>78</v>
      </c>
      <c r="F591" s="4" t="s">
        <v>81</v>
      </c>
      <c r="G591" s="3" t="s">
        <v>16</v>
      </c>
      <c r="H591" s="5">
        <v>697.04920000000004</v>
      </c>
      <c r="I591" s="5">
        <v>2.0051999999999999</v>
      </c>
      <c r="J591" s="5">
        <v>1.9722</v>
      </c>
      <c r="K591" s="6">
        <v>0.98354278874925194</v>
      </c>
      <c r="L591" s="5">
        <v>22.49</v>
      </c>
      <c r="M591" s="19">
        <f>H591*INDEX('Pliegos Tarifarios (Quilicura)'!$B:$B,MATCH($B591,'Pliegos Tarifarios (Quilicura)'!$A:$A,0))</f>
        <v>91845.293739600005</v>
      </c>
      <c r="N591" s="19">
        <f>I591*INDEX('Pliegos Tarifarios (Quilicura)'!$C:$C,MATCH($B591,'Pliegos Tarifarios (Quilicura)'!$A:$A,0))</f>
        <v>6902.5380587999998</v>
      </c>
      <c r="O591" s="19">
        <f>J591*INDEX('Pliegos Tarifarios (Quilicura)'!$D:$D,MATCH($B591,'Pliegos Tarifarios (Quilicura)'!$A:$A,0))</f>
        <v>28620.8306748</v>
      </c>
      <c r="P591" s="19">
        <f>H591*INDEX('Pliegos Tarifarios (Quilicura)'!$E:$E,MATCH($B591,'Pliegos Tarifarios (Quilicura)'!$A:$A,0))</f>
        <v>9078.3687807999995</v>
      </c>
      <c r="Q591" s="19" cm="1">
        <f t="array" ref="Q591">H591*_xlfn.IFS(H591&lt;=350,INDEX('Pliegos Tarifarios (Quilicura)'!$F:$F,MATCH($B591,'Pliegos Tarifarios (Quilicura)'!$A:$A,0)),H591&lt;=500,INDEX('Pliegos Tarifarios (Quilicura)'!$G:$G,MATCH($B591,'Pliegos Tarifarios (Quilicura)'!$A:$A,0)),H591&lt;=1000,INDEX('Pliegos Tarifarios (Quilicura)'!$H:$H,MATCH($B591,'Pliegos Tarifarios (Quilicura)'!$A:$A,0)),H591&lt;=5000,INDEX('Pliegos Tarifarios (Quilicura)'!$I:$I,MATCH($B591,'Pliegos Tarifarios (Quilicura)'!$A:$A,0)),H591&gt;5000,INDEX('Pliegos Tarifarios (Quilicura)'!$J:$J,MATCH($B591,'Pliegos Tarifarios (Quilicura)'!$A:$A,0)))/1.19</f>
        <v>1634.8439640336137</v>
      </c>
      <c r="R591" s="19">
        <f>INDEX('Pliegos Tarifarios (Quilicura)'!$K:$K,MATCH($B591,'Pliegos Tarifarios (Quilicura)'!$A:$A,0))</f>
        <v>729.50400000000002</v>
      </c>
      <c r="S591" s="21">
        <f t="shared" si="30"/>
        <v>138811.3792180336</v>
      </c>
      <c r="T591" s="21">
        <f t="shared" si="31"/>
        <v>26374.162051426385</v>
      </c>
      <c r="U591" s="19">
        <v>0</v>
      </c>
      <c r="V591" s="21">
        <f t="shared" si="32"/>
        <v>165185.54126945999</v>
      </c>
    </row>
    <row r="592" spans="1:22" x14ac:dyDescent="0.3">
      <c r="A592" s="3" t="s">
        <v>148</v>
      </c>
      <c r="B592" s="3">
        <v>9</v>
      </c>
      <c r="C592" s="4" t="s">
        <v>186</v>
      </c>
      <c r="D592" s="3" t="s">
        <v>215</v>
      </c>
      <c r="E592" s="3" t="s">
        <v>78</v>
      </c>
      <c r="F592" s="4" t="s">
        <v>83</v>
      </c>
      <c r="G592" s="3" t="s">
        <v>16</v>
      </c>
      <c r="H592" s="5">
        <v>697.25360000000001</v>
      </c>
      <c r="I592" s="5">
        <v>1.9497</v>
      </c>
      <c r="J592" s="5">
        <v>1.9077999999999999</v>
      </c>
      <c r="K592" s="6">
        <v>0.97850951428424882</v>
      </c>
      <c r="L592" s="5">
        <v>22.49</v>
      </c>
      <c r="M592" s="19">
        <f>H592*INDEX('Pliegos Tarifarios (Quilicura)'!$B:$B,MATCH($B592,'Pliegos Tarifarios (Quilicura)'!$A:$A,0))</f>
        <v>91872.226096800005</v>
      </c>
      <c r="N592" s="19">
        <f>I592*INDEX('Pliegos Tarifarios (Quilicura)'!$C:$C,MATCH($B592,'Pliegos Tarifarios (Quilicura)'!$A:$A,0))</f>
        <v>6711.4893542999998</v>
      </c>
      <c r="O592" s="19">
        <f>J592*INDEX('Pliegos Tarifarios (Quilicura)'!$D:$D,MATCH($B592,'Pliegos Tarifarios (Quilicura)'!$A:$A,0))</f>
        <v>27686.249245200001</v>
      </c>
      <c r="P592" s="19">
        <f>H592*INDEX('Pliegos Tarifarios (Quilicura)'!$E:$E,MATCH($B592,'Pliegos Tarifarios (Quilicura)'!$A:$A,0))</f>
        <v>9081.0308863999999</v>
      </c>
      <c r="Q592" s="19" cm="1">
        <f t="array" ref="Q592">H592*_xlfn.IFS(H592&lt;=350,INDEX('Pliegos Tarifarios (Quilicura)'!$F:$F,MATCH($B592,'Pliegos Tarifarios (Quilicura)'!$A:$A,0)),H592&lt;=500,INDEX('Pliegos Tarifarios (Quilicura)'!$G:$G,MATCH($B592,'Pliegos Tarifarios (Quilicura)'!$A:$A,0)),H592&lt;=1000,INDEX('Pliegos Tarifarios (Quilicura)'!$H:$H,MATCH($B592,'Pliegos Tarifarios (Quilicura)'!$A:$A,0)),H592&lt;=5000,INDEX('Pliegos Tarifarios (Quilicura)'!$I:$I,MATCH($B592,'Pliegos Tarifarios (Quilicura)'!$A:$A,0)),H592&gt;5000,INDEX('Pliegos Tarifarios (Quilicura)'!$J:$J,MATCH($B592,'Pliegos Tarifarios (Quilicura)'!$A:$A,0)))/1.19</f>
        <v>1635.3233593277314</v>
      </c>
      <c r="R592" s="19">
        <f>INDEX('Pliegos Tarifarios (Quilicura)'!$K:$K,MATCH($B592,'Pliegos Tarifarios (Quilicura)'!$A:$A,0))</f>
        <v>729.50400000000002</v>
      </c>
      <c r="S592" s="21">
        <f t="shared" si="30"/>
        <v>137715.82294202773</v>
      </c>
      <c r="T592" s="21">
        <f t="shared" si="31"/>
        <v>26166.006358985269</v>
      </c>
      <c r="U592" s="19">
        <v>0</v>
      </c>
      <c r="V592" s="21">
        <f t="shared" si="32"/>
        <v>163881.829301013</v>
      </c>
    </row>
    <row r="593" spans="1:22" x14ac:dyDescent="0.3">
      <c r="A593" s="3" t="s">
        <v>148</v>
      </c>
      <c r="B593" s="3">
        <v>9</v>
      </c>
      <c r="C593" s="4" t="s">
        <v>186</v>
      </c>
      <c r="D593" s="3" t="s">
        <v>216</v>
      </c>
      <c r="E593" s="3" t="s">
        <v>78</v>
      </c>
      <c r="F593" s="4" t="s">
        <v>85</v>
      </c>
      <c r="G593" s="3" t="s">
        <v>16</v>
      </c>
      <c r="H593" s="5">
        <v>836.07280000000003</v>
      </c>
      <c r="I593" s="5">
        <v>2.3496000000000001</v>
      </c>
      <c r="J593" s="5">
        <v>2.3252000000000002</v>
      </c>
      <c r="K593" s="6">
        <v>0.98961525366019754</v>
      </c>
      <c r="L593" s="5">
        <v>26.97</v>
      </c>
      <c r="M593" s="19">
        <f>H593*INDEX('Pliegos Tarifarios (Quilicura)'!$B:$B,MATCH($B593,'Pliegos Tarifarios (Quilicura)'!$A:$A,0))</f>
        <v>110163.46034640001</v>
      </c>
      <c r="N593" s="19">
        <f>I593*INDEX('Pliegos Tarifarios (Quilicura)'!$C:$C,MATCH($B593,'Pliegos Tarifarios (Quilicura)'!$A:$A,0))</f>
        <v>8088.0727224000002</v>
      </c>
      <c r="O593" s="19">
        <f>J593*INDEX('Pliegos Tarifarios (Quilicura)'!$D:$D,MATCH($B593,'Pliegos Tarifarios (Quilicura)'!$A:$A,0))</f>
        <v>33743.613976799999</v>
      </c>
      <c r="P593" s="19">
        <f>H593*INDEX('Pliegos Tarifarios (Quilicura)'!$E:$E,MATCH($B593,'Pliegos Tarifarios (Quilicura)'!$A:$A,0))</f>
        <v>10889.012147199999</v>
      </c>
      <c r="Q593" s="19" cm="1">
        <f t="array" ref="Q593">H593*_xlfn.IFS(H593&lt;=350,INDEX('Pliegos Tarifarios (Quilicura)'!$F:$F,MATCH($B593,'Pliegos Tarifarios (Quilicura)'!$A:$A,0)),H593&lt;=500,INDEX('Pliegos Tarifarios (Quilicura)'!$G:$G,MATCH($B593,'Pliegos Tarifarios (Quilicura)'!$A:$A,0)),H593&lt;=1000,INDEX('Pliegos Tarifarios (Quilicura)'!$H:$H,MATCH($B593,'Pliegos Tarifarios (Quilicura)'!$A:$A,0)),H593&lt;=5000,INDEX('Pliegos Tarifarios (Quilicura)'!$I:$I,MATCH($B593,'Pliegos Tarifarios (Quilicura)'!$A:$A,0)),H593&gt;5000,INDEX('Pliegos Tarifarios (Quilicura)'!$J:$J,MATCH($B593,'Pliegos Tarifarios (Quilicura)'!$A:$A,0)))/1.19</f>
        <v>1960.9068779831937</v>
      </c>
      <c r="R593" s="19">
        <f>INDEX('Pliegos Tarifarios (Quilicura)'!$K:$K,MATCH($B593,'Pliegos Tarifarios (Quilicura)'!$A:$A,0))</f>
        <v>729.50400000000002</v>
      </c>
      <c r="S593" s="21">
        <f t="shared" si="30"/>
        <v>165574.57007078317</v>
      </c>
      <c r="T593" s="21">
        <f t="shared" si="31"/>
        <v>31459.168313448801</v>
      </c>
      <c r="U593" s="19">
        <v>0</v>
      </c>
      <c r="V593" s="21">
        <f t="shared" si="32"/>
        <v>197033.73838423198</v>
      </c>
    </row>
    <row r="594" spans="1:22" x14ac:dyDescent="0.3">
      <c r="A594" s="3" t="s">
        <v>148</v>
      </c>
      <c r="B594" s="3">
        <v>9</v>
      </c>
      <c r="C594" s="4" t="s">
        <v>186</v>
      </c>
      <c r="D594" s="3" t="s">
        <v>217</v>
      </c>
      <c r="E594" s="3" t="s">
        <v>78</v>
      </c>
      <c r="F594" s="4" t="s">
        <v>87</v>
      </c>
      <c r="G594" s="3" t="s">
        <v>16</v>
      </c>
      <c r="H594" s="5">
        <v>837.24620000000004</v>
      </c>
      <c r="I594" s="5">
        <v>2.2945000000000002</v>
      </c>
      <c r="J594" s="5">
        <v>2.2685</v>
      </c>
      <c r="K594" s="6">
        <v>0.98866855524079311</v>
      </c>
      <c r="L594" s="5">
        <v>27.01</v>
      </c>
      <c r="M594" s="19">
        <f>H594*INDEX('Pliegos Tarifarios (Quilicura)'!$B:$B,MATCH($B594,'Pliegos Tarifarios (Quilicura)'!$A:$A,0))</f>
        <v>110318.0710506</v>
      </c>
      <c r="N594" s="19">
        <f>I594*INDEX('Pliegos Tarifarios (Quilicura)'!$C:$C,MATCH($B594,'Pliegos Tarifarios (Quilicura)'!$A:$A,0))</f>
        <v>7898.4009455000005</v>
      </c>
      <c r="O594" s="19">
        <f>J594*INDEX('Pliegos Tarifarios (Quilicura)'!$D:$D,MATCH($B594,'Pliegos Tarifarios (Quilicura)'!$A:$A,0))</f>
        <v>32920.775978999998</v>
      </c>
      <c r="P594" s="19">
        <f>H594*INDEX('Pliegos Tarifarios (Quilicura)'!$E:$E,MATCH($B594,'Pliegos Tarifarios (Quilicura)'!$A:$A,0))</f>
        <v>10904.2945088</v>
      </c>
      <c r="Q594" s="19" cm="1">
        <f t="array" ref="Q594">H594*_xlfn.IFS(H594&lt;=350,INDEX('Pliegos Tarifarios (Quilicura)'!$F:$F,MATCH($B594,'Pliegos Tarifarios (Quilicura)'!$A:$A,0)),H594&lt;=500,INDEX('Pliegos Tarifarios (Quilicura)'!$G:$G,MATCH($B594,'Pliegos Tarifarios (Quilicura)'!$A:$A,0)),H594&lt;=1000,INDEX('Pliegos Tarifarios (Quilicura)'!$H:$H,MATCH($B594,'Pliegos Tarifarios (Quilicura)'!$A:$A,0)),H594&lt;=5000,INDEX('Pliegos Tarifarios (Quilicura)'!$I:$I,MATCH($B594,'Pliegos Tarifarios (Quilicura)'!$A:$A,0)),H594&gt;5000,INDEX('Pliegos Tarifarios (Quilicura)'!$J:$J,MATCH($B594,'Pliegos Tarifarios (Quilicura)'!$A:$A,0)))/1.19</f>
        <v>1963.658944705883</v>
      </c>
      <c r="R594" s="19">
        <f>INDEX('Pliegos Tarifarios (Quilicura)'!$K:$K,MATCH($B594,'Pliegos Tarifarios (Quilicura)'!$A:$A,0))</f>
        <v>729.50400000000002</v>
      </c>
      <c r="S594" s="21">
        <f t="shared" si="30"/>
        <v>164734.70542860587</v>
      </c>
      <c r="T594" s="21">
        <f t="shared" si="31"/>
        <v>31299.594031435117</v>
      </c>
      <c r="U594" s="19">
        <v>0</v>
      </c>
      <c r="V594" s="21">
        <f t="shared" si="32"/>
        <v>196034.29946004099</v>
      </c>
    </row>
    <row r="595" spans="1:22" x14ac:dyDescent="0.3">
      <c r="A595" s="3" t="s">
        <v>148</v>
      </c>
      <c r="B595" s="3">
        <v>9</v>
      </c>
      <c r="C595" s="4" t="s">
        <v>186</v>
      </c>
      <c r="D595" s="3" t="s">
        <v>218</v>
      </c>
      <c r="E595" s="3" t="s">
        <v>78</v>
      </c>
      <c r="F595" s="4" t="s">
        <v>89</v>
      </c>
      <c r="G595" s="3" t="s">
        <v>16</v>
      </c>
      <c r="H595" s="5">
        <v>1045.6146000000001</v>
      </c>
      <c r="I595" s="5">
        <v>2.8881000000000001</v>
      </c>
      <c r="J595" s="5">
        <v>2.8881000000000001</v>
      </c>
      <c r="K595" s="6">
        <v>1</v>
      </c>
      <c r="L595" s="5">
        <v>33.729999999999997</v>
      </c>
      <c r="M595" s="19">
        <f>H595*INDEX('Pliegos Tarifarios (Quilicura)'!$B:$B,MATCH($B595,'Pliegos Tarifarios (Quilicura)'!$A:$A,0))</f>
        <v>137773.31653980003</v>
      </c>
      <c r="N595" s="19">
        <f>I595*INDEX('Pliegos Tarifarios (Quilicura)'!$C:$C,MATCH($B595,'Pliegos Tarifarios (Quilicura)'!$A:$A,0))</f>
        <v>9941.7615039000011</v>
      </c>
      <c r="O595" s="19">
        <f>J595*INDEX('Pliegos Tarifarios (Quilicura)'!$D:$D,MATCH($B595,'Pliegos Tarifarios (Quilicura)'!$A:$A,0))</f>
        <v>41912.494205399998</v>
      </c>
      <c r="P595" s="19">
        <f>H595*INDEX('Pliegos Tarifarios (Quilicura)'!$E:$E,MATCH($B595,'Pliegos Tarifarios (Quilicura)'!$A:$A,0))</f>
        <v>13618.084550400001</v>
      </c>
      <c r="Q595" s="19" cm="1">
        <f t="array" ref="Q595">H595*_xlfn.IFS(H595&lt;=350,INDEX('Pliegos Tarifarios (Quilicura)'!$F:$F,MATCH($B595,'Pliegos Tarifarios (Quilicura)'!$A:$A,0)),H595&lt;=500,INDEX('Pliegos Tarifarios (Quilicura)'!$G:$G,MATCH($B595,'Pliegos Tarifarios (Quilicura)'!$A:$A,0)),H595&lt;=1000,INDEX('Pliegos Tarifarios (Quilicura)'!$H:$H,MATCH($B595,'Pliegos Tarifarios (Quilicura)'!$A:$A,0)),H595&lt;=5000,INDEX('Pliegos Tarifarios (Quilicura)'!$I:$I,MATCH($B595,'Pliegos Tarifarios (Quilicura)'!$A:$A,0)),H595&gt;5000,INDEX('Pliegos Tarifarios (Quilicura)'!$J:$J,MATCH($B595,'Pliegos Tarifarios (Quilicura)'!$A:$A,0)))/1.19</f>
        <v>3137.7224677310928</v>
      </c>
      <c r="R595" s="19">
        <f>INDEX('Pliegos Tarifarios (Quilicura)'!$K:$K,MATCH($B595,'Pliegos Tarifarios (Quilicura)'!$A:$A,0))</f>
        <v>729.50400000000002</v>
      </c>
      <c r="S595" s="21">
        <f t="shared" si="30"/>
        <v>207112.88326723111</v>
      </c>
      <c r="T595" s="21">
        <f t="shared" si="31"/>
        <v>39351.447820773908</v>
      </c>
      <c r="U595" s="19">
        <v>0</v>
      </c>
      <c r="V595" s="21">
        <f t="shared" si="32"/>
        <v>246464.33108800501</v>
      </c>
    </row>
    <row r="596" spans="1:22" x14ac:dyDescent="0.3">
      <c r="A596" s="3" t="s">
        <v>148</v>
      </c>
      <c r="B596" s="3">
        <v>9</v>
      </c>
      <c r="C596" s="4" t="s">
        <v>186</v>
      </c>
      <c r="D596" s="3" t="s">
        <v>219</v>
      </c>
      <c r="E596" s="3" t="s">
        <v>91</v>
      </c>
      <c r="F596" s="4" t="s">
        <v>92</v>
      </c>
      <c r="G596" s="3" t="s">
        <v>16</v>
      </c>
      <c r="H596" s="5">
        <v>835.86379999999997</v>
      </c>
      <c r="I596" s="5">
        <v>2.3923000000000001</v>
      </c>
      <c r="J596" s="5">
        <v>2.3260000000000001</v>
      </c>
      <c r="K596" s="6">
        <v>0.97228608452117204</v>
      </c>
      <c r="L596" s="5">
        <v>26.96</v>
      </c>
      <c r="M596" s="19">
        <f>H596*INDEX('Pliegos Tarifarios (Quilicura)'!$B:$B,MATCH($B596,'Pliegos Tarifarios (Quilicura)'!$A:$A,0))</f>
        <v>110135.9218794</v>
      </c>
      <c r="N596" s="19">
        <f>I596*INDEX('Pliegos Tarifarios (Quilicura)'!$C:$C,MATCH($B596,'Pliegos Tarifarios (Quilicura)'!$A:$A,0))</f>
        <v>8235.0597436999997</v>
      </c>
      <c r="O596" s="19">
        <f>J596*INDEX('Pliegos Tarifarios (Quilicura)'!$D:$D,MATCH($B596,'Pliegos Tarifarios (Quilicura)'!$A:$A,0))</f>
        <v>33755.223684000004</v>
      </c>
      <c r="P596" s="19">
        <f>H596*INDEX('Pliegos Tarifarios (Quilicura)'!$E:$E,MATCH($B596,'Pliegos Tarifarios (Quilicura)'!$A:$A,0))</f>
        <v>10886.290131199999</v>
      </c>
      <c r="Q596" s="19" cm="1">
        <f t="array" ref="Q596">H596*_xlfn.IFS(H596&lt;=350,INDEX('Pliegos Tarifarios (Quilicura)'!$F:$F,MATCH($B596,'Pliegos Tarifarios (Quilicura)'!$A:$A,0)),H596&lt;=500,INDEX('Pliegos Tarifarios (Quilicura)'!$G:$G,MATCH($B596,'Pliegos Tarifarios (Quilicura)'!$A:$A,0)),H596&lt;=1000,INDEX('Pliegos Tarifarios (Quilicura)'!$H:$H,MATCH($B596,'Pliegos Tarifarios (Quilicura)'!$A:$A,0)),H596&lt;=5000,INDEX('Pliegos Tarifarios (Quilicura)'!$I:$I,MATCH($B596,'Pliegos Tarifarios (Quilicura)'!$A:$A,0)),H596&gt;5000,INDEX('Pliegos Tarifarios (Quilicura)'!$J:$J,MATCH($B596,'Pliegos Tarifarios (Quilicura)'!$A:$A,0)))/1.19</f>
        <v>1960.4166939495801</v>
      </c>
      <c r="R596" s="19">
        <f>INDEX('Pliegos Tarifarios (Quilicura)'!$K:$K,MATCH($B596,'Pliegos Tarifarios (Quilicura)'!$A:$A,0))</f>
        <v>729.50400000000002</v>
      </c>
      <c r="S596" s="21">
        <f t="shared" si="30"/>
        <v>165702.41613224955</v>
      </c>
      <c r="T596" s="21">
        <f t="shared" si="31"/>
        <v>31483.459065127416</v>
      </c>
      <c r="U596" s="19">
        <v>0</v>
      </c>
      <c r="V596" s="21">
        <f t="shared" si="32"/>
        <v>197185.87519737697</v>
      </c>
    </row>
    <row r="597" spans="1:22" x14ac:dyDescent="0.3">
      <c r="A597" s="3" t="s">
        <v>148</v>
      </c>
      <c r="B597" s="3">
        <v>9</v>
      </c>
      <c r="C597" s="4" t="s">
        <v>186</v>
      </c>
      <c r="D597" s="3" t="s">
        <v>220</v>
      </c>
      <c r="E597" s="3" t="s">
        <v>94</v>
      </c>
      <c r="F597" s="4" t="s">
        <v>95</v>
      </c>
      <c r="G597" s="3" t="s">
        <v>16</v>
      </c>
      <c r="H597" s="5">
        <v>627.53210000000001</v>
      </c>
      <c r="I597" s="5">
        <v>1.7645999999999999</v>
      </c>
      <c r="J597" s="5">
        <v>1.7645999999999999</v>
      </c>
      <c r="K597" s="6">
        <v>1</v>
      </c>
      <c r="L597" s="5">
        <v>20.239999999999998</v>
      </c>
      <c r="M597" s="19">
        <f>H597*INDEX('Pliegos Tarifarios (Quilicura)'!$B:$B,MATCH($B597,'Pliegos Tarifarios (Quilicura)'!$A:$A,0))</f>
        <v>82685.512092300007</v>
      </c>
      <c r="N597" s="19">
        <f>I597*INDEX('Pliegos Tarifarios (Quilicura)'!$C:$C,MATCH($B597,'Pliegos Tarifarios (Quilicura)'!$A:$A,0))</f>
        <v>6074.3161074</v>
      </c>
      <c r="O597" s="19">
        <f>J597*INDEX('Pliegos Tarifarios (Quilicura)'!$D:$D,MATCH($B597,'Pliegos Tarifarios (Quilicura)'!$A:$A,0))</f>
        <v>25608.1116564</v>
      </c>
      <c r="P597" s="19">
        <f>H597*INDEX('Pliegos Tarifarios (Quilicura)'!$E:$E,MATCH($B597,'Pliegos Tarifarios (Quilicura)'!$A:$A,0))</f>
        <v>8172.9780703999995</v>
      </c>
      <c r="Q597" s="19" cm="1">
        <f t="array" ref="Q597">H597*_xlfn.IFS(H597&lt;=350,INDEX('Pliegos Tarifarios (Quilicura)'!$F:$F,MATCH($B597,'Pliegos Tarifarios (Quilicura)'!$A:$A,0)),H597&lt;=500,INDEX('Pliegos Tarifarios (Quilicura)'!$G:$G,MATCH($B597,'Pliegos Tarifarios (Quilicura)'!$A:$A,0)),H597&lt;=1000,INDEX('Pliegos Tarifarios (Quilicura)'!$H:$H,MATCH($B597,'Pliegos Tarifarios (Quilicura)'!$A:$A,0)),H597&lt;=5000,INDEX('Pliegos Tarifarios (Quilicura)'!$I:$I,MATCH($B597,'Pliegos Tarifarios (Quilicura)'!$A:$A,0)),H597&gt;5000,INDEX('Pliegos Tarifarios (Quilicura)'!$J:$J,MATCH($B597,'Pliegos Tarifarios (Quilicura)'!$A:$A,0)))/1.19</f>
        <v>1471.8000765546221</v>
      </c>
      <c r="R597" s="19">
        <f>INDEX('Pliegos Tarifarios (Quilicura)'!$K:$K,MATCH($B597,'Pliegos Tarifarios (Quilicura)'!$A:$A,0))</f>
        <v>729.50400000000002</v>
      </c>
      <c r="S597" s="21">
        <f t="shared" si="30"/>
        <v>124742.22200305462</v>
      </c>
      <c r="T597" s="21">
        <f t="shared" si="31"/>
        <v>23701.022180580378</v>
      </c>
      <c r="U597" s="19">
        <v>0</v>
      </c>
      <c r="V597" s="21">
        <f t="shared" si="32"/>
        <v>148443.24418363499</v>
      </c>
    </row>
    <row r="598" spans="1:22" x14ac:dyDescent="0.3">
      <c r="A598" s="3" t="s">
        <v>148</v>
      </c>
      <c r="B598" s="3">
        <v>9</v>
      </c>
      <c r="C598" s="4" t="s">
        <v>186</v>
      </c>
      <c r="D598" s="3" t="s">
        <v>221</v>
      </c>
      <c r="E598" s="3" t="s">
        <v>91</v>
      </c>
      <c r="F598" s="4" t="s">
        <v>97</v>
      </c>
      <c r="G598" s="3" t="s">
        <v>16</v>
      </c>
      <c r="H598" s="5">
        <v>629.32320000000004</v>
      </c>
      <c r="I598" s="5">
        <v>1.7454000000000001</v>
      </c>
      <c r="J598" s="5">
        <v>1.7446999999999999</v>
      </c>
      <c r="K598" s="6">
        <v>0.99959894580038955</v>
      </c>
      <c r="L598" s="5">
        <v>20.3</v>
      </c>
      <c r="M598" s="19">
        <f>H598*INDEX('Pliegos Tarifarios (Quilicura)'!$B:$B,MATCH($B598,'Pliegos Tarifarios (Quilicura)'!$A:$A,0))</f>
        <v>82921.512801600009</v>
      </c>
      <c r="N598" s="19">
        <f>I598*INDEX('Pliegos Tarifarios (Quilicura)'!$C:$C,MATCH($B598,'Pliegos Tarifarios (Quilicura)'!$A:$A,0))</f>
        <v>6008.2235826000006</v>
      </c>
      <c r="O598" s="19">
        <f>J598*INDEX('Pliegos Tarifarios (Quilicura)'!$D:$D,MATCH($B598,'Pliegos Tarifarios (Quilicura)'!$A:$A,0))</f>
        <v>25319.320189799997</v>
      </c>
      <c r="P598" s="19">
        <f>H598*INDEX('Pliegos Tarifarios (Quilicura)'!$E:$E,MATCH($B598,'Pliegos Tarifarios (Quilicura)'!$A:$A,0))</f>
        <v>8196.3053567999996</v>
      </c>
      <c r="Q598" s="19" cm="1">
        <f t="array" ref="Q598">H598*_xlfn.IFS(H598&lt;=350,INDEX('Pliegos Tarifarios (Quilicura)'!$F:$F,MATCH($B598,'Pliegos Tarifarios (Quilicura)'!$A:$A,0)),H598&lt;=500,INDEX('Pliegos Tarifarios (Quilicura)'!$G:$G,MATCH($B598,'Pliegos Tarifarios (Quilicura)'!$A:$A,0)),H598&lt;=1000,INDEX('Pliegos Tarifarios (Quilicura)'!$H:$H,MATCH($B598,'Pliegos Tarifarios (Quilicura)'!$A:$A,0)),H598&lt;=5000,INDEX('Pliegos Tarifarios (Quilicura)'!$I:$I,MATCH($B598,'Pliegos Tarifarios (Quilicura)'!$A:$A,0)),H598&gt;5000,INDEX('Pliegos Tarifarios (Quilicura)'!$J:$J,MATCH($B598,'Pliegos Tarifarios (Quilicura)'!$A:$A,0)))/1.19</f>
        <v>1476.0008833613449</v>
      </c>
      <c r="R598" s="19">
        <f>INDEX('Pliegos Tarifarios (Quilicura)'!$K:$K,MATCH($B598,'Pliegos Tarifarios (Quilicura)'!$A:$A,0))</f>
        <v>729.50400000000002</v>
      </c>
      <c r="S598" s="21">
        <f t="shared" si="30"/>
        <v>124650.86681416135</v>
      </c>
      <c r="T598" s="21">
        <f t="shared" si="31"/>
        <v>23683.664694690655</v>
      </c>
      <c r="U598" s="19">
        <v>0</v>
      </c>
      <c r="V598" s="21">
        <f t="shared" si="32"/>
        <v>148334.531508852</v>
      </c>
    </row>
    <row r="599" spans="1:22" x14ac:dyDescent="0.3">
      <c r="A599" s="3" t="s">
        <v>148</v>
      </c>
      <c r="B599" s="3">
        <v>9</v>
      </c>
      <c r="C599" s="4" t="s">
        <v>186</v>
      </c>
      <c r="D599" s="3" t="s">
        <v>222</v>
      </c>
      <c r="E599" s="3" t="s">
        <v>99</v>
      </c>
      <c r="F599" s="4" t="s">
        <v>100</v>
      </c>
      <c r="G599" s="3" t="s">
        <v>16</v>
      </c>
      <c r="H599" s="5">
        <v>3134.6226999999999</v>
      </c>
      <c r="I599" s="5">
        <v>8.7559000000000005</v>
      </c>
      <c r="J599" s="5">
        <v>8.6440000000000001</v>
      </c>
      <c r="K599" s="6">
        <v>0.98722004591189938</v>
      </c>
      <c r="L599" s="5">
        <v>101.12</v>
      </c>
      <c r="M599" s="19">
        <f>H599*INDEX('Pliegos Tarifarios (Quilicura)'!$B:$B,MATCH($B599,'Pliegos Tarifarios (Quilicura)'!$A:$A,0))</f>
        <v>413027.2908201</v>
      </c>
      <c r="N599" s="19">
        <f>I599*INDEX('Pliegos Tarifarios (Quilicura)'!$C:$C,MATCH($B599,'Pliegos Tarifarios (Quilicura)'!$A:$A,0))</f>
        <v>30140.600932100002</v>
      </c>
      <c r="O599" s="19">
        <f>J599*INDEX('Pliegos Tarifarios (Quilicura)'!$D:$D,MATCH($B599,'Pliegos Tarifarios (Quilicura)'!$A:$A,0))</f>
        <v>125442.886296</v>
      </c>
      <c r="P599" s="19">
        <f>H599*INDEX('Pliegos Tarifarios (Quilicura)'!$E:$E,MATCH($B599,'Pliegos Tarifarios (Quilicura)'!$A:$A,0))</f>
        <v>40825.326044799993</v>
      </c>
      <c r="Q599" s="19" cm="1">
        <f t="array" ref="Q599">H599*_xlfn.IFS(H599&lt;=350,INDEX('Pliegos Tarifarios (Quilicura)'!$F:$F,MATCH($B599,'Pliegos Tarifarios (Quilicura)'!$A:$A,0)),H599&lt;=500,INDEX('Pliegos Tarifarios (Quilicura)'!$G:$G,MATCH($B599,'Pliegos Tarifarios (Quilicura)'!$A:$A,0)),H599&lt;=1000,INDEX('Pliegos Tarifarios (Quilicura)'!$H:$H,MATCH($B599,'Pliegos Tarifarios (Quilicura)'!$A:$A,0)),H599&lt;=5000,INDEX('Pliegos Tarifarios (Quilicura)'!$I:$I,MATCH($B599,'Pliegos Tarifarios (Quilicura)'!$A:$A,0)),H599&gt;5000,INDEX('Pliegos Tarifarios (Quilicura)'!$J:$J,MATCH($B599,'Pliegos Tarifarios (Quilicura)'!$A:$A,0)))/1.19</f>
        <v>9406.5022367226884</v>
      </c>
      <c r="R599" s="19">
        <f>INDEX('Pliegos Tarifarios (Quilicura)'!$K:$K,MATCH($B599,'Pliegos Tarifarios (Quilicura)'!$A:$A,0))</f>
        <v>729.50400000000002</v>
      </c>
      <c r="S599" s="21">
        <f t="shared" si="30"/>
        <v>619572.11032972264</v>
      </c>
      <c r="T599" s="21">
        <f t="shared" si="31"/>
        <v>117718.7009626473</v>
      </c>
      <c r="U599" s="19">
        <v>0</v>
      </c>
      <c r="V599" s="21">
        <f t="shared" si="32"/>
        <v>737290.81129236997</v>
      </c>
    </row>
    <row r="600" spans="1:22" x14ac:dyDescent="0.3">
      <c r="A600" s="3" t="s">
        <v>148</v>
      </c>
      <c r="B600" s="3">
        <v>9</v>
      </c>
      <c r="C600" s="4" t="s">
        <v>186</v>
      </c>
      <c r="D600" s="3" t="s">
        <v>223</v>
      </c>
      <c r="E600" s="3" t="s">
        <v>102</v>
      </c>
      <c r="F600" s="4" t="s">
        <v>103</v>
      </c>
      <c r="G600" s="3" t="s">
        <v>16</v>
      </c>
      <c r="H600" s="5">
        <v>2507.4596999999999</v>
      </c>
      <c r="I600" s="5">
        <v>7.2278000000000002</v>
      </c>
      <c r="J600" s="5">
        <v>6.8522999999999996</v>
      </c>
      <c r="K600" s="6">
        <v>0.94804781537950678</v>
      </c>
      <c r="L600" s="5">
        <v>80.89</v>
      </c>
      <c r="M600" s="19">
        <f>H600*INDEX('Pliegos Tarifarios (Quilicura)'!$B:$B,MATCH($B600,'Pliegos Tarifarios (Quilicura)'!$A:$A,0))</f>
        <v>330390.41245110001</v>
      </c>
      <c r="N600" s="19">
        <f>I600*INDEX('Pliegos Tarifarios (Quilicura)'!$C:$C,MATCH($B600,'Pliegos Tarifarios (Quilicura)'!$A:$A,0))</f>
        <v>24880.393268200001</v>
      </c>
      <c r="O600" s="19">
        <f>J600*INDEX('Pliegos Tarifarios (Quilicura)'!$D:$D,MATCH($B600,'Pliegos Tarifarios (Quilicura)'!$A:$A,0))</f>
        <v>99441.495808199994</v>
      </c>
      <c r="P600" s="19">
        <f>H600*INDEX('Pliegos Tarifarios (Quilicura)'!$E:$E,MATCH($B600,'Pliegos Tarifarios (Quilicura)'!$A:$A,0))</f>
        <v>32657.155132799995</v>
      </c>
      <c r="Q600" s="19" cm="1">
        <f t="array" ref="Q600">H600*_xlfn.IFS(H600&lt;=350,INDEX('Pliegos Tarifarios (Quilicura)'!$F:$F,MATCH($B600,'Pliegos Tarifarios (Quilicura)'!$A:$A,0)),H600&lt;=500,INDEX('Pliegos Tarifarios (Quilicura)'!$G:$G,MATCH($B600,'Pliegos Tarifarios (Quilicura)'!$A:$A,0)),H600&lt;=1000,INDEX('Pliegos Tarifarios (Quilicura)'!$H:$H,MATCH($B600,'Pliegos Tarifarios (Quilicura)'!$A:$A,0)),H600&lt;=5000,INDEX('Pliegos Tarifarios (Quilicura)'!$I:$I,MATCH($B600,'Pliegos Tarifarios (Quilicura)'!$A:$A,0)),H600&gt;5000,INDEX('Pliegos Tarifarios (Quilicura)'!$J:$J,MATCH($B600,'Pliegos Tarifarios (Quilicura)'!$A:$A,0)))/1.19</f>
        <v>7524.4862089915969</v>
      </c>
      <c r="R600" s="19">
        <f>INDEX('Pliegos Tarifarios (Quilicura)'!$K:$K,MATCH($B600,'Pliegos Tarifarios (Quilicura)'!$A:$A,0))</f>
        <v>729.50400000000002</v>
      </c>
      <c r="S600" s="21">
        <f t="shared" si="30"/>
        <v>495623.4468692916</v>
      </c>
      <c r="T600" s="21">
        <f t="shared" si="31"/>
        <v>94168.454905165403</v>
      </c>
      <c r="U600" s="19">
        <v>0</v>
      </c>
      <c r="V600" s="21">
        <f t="shared" si="32"/>
        <v>589791.90177445696</v>
      </c>
    </row>
    <row r="601" spans="1:22" x14ac:dyDescent="0.3">
      <c r="A601" s="3" t="s">
        <v>148</v>
      </c>
      <c r="B601" s="3">
        <v>9</v>
      </c>
      <c r="C601" s="4" t="s">
        <v>186</v>
      </c>
      <c r="D601" s="3" t="s">
        <v>224</v>
      </c>
      <c r="E601" s="3" t="s">
        <v>105</v>
      </c>
      <c r="F601" s="4" t="s">
        <v>106</v>
      </c>
      <c r="G601" s="3" t="s">
        <v>30</v>
      </c>
      <c r="H601" s="5">
        <v>837.58690000000001</v>
      </c>
      <c r="I601" s="5">
        <v>2.3515999999999999</v>
      </c>
      <c r="J601" s="5">
        <v>2.3472</v>
      </c>
      <c r="K601" s="6">
        <v>0.99812893349209053</v>
      </c>
      <c r="L601" s="5">
        <v>27.02</v>
      </c>
      <c r="M601" s="19">
        <f>H601*INDEX('Pliegos Tarifarios (Quilicura)'!$B:$B,MATCH($B601,'Pliegos Tarifarios (Quilicura)'!$A:$A,0))</f>
        <v>110362.96270470001</v>
      </c>
      <c r="N601" s="19">
        <f>I601*INDEX('Pliegos Tarifarios (Quilicura)'!$C:$C,MATCH($B601,'Pliegos Tarifarios (Quilicura)'!$A:$A,0))</f>
        <v>8094.9573603999997</v>
      </c>
      <c r="O601" s="19">
        <f>J601*INDEX('Pliegos Tarifarios (Quilicura)'!$D:$D,MATCH($B601,'Pliegos Tarifarios (Quilicura)'!$A:$A,0))</f>
        <v>34062.880924799996</v>
      </c>
      <c r="P601" s="19">
        <f>H601*INDEX('Pliegos Tarifarios (Quilicura)'!$E:$E,MATCH($B601,'Pliegos Tarifarios (Quilicura)'!$A:$A,0))</f>
        <v>10908.731785599999</v>
      </c>
      <c r="Q601" s="19" cm="1">
        <f t="array" ref="Q601">H601*_xlfn.IFS(H601&lt;=350,INDEX('Pliegos Tarifarios (Quilicura)'!$F:$F,MATCH($B601,'Pliegos Tarifarios (Quilicura)'!$A:$A,0)),H601&lt;=500,INDEX('Pliegos Tarifarios (Quilicura)'!$G:$G,MATCH($B601,'Pliegos Tarifarios (Quilicura)'!$A:$A,0)),H601&lt;=1000,INDEX('Pliegos Tarifarios (Quilicura)'!$H:$H,MATCH($B601,'Pliegos Tarifarios (Quilicura)'!$A:$A,0)),H601&lt;=5000,INDEX('Pliegos Tarifarios (Quilicura)'!$I:$I,MATCH($B601,'Pliegos Tarifarios (Quilicura)'!$A:$A,0)),H601&gt;5000,INDEX('Pliegos Tarifarios (Quilicura)'!$J:$J,MATCH($B601,'Pliegos Tarifarios (Quilicura)'!$A:$A,0)))/1.19</f>
        <v>1964.458015042017</v>
      </c>
      <c r="R601" s="19">
        <f>INDEX('Pliegos Tarifarios (Quilicura)'!$K:$K,MATCH($B601,'Pliegos Tarifarios (Quilicura)'!$A:$A,0))</f>
        <v>729.50400000000002</v>
      </c>
      <c r="S601" s="21">
        <f t="shared" si="30"/>
        <v>166123.494790542</v>
      </c>
      <c r="T601" s="21">
        <f t="shared" si="31"/>
        <v>31563.464010202981</v>
      </c>
      <c r="U601" s="19">
        <v>0</v>
      </c>
      <c r="V601" s="21">
        <f t="shared" si="32"/>
        <v>197686.95880074496</v>
      </c>
    </row>
    <row r="602" spans="1:22" x14ac:dyDescent="0.3">
      <c r="A602" s="3" t="s">
        <v>148</v>
      </c>
      <c r="B602" s="3">
        <v>9</v>
      </c>
      <c r="C602" s="4" t="s">
        <v>186</v>
      </c>
      <c r="D602" s="3" t="s">
        <v>225</v>
      </c>
      <c r="E602" s="3" t="s">
        <v>105</v>
      </c>
      <c r="F602" s="4" t="s">
        <v>108</v>
      </c>
      <c r="G602" s="3" t="s">
        <v>30</v>
      </c>
      <c r="H602" s="5">
        <v>838.98400000000004</v>
      </c>
      <c r="I602" s="5">
        <v>2.3527999999999998</v>
      </c>
      <c r="J602" s="5">
        <v>2.3527999999999998</v>
      </c>
      <c r="K602" s="6">
        <v>1</v>
      </c>
      <c r="L602" s="5">
        <v>27.06</v>
      </c>
      <c r="M602" s="19">
        <f>H602*INDEX('Pliegos Tarifarios (Quilicura)'!$B:$B,MATCH($B602,'Pliegos Tarifarios (Quilicura)'!$A:$A,0))</f>
        <v>110547.04879200002</v>
      </c>
      <c r="N602" s="19">
        <f>I602*INDEX('Pliegos Tarifarios (Quilicura)'!$C:$C,MATCH($B602,'Pliegos Tarifarios (Quilicura)'!$A:$A,0))</f>
        <v>8099.0881431999987</v>
      </c>
      <c r="O602" s="19">
        <f>J602*INDEX('Pliegos Tarifarios (Quilicura)'!$D:$D,MATCH($B602,'Pliegos Tarifarios (Quilicura)'!$A:$A,0))</f>
        <v>34144.1488752</v>
      </c>
      <c r="P602" s="19">
        <f>H602*INDEX('Pliegos Tarifarios (Quilicura)'!$E:$E,MATCH($B602,'Pliegos Tarifarios (Quilicura)'!$A:$A,0))</f>
        <v>10926.927615999999</v>
      </c>
      <c r="Q602" s="19" cm="1">
        <f t="array" ref="Q602">H602*_xlfn.IFS(H602&lt;=350,INDEX('Pliegos Tarifarios (Quilicura)'!$F:$F,MATCH($B602,'Pliegos Tarifarios (Quilicura)'!$A:$A,0)),H602&lt;=500,INDEX('Pliegos Tarifarios (Quilicura)'!$G:$G,MATCH($B602,'Pliegos Tarifarios (Quilicura)'!$A:$A,0)),H602&lt;=1000,INDEX('Pliegos Tarifarios (Quilicura)'!$H:$H,MATCH($B602,'Pliegos Tarifarios (Quilicura)'!$A:$A,0)),H602&lt;=5000,INDEX('Pliegos Tarifarios (Quilicura)'!$I:$I,MATCH($B602,'Pliegos Tarifarios (Quilicura)'!$A:$A,0)),H602&gt;5000,INDEX('Pliegos Tarifarios (Quilicura)'!$J:$J,MATCH($B602,'Pliegos Tarifarios (Quilicura)'!$A:$A,0)))/1.19</f>
        <v>1967.7347428571431</v>
      </c>
      <c r="R602" s="19">
        <f>INDEX('Pliegos Tarifarios (Quilicura)'!$K:$K,MATCH($B602,'Pliegos Tarifarios (Quilicura)'!$A:$A,0))</f>
        <v>729.50400000000002</v>
      </c>
      <c r="S602" s="21">
        <f t="shared" si="30"/>
        <v>166414.45216925716</v>
      </c>
      <c r="T602" s="21">
        <f t="shared" si="31"/>
        <v>31618.745912158862</v>
      </c>
      <c r="U602" s="19">
        <v>0</v>
      </c>
      <c r="V602" s="21">
        <f t="shared" si="32"/>
        <v>198033.19808141602</v>
      </c>
    </row>
    <row r="603" spans="1:22" x14ac:dyDescent="0.3">
      <c r="A603" s="3" t="s">
        <v>148</v>
      </c>
      <c r="B603" s="3">
        <v>9</v>
      </c>
      <c r="C603" s="4" t="s">
        <v>186</v>
      </c>
      <c r="D603" s="3" t="s">
        <v>226</v>
      </c>
      <c r="E603" s="3" t="s">
        <v>110</v>
      </c>
      <c r="F603" s="4" t="s">
        <v>111</v>
      </c>
      <c r="G603" s="3" t="s">
        <v>30</v>
      </c>
      <c r="H603" s="5">
        <v>418.94510000000002</v>
      </c>
      <c r="I603" s="5">
        <v>1.1718999999999999</v>
      </c>
      <c r="J603" s="5">
        <v>1.1577999999999999</v>
      </c>
      <c r="K603" s="6">
        <v>0.9879682566771909</v>
      </c>
      <c r="L603" s="5">
        <v>13.51</v>
      </c>
      <c r="M603" s="19">
        <f>H603*INDEX('Pliegos Tarifarios (Quilicura)'!$B:$B,MATCH($B603,'Pliegos Tarifarios (Quilicura)'!$A:$A,0))</f>
        <v>55201.463211300004</v>
      </c>
      <c r="N603" s="19">
        <f>I603*INDEX('Pliegos Tarifarios (Quilicura)'!$C:$C,MATCH($B603,'Pliegos Tarifarios (Quilicura)'!$A:$A,0))</f>
        <v>4034.0536360999999</v>
      </c>
      <c r="O603" s="19">
        <f>J603*INDEX('Pliegos Tarifarios (Quilicura)'!$D:$D,MATCH($B603,'Pliegos Tarifarios (Quilicura)'!$A:$A,0))</f>
        <v>16802.1487452</v>
      </c>
      <c r="P603" s="19">
        <f>H603*INDEX('Pliegos Tarifarios (Quilicura)'!$E:$E,MATCH($B603,'Pliegos Tarifarios (Quilicura)'!$A:$A,0))</f>
        <v>5456.3409824</v>
      </c>
      <c r="Q603" s="19" cm="1">
        <f t="array" ref="Q603">H603*_xlfn.IFS(H603&lt;=350,INDEX('Pliegos Tarifarios (Quilicura)'!$F:$F,MATCH($B603,'Pliegos Tarifarios (Quilicura)'!$A:$A,0)),H603&lt;=500,INDEX('Pliegos Tarifarios (Quilicura)'!$G:$G,MATCH($B603,'Pliegos Tarifarios (Quilicura)'!$A:$A,0)),H603&lt;=1000,INDEX('Pliegos Tarifarios (Quilicura)'!$H:$H,MATCH($B603,'Pliegos Tarifarios (Quilicura)'!$A:$A,0)),H603&lt;=5000,INDEX('Pliegos Tarifarios (Quilicura)'!$I:$I,MATCH($B603,'Pliegos Tarifarios (Quilicura)'!$A:$A,0)),H603&gt;5000,INDEX('Pliegos Tarifarios (Quilicura)'!$J:$J,MATCH($B603,'Pliegos Tarifarios (Quilicura)'!$A:$A,0)))/1.19</f>
        <v>590.04368705882359</v>
      </c>
      <c r="R603" s="19">
        <f>INDEX('Pliegos Tarifarios (Quilicura)'!$K:$K,MATCH($B603,'Pliegos Tarifarios (Quilicura)'!$A:$A,0))</f>
        <v>729.50400000000002</v>
      </c>
      <c r="S603" s="21">
        <f t="shared" si="30"/>
        <v>82813.554262058824</v>
      </c>
      <c r="T603" s="21">
        <f t="shared" si="31"/>
        <v>15734.575309791177</v>
      </c>
      <c r="U603" s="19">
        <v>0</v>
      </c>
      <c r="V603" s="21">
        <f t="shared" si="32"/>
        <v>98548.129571850004</v>
      </c>
    </row>
    <row r="604" spans="1:22" x14ac:dyDescent="0.3">
      <c r="A604" s="3" t="s">
        <v>148</v>
      </c>
      <c r="B604" s="3">
        <v>9</v>
      </c>
      <c r="C604" s="4" t="s">
        <v>186</v>
      </c>
      <c r="D604" s="3" t="s">
        <v>227</v>
      </c>
      <c r="E604" s="3" t="s">
        <v>113</v>
      </c>
      <c r="F604" s="4" t="s">
        <v>114</v>
      </c>
      <c r="G604" s="3" t="s">
        <v>30</v>
      </c>
      <c r="H604" s="5">
        <v>628.1848</v>
      </c>
      <c r="I604" s="5">
        <v>1.7988999999999999</v>
      </c>
      <c r="J604" s="5">
        <v>1.7040999999999999</v>
      </c>
      <c r="K604" s="6">
        <v>0.94730112846739678</v>
      </c>
      <c r="L604" s="5">
        <v>20.260000000000002</v>
      </c>
      <c r="M604" s="19">
        <f>H604*INDEX('Pliegos Tarifarios (Quilicura)'!$B:$B,MATCH($B604,'Pliegos Tarifarios (Quilicura)'!$A:$A,0))</f>
        <v>82771.513802400004</v>
      </c>
      <c r="N604" s="19">
        <f>I604*INDEX('Pliegos Tarifarios (Quilicura)'!$C:$C,MATCH($B604,'Pliegos Tarifarios (Quilicura)'!$A:$A,0))</f>
        <v>6192.3876491000001</v>
      </c>
      <c r="O604" s="19">
        <f>J604*INDEX('Pliegos Tarifarios (Quilicura)'!$D:$D,MATCH($B604,'Pliegos Tarifarios (Quilicura)'!$A:$A,0))</f>
        <v>24730.1275494</v>
      </c>
      <c r="P604" s="19">
        <f>H604*INDEX('Pliegos Tarifarios (Quilicura)'!$E:$E,MATCH($B604,'Pliegos Tarifarios (Quilicura)'!$A:$A,0))</f>
        <v>8181.4788351999996</v>
      </c>
      <c r="Q604" s="19" cm="1">
        <f t="array" ref="Q604">H604*_xlfn.IFS(H604&lt;=350,INDEX('Pliegos Tarifarios (Quilicura)'!$F:$F,MATCH($B604,'Pliegos Tarifarios (Quilicura)'!$A:$A,0)),H604&lt;=500,INDEX('Pliegos Tarifarios (Quilicura)'!$G:$G,MATCH($B604,'Pliegos Tarifarios (Quilicura)'!$A:$A,0)),H604&lt;=1000,INDEX('Pliegos Tarifarios (Quilicura)'!$H:$H,MATCH($B604,'Pliegos Tarifarios (Quilicura)'!$A:$A,0)),H604&lt;=5000,INDEX('Pliegos Tarifarios (Quilicura)'!$I:$I,MATCH($B604,'Pliegos Tarifarios (Quilicura)'!$A:$A,0)),H604&gt;5000,INDEX('Pliegos Tarifarios (Quilicura)'!$J:$J,MATCH($B604,'Pliegos Tarifarios (Quilicura)'!$A:$A,0)))/1.19</f>
        <v>1473.3309048739497</v>
      </c>
      <c r="R604" s="19">
        <f>INDEX('Pliegos Tarifarios (Quilicura)'!$K:$K,MATCH($B604,'Pliegos Tarifarios (Quilicura)'!$A:$A,0))</f>
        <v>729.50400000000002</v>
      </c>
      <c r="S604" s="21">
        <f t="shared" si="30"/>
        <v>124078.34274097395</v>
      </c>
      <c r="T604" s="21">
        <f t="shared" si="31"/>
        <v>23574.885120785053</v>
      </c>
      <c r="U604" s="19">
        <v>0</v>
      </c>
      <c r="V604" s="21">
        <f t="shared" si="32"/>
        <v>147653.22786175902</v>
      </c>
    </row>
    <row r="605" spans="1:22" x14ac:dyDescent="0.3">
      <c r="A605" s="3" t="s">
        <v>148</v>
      </c>
      <c r="B605" s="3">
        <v>9</v>
      </c>
      <c r="C605" s="4" t="s">
        <v>186</v>
      </c>
      <c r="D605" s="3" t="s">
        <v>228</v>
      </c>
      <c r="E605" s="3" t="s">
        <v>116</v>
      </c>
      <c r="F605" s="4" t="s">
        <v>117</v>
      </c>
      <c r="G605" s="3" t="s">
        <v>30</v>
      </c>
      <c r="H605" s="5">
        <v>104.5365</v>
      </c>
      <c r="I605" s="5">
        <v>0.29499999999999998</v>
      </c>
      <c r="J605" s="5">
        <v>0.28749999999999998</v>
      </c>
      <c r="K605" s="6">
        <v>0.97457627118644063</v>
      </c>
      <c r="L605" s="5">
        <v>3.37</v>
      </c>
      <c r="M605" s="19">
        <f>H605*INDEX('Pliegos Tarifarios (Quilicura)'!$B:$B,MATCH($B605,'Pliegos Tarifarios (Quilicura)'!$A:$A,0))</f>
        <v>13774.042849500001</v>
      </c>
      <c r="N605" s="19">
        <f>I605*INDEX('Pliegos Tarifarios (Quilicura)'!$C:$C,MATCH($B605,'Pliegos Tarifarios (Quilicura)'!$A:$A,0))</f>
        <v>1015.4841049999999</v>
      </c>
      <c r="O605" s="19">
        <f>J605*INDEX('Pliegos Tarifarios (Quilicura)'!$D:$D,MATCH($B605,'Pliegos Tarifarios (Quilicura)'!$A:$A,0))</f>
        <v>4172.2385249999998</v>
      </c>
      <c r="P605" s="19">
        <f>H605*INDEX('Pliegos Tarifarios (Quilicura)'!$E:$E,MATCH($B605,'Pliegos Tarifarios (Quilicura)'!$A:$A,0))</f>
        <v>1361.4833759999999</v>
      </c>
      <c r="Q605" s="19" cm="1">
        <f t="array" ref="Q605">H605*_xlfn.IFS(H605&lt;=350,INDEX('Pliegos Tarifarios (Quilicura)'!$F:$F,MATCH($B605,'Pliegos Tarifarios (Quilicura)'!$A:$A,0)),H605&lt;=500,INDEX('Pliegos Tarifarios (Quilicura)'!$G:$G,MATCH($B605,'Pliegos Tarifarios (Quilicura)'!$A:$A,0)),H605&lt;=1000,INDEX('Pliegos Tarifarios (Quilicura)'!$H:$H,MATCH($B605,'Pliegos Tarifarios (Quilicura)'!$A:$A,0)),H605&lt;=5000,INDEX('Pliegos Tarifarios (Quilicura)'!$I:$I,MATCH($B605,'Pliegos Tarifarios (Quilicura)'!$A:$A,0)),H605&gt;5000,INDEX('Pliegos Tarifarios (Quilicura)'!$J:$J,MATCH($B605,'Pliegos Tarifarios (Quilicura)'!$A:$A,0)))/1.19</f>
        <v>68.87110588235295</v>
      </c>
      <c r="R605" s="19">
        <f>INDEX('Pliegos Tarifarios (Quilicura)'!$K:$K,MATCH($B605,'Pliegos Tarifarios (Quilicura)'!$A:$A,0))</f>
        <v>729.50400000000002</v>
      </c>
      <c r="S605" s="21">
        <f t="shared" si="30"/>
        <v>21121.623961382356</v>
      </c>
      <c r="T605" s="21">
        <f t="shared" si="31"/>
        <v>4013.108552662648</v>
      </c>
      <c r="U605" s="19">
        <v>0</v>
      </c>
      <c r="V605" s="21">
        <f t="shared" si="32"/>
        <v>25134.732514045005</v>
      </c>
    </row>
    <row r="606" spans="1:22" x14ac:dyDescent="0.3">
      <c r="A606" s="3" t="s">
        <v>148</v>
      </c>
      <c r="B606" s="3">
        <v>9</v>
      </c>
      <c r="C606" s="4" t="s">
        <v>186</v>
      </c>
      <c r="D606" s="3" t="s">
        <v>229</v>
      </c>
      <c r="E606" s="3" t="s">
        <v>116</v>
      </c>
      <c r="F606" s="4" t="s">
        <v>119</v>
      </c>
      <c r="G606" s="3" t="s">
        <v>30</v>
      </c>
      <c r="H606" s="5">
        <v>104.7948</v>
      </c>
      <c r="I606" s="5">
        <v>0.29720000000000002</v>
      </c>
      <c r="J606" s="5">
        <v>0.29720000000000002</v>
      </c>
      <c r="K606" s="6">
        <v>1</v>
      </c>
      <c r="L606" s="5">
        <v>3.38</v>
      </c>
      <c r="M606" s="19">
        <f>H606*INDEX('Pliegos Tarifarios (Quilicura)'!$B:$B,MATCH($B606,'Pliegos Tarifarios (Quilicura)'!$A:$A,0))</f>
        <v>13808.077232399999</v>
      </c>
      <c r="N606" s="19">
        <f>I606*INDEX('Pliegos Tarifarios (Quilicura)'!$C:$C,MATCH($B606,'Pliegos Tarifarios (Quilicura)'!$A:$A,0))</f>
        <v>1023.0572068</v>
      </c>
      <c r="O606" s="19">
        <f>J606*INDEX('Pliegos Tarifarios (Quilicura)'!$D:$D,MATCH($B606,'Pliegos Tarifarios (Quilicura)'!$A:$A,0))</f>
        <v>4313.0062248000004</v>
      </c>
      <c r="P606" s="19">
        <f>H606*INDEX('Pliegos Tarifarios (Quilicura)'!$E:$E,MATCH($B606,'Pliegos Tarifarios (Quilicura)'!$A:$A,0))</f>
        <v>1364.8474751999997</v>
      </c>
      <c r="Q606" s="19" cm="1">
        <f t="array" ref="Q606">H606*_xlfn.IFS(H606&lt;=350,INDEX('Pliegos Tarifarios (Quilicura)'!$F:$F,MATCH($B606,'Pliegos Tarifarios (Quilicura)'!$A:$A,0)),H606&lt;=500,INDEX('Pliegos Tarifarios (Quilicura)'!$G:$G,MATCH($B606,'Pliegos Tarifarios (Quilicura)'!$A:$A,0)),H606&lt;=1000,INDEX('Pliegos Tarifarios (Quilicura)'!$H:$H,MATCH($B606,'Pliegos Tarifarios (Quilicura)'!$A:$A,0)),H606&lt;=5000,INDEX('Pliegos Tarifarios (Quilicura)'!$I:$I,MATCH($B606,'Pliegos Tarifarios (Quilicura)'!$A:$A,0)),H606&gt;5000,INDEX('Pliegos Tarifarios (Quilicura)'!$J:$J,MATCH($B606,'Pliegos Tarifarios (Quilicura)'!$A:$A,0)))/1.19</f>
        <v>69.04128</v>
      </c>
      <c r="R606" s="19">
        <f>INDEX('Pliegos Tarifarios (Quilicura)'!$K:$K,MATCH($B606,'Pliegos Tarifarios (Quilicura)'!$A:$A,0))</f>
        <v>729.50400000000002</v>
      </c>
      <c r="S606" s="21">
        <f t="shared" si="30"/>
        <v>21307.533419200001</v>
      </c>
      <c r="T606" s="21">
        <f t="shared" si="31"/>
        <v>4048.4313496480004</v>
      </c>
      <c r="U606" s="19">
        <v>0</v>
      </c>
      <c r="V606" s="21">
        <f t="shared" si="32"/>
        <v>25355.964768848</v>
      </c>
    </row>
    <row r="607" spans="1:22" x14ac:dyDescent="0.3">
      <c r="A607" s="3" t="s">
        <v>148</v>
      </c>
      <c r="B607" s="3">
        <v>9</v>
      </c>
      <c r="C607" s="4" t="s">
        <v>186</v>
      </c>
      <c r="D607" s="3" t="s">
        <v>230</v>
      </c>
      <c r="E607" s="3" t="s">
        <v>121</v>
      </c>
      <c r="F607" s="4" t="s">
        <v>122</v>
      </c>
      <c r="G607" s="3" t="s">
        <v>30</v>
      </c>
      <c r="H607" s="5">
        <v>104.8516</v>
      </c>
      <c r="I607" s="5">
        <v>0.29420000000000002</v>
      </c>
      <c r="J607" s="5">
        <v>0.28260000000000002</v>
      </c>
      <c r="K607" s="6">
        <v>0.96057104010876959</v>
      </c>
      <c r="L607" s="5">
        <v>3.38</v>
      </c>
      <c r="M607" s="19">
        <f>H607*INDEX('Pliegos Tarifarios (Quilicura)'!$B:$B,MATCH($B607,'Pliegos Tarifarios (Quilicura)'!$A:$A,0))</f>
        <v>13815.561370800002</v>
      </c>
      <c r="N607" s="19">
        <f>I607*INDEX('Pliegos Tarifarios (Quilicura)'!$C:$C,MATCH($B607,'Pliegos Tarifarios (Quilicura)'!$A:$A,0))</f>
        <v>1012.7302498</v>
      </c>
      <c r="O607" s="19">
        <f>J607*INDEX('Pliegos Tarifarios (Quilicura)'!$D:$D,MATCH($B607,'Pliegos Tarifarios (Quilicura)'!$A:$A,0))</f>
        <v>4101.1290684000005</v>
      </c>
      <c r="P607" s="19">
        <f>H607*INDEX('Pliegos Tarifarios (Quilicura)'!$E:$E,MATCH($B607,'Pliegos Tarifarios (Quilicura)'!$A:$A,0))</f>
        <v>1365.5872383999999</v>
      </c>
      <c r="Q607" s="19" cm="1">
        <f t="array" ref="Q607">H607*_xlfn.IFS(H607&lt;=350,INDEX('Pliegos Tarifarios (Quilicura)'!$F:$F,MATCH($B607,'Pliegos Tarifarios (Quilicura)'!$A:$A,0)),H607&lt;=500,INDEX('Pliegos Tarifarios (Quilicura)'!$G:$G,MATCH($B607,'Pliegos Tarifarios (Quilicura)'!$A:$A,0)),H607&lt;=1000,INDEX('Pliegos Tarifarios (Quilicura)'!$H:$H,MATCH($B607,'Pliegos Tarifarios (Quilicura)'!$A:$A,0)),H607&lt;=5000,INDEX('Pliegos Tarifarios (Quilicura)'!$I:$I,MATCH($B607,'Pliegos Tarifarios (Quilicura)'!$A:$A,0)),H607&gt;5000,INDEX('Pliegos Tarifarios (Quilicura)'!$J:$J,MATCH($B607,'Pliegos Tarifarios (Quilicura)'!$A:$A,0)))/1.19</f>
        <v>69.078701176470602</v>
      </c>
      <c r="R607" s="19">
        <f>INDEX('Pliegos Tarifarios (Quilicura)'!$K:$K,MATCH($B607,'Pliegos Tarifarios (Quilicura)'!$A:$A,0))</f>
        <v>729.50400000000002</v>
      </c>
      <c r="S607" s="21">
        <f t="shared" si="30"/>
        <v>21093.590628576472</v>
      </c>
      <c r="T607" s="21">
        <f t="shared" si="31"/>
        <v>4007.78221942953</v>
      </c>
      <c r="U607" s="19">
        <v>0</v>
      </c>
      <c r="V607" s="21">
        <f t="shared" si="32"/>
        <v>25101.372848006002</v>
      </c>
    </row>
    <row r="608" spans="1:22" x14ac:dyDescent="0.3">
      <c r="A608" s="3" t="s">
        <v>148</v>
      </c>
      <c r="B608" s="3">
        <v>9</v>
      </c>
      <c r="C608" s="4" t="s">
        <v>186</v>
      </c>
      <c r="D608" s="3" t="s">
        <v>231</v>
      </c>
      <c r="E608" s="3" t="s">
        <v>121</v>
      </c>
      <c r="F608" s="4" t="s">
        <v>124</v>
      </c>
      <c r="G608" s="3" t="s">
        <v>30</v>
      </c>
      <c r="H608" s="5">
        <v>104.6454</v>
      </c>
      <c r="I608" s="5">
        <v>0.29699999999999999</v>
      </c>
      <c r="J608" s="5">
        <v>0.28499999999999998</v>
      </c>
      <c r="K608" s="6">
        <v>0.95959595959595956</v>
      </c>
      <c r="L608" s="5">
        <v>3.38</v>
      </c>
      <c r="M608" s="19">
        <f>H608*INDEX('Pliegos Tarifarios (Quilicura)'!$B:$B,MATCH($B608,'Pliegos Tarifarios (Quilicura)'!$A:$A,0))</f>
        <v>13788.3918402</v>
      </c>
      <c r="N608" s="19">
        <f>I608*INDEX('Pliegos Tarifarios (Quilicura)'!$C:$C,MATCH($B608,'Pliegos Tarifarios (Quilicura)'!$A:$A,0))</f>
        <v>1022.368743</v>
      </c>
      <c r="O608" s="19">
        <f>J608*INDEX('Pliegos Tarifarios (Quilicura)'!$D:$D,MATCH($B608,'Pliegos Tarifarios (Quilicura)'!$A:$A,0))</f>
        <v>4135.9581899999994</v>
      </c>
      <c r="P608" s="19">
        <f>H608*INDEX('Pliegos Tarifarios (Quilicura)'!$E:$E,MATCH($B608,'Pliegos Tarifarios (Quilicura)'!$A:$A,0))</f>
        <v>1362.9016895999998</v>
      </c>
      <c r="Q608" s="19" cm="1">
        <f t="array" ref="Q608">H608*_xlfn.IFS(H608&lt;=350,INDEX('Pliegos Tarifarios (Quilicura)'!$F:$F,MATCH($B608,'Pliegos Tarifarios (Quilicura)'!$A:$A,0)),H608&lt;=500,INDEX('Pliegos Tarifarios (Quilicura)'!$G:$G,MATCH($B608,'Pliegos Tarifarios (Quilicura)'!$A:$A,0)),H608&lt;=1000,INDEX('Pliegos Tarifarios (Quilicura)'!$H:$H,MATCH($B608,'Pliegos Tarifarios (Quilicura)'!$A:$A,0)),H608&lt;=5000,INDEX('Pliegos Tarifarios (Quilicura)'!$I:$I,MATCH($B608,'Pliegos Tarifarios (Quilicura)'!$A:$A,0)),H608&gt;5000,INDEX('Pliegos Tarifarios (Quilicura)'!$J:$J,MATCH($B608,'Pliegos Tarifarios (Quilicura)'!$A:$A,0)))/1.19</f>
        <v>68.942851764705878</v>
      </c>
      <c r="R608" s="19">
        <f>INDEX('Pliegos Tarifarios (Quilicura)'!$K:$K,MATCH($B608,'Pliegos Tarifarios (Quilicura)'!$A:$A,0))</f>
        <v>729.50400000000002</v>
      </c>
      <c r="S608" s="21">
        <f t="shared" si="30"/>
        <v>21108.067314564709</v>
      </c>
      <c r="T608" s="21">
        <f t="shared" si="31"/>
        <v>4010.5327897672946</v>
      </c>
      <c r="U608" s="19">
        <v>0</v>
      </c>
      <c r="V608" s="21">
        <f t="shared" si="32"/>
        <v>25118.600104332003</v>
      </c>
    </row>
    <row r="609" spans="1:22" x14ac:dyDescent="0.3">
      <c r="A609" s="3" t="s">
        <v>148</v>
      </c>
      <c r="B609" s="3">
        <v>9</v>
      </c>
      <c r="C609" s="4" t="s">
        <v>186</v>
      </c>
      <c r="D609" s="3" t="s">
        <v>232</v>
      </c>
      <c r="E609" s="3" t="s">
        <v>121</v>
      </c>
      <c r="F609" s="4" t="s">
        <v>126</v>
      </c>
      <c r="G609" s="3" t="s">
        <v>30</v>
      </c>
      <c r="H609" s="5">
        <v>104.78570000000001</v>
      </c>
      <c r="I609" s="5">
        <v>0.29499999999999998</v>
      </c>
      <c r="J609" s="5">
        <v>0.28849999999999998</v>
      </c>
      <c r="K609" s="6">
        <v>0.97796610169491527</v>
      </c>
      <c r="L609" s="5">
        <v>3.38</v>
      </c>
      <c r="M609" s="19">
        <f>H609*INDEX('Pliegos Tarifarios (Quilicura)'!$B:$B,MATCH($B609,'Pliegos Tarifarios (Quilicura)'!$A:$A,0))</f>
        <v>13806.878189100002</v>
      </c>
      <c r="N609" s="19">
        <f>I609*INDEX('Pliegos Tarifarios (Quilicura)'!$C:$C,MATCH($B609,'Pliegos Tarifarios (Quilicura)'!$A:$A,0))</f>
        <v>1015.4841049999999</v>
      </c>
      <c r="O609" s="19">
        <f>J609*INDEX('Pliegos Tarifarios (Quilicura)'!$D:$D,MATCH($B609,'Pliegos Tarifarios (Quilicura)'!$A:$A,0))</f>
        <v>4186.7506589999994</v>
      </c>
      <c r="P609" s="19">
        <f>H609*INDEX('Pliegos Tarifarios (Quilicura)'!$E:$E,MATCH($B609,'Pliegos Tarifarios (Quilicura)'!$A:$A,0))</f>
        <v>1364.7289567999999</v>
      </c>
      <c r="Q609" s="19" cm="1">
        <f t="array" ref="Q609">H609*_xlfn.IFS(H609&lt;=350,INDEX('Pliegos Tarifarios (Quilicura)'!$F:$F,MATCH($B609,'Pliegos Tarifarios (Quilicura)'!$A:$A,0)),H609&lt;=500,INDEX('Pliegos Tarifarios (Quilicura)'!$G:$G,MATCH($B609,'Pliegos Tarifarios (Quilicura)'!$A:$A,0)),H609&lt;=1000,INDEX('Pliegos Tarifarios (Quilicura)'!$H:$H,MATCH($B609,'Pliegos Tarifarios (Quilicura)'!$A:$A,0)),H609&lt;=5000,INDEX('Pliegos Tarifarios (Quilicura)'!$I:$I,MATCH($B609,'Pliegos Tarifarios (Quilicura)'!$A:$A,0)),H609&gt;5000,INDEX('Pliegos Tarifarios (Quilicura)'!$J:$J,MATCH($B609,'Pliegos Tarifarios (Quilicura)'!$A:$A,0)))/1.19</f>
        <v>69.035284705882361</v>
      </c>
      <c r="R609" s="19">
        <f>INDEX('Pliegos Tarifarios (Quilicura)'!$K:$K,MATCH($B609,'Pliegos Tarifarios (Quilicura)'!$A:$A,0))</f>
        <v>729.50400000000002</v>
      </c>
      <c r="S609" s="21">
        <f t="shared" si="30"/>
        <v>21172.381194605885</v>
      </c>
      <c r="T609" s="21">
        <f t="shared" si="31"/>
        <v>4022.7524269751184</v>
      </c>
      <c r="U609" s="19">
        <v>0</v>
      </c>
      <c r="V609" s="21">
        <f t="shared" si="32"/>
        <v>25195.133621581004</v>
      </c>
    </row>
    <row r="610" spans="1:22" x14ac:dyDescent="0.3">
      <c r="A610" s="3" t="s">
        <v>148</v>
      </c>
      <c r="B610" s="3">
        <v>9</v>
      </c>
      <c r="C610" s="4" t="s">
        <v>186</v>
      </c>
      <c r="D610" s="3" t="s">
        <v>233</v>
      </c>
      <c r="E610" s="3" t="s">
        <v>121</v>
      </c>
      <c r="F610" s="4" t="s">
        <v>128</v>
      </c>
      <c r="G610" s="3" t="s">
        <v>30</v>
      </c>
      <c r="H610" s="5">
        <v>104.8321</v>
      </c>
      <c r="I610" s="5">
        <v>0.29480000000000001</v>
      </c>
      <c r="J610" s="5">
        <v>0.2898</v>
      </c>
      <c r="K610" s="6">
        <v>0.98303934871099052</v>
      </c>
      <c r="L610" s="5">
        <v>3.38</v>
      </c>
      <c r="M610" s="19">
        <f>H610*INDEX('Pliegos Tarifarios (Quilicura)'!$B:$B,MATCH($B610,'Pliegos Tarifarios (Quilicura)'!$A:$A,0))</f>
        <v>13812.9919923</v>
      </c>
      <c r="N610" s="19">
        <f>I610*INDEX('Pliegos Tarifarios (Quilicura)'!$C:$C,MATCH($B610,'Pliegos Tarifarios (Quilicura)'!$A:$A,0))</f>
        <v>1014.7956412</v>
      </c>
      <c r="O610" s="19">
        <f>J610*INDEX('Pliegos Tarifarios (Quilicura)'!$D:$D,MATCH($B610,'Pliegos Tarifarios (Quilicura)'!$A:$A,0))</f>
        <v>4205.6164331999998</v>
      </c>
      <c r="P610" s="19">
        <f>H610*INDEX('Pliegos Tarifarios (Quilicura)'!$E:$E,MATCH($B610,'Pliegos Tarifarios (Quilicura)'!$A:$A,0))</f>
        <v>1365.3332703999999</v>
      </c>
      <c r="Q610" s="19" cm="1">
        <f t="array" ref="Q610">H610*_xlfn.IFS(H610&lt;=350,INDEX('Pliegos Tarifarios (Quilicura)'!$F:$F,MATCH($B610,'Pliegos Tarifarios (Quilicura)'!$A:$A,0)),H610&lt;=500,INDEX('Pliegos Tarifarios (Quilicura)'!$G:$G,MATCH($B610,'Pliegos Tarifarios (Quilicura)'!$A:$A,0)),H610&lt;=1000,INDEX('Pliegos Tarifarios (Quilicura)'!$H:$H,MATCH($B610,'Pliegos Tarifarios (Quilicura)'!$A:$A,0)),H610&lt;=5000,INDEX('Pliegos Tarifarios (Quilicura)'!$I:$I,MATCH($B610,'Pliegos Tarifarios (Quilicura)'!$A:$A,0)),H610&gt;5000,INDEX('Pliegos Tarifarios (Quilicura)'!$J:$J,MATCH($B610,'Pliegos Tarifarios (Quilicura)'!$A:$A,0)))/1.19</f>
        <v>69.065854117647064</v>
      </c>
      <c r="R610" s="19">
        <f>INDEX('Pliegos Tarifarios (Quilicura)'!$K:$K,MATCH($B610,'Pliegos Tarifarios (Quilicura)'!$A:$A,0))</f>
        <v>729.50400000000002</v>
      </c>
      <c r="S610" s="21">
        <f t="shared" si="30"/>
        <v>21197.307191217646</v>
      </c>
      <c r="T610" s="21">
        <f t="shared" si="31"/>
        <v>4027.4883663313526</v>
      </c>
      <c r="U610" s="19">
        <v>0</v>
      </c>
      <c r="V610" s="21">
        <f t="shared" si="32"/>
        <v>25224.795557548998</v>
      </c>
    </row>
    <row r="611" spans="1:22" x14ac:dyDescent="0.3">
      <c r="A611" s="3" t="s">
        <v>148</v>
      </c>
      <c r="B611" s="3">
        <v>9</v>
      </c>
      <c r="C611" s="4" t="s">
        <v>186</v>
      </c>
      <c r="D611" s="3" t="s">
        <v>234</v>
      </c>
      <c r="E611" s="3" t="s">
        <v>121</v>
      </c>
      <c r="F611" s="4" t="s">
        <v>130</v>
      </c>
      <c r="G611" s="3" t="s">
        <v>30</v>
      </c>
      <c r="H611" s="5">
        <v>104.7433</v>
      </c>
      <c r="I611" s="5">
        <v>0.29470000000000002</v>
      </c>
      <c r="J611" s="5">
        <v>0.28749999999999998</v>
      </c>
      <c r="K611" s="6">
        <v>0.97556837461825574</v>
      </c>
      <c r="L611" s="5">
        <v>3.38</v>
      </c>
      <c r="M611" s="19">
        <f>H611*INDEX('Pliegos Tarifarios (Quilicura)'!$B:$B,MATCH($B611,'Pliegos Tarifarios (Quilicura)'!$A:$A,0))</f>
        <v>13801.291437900001</v>
      </c>
      <c r="N611" s="19">
        <f>I611*INDEX('Pliegos Tarifarios (Quilicura)'!$C:$C,MATCH($B611,'Pliegos Tarifarios (Quilicura)'!$A:$A,0))</f>
        <v>1014.4514093</v>
      </c>
      <c r="O611" s="19">
        <f>J611*INDEX('Pliegos Tarifarios (Quilicura)'!$D:$D,MATCH($B611,'Pliegos Tarifarios (Quilicura)'!$A:$A,0))</f>
        <v>4172.2385249999998</v>
      </c>
      <c r="P611" s="19">
        <f>H611*INDEX('Pliegos Tarifarios (Quilicura)'!$E:$E,MATCH($B611,'Pliegos Tarifarios (Quilicura)'!$A:$A,0))</f>
        <v>1364.1767391999999</v>
      </c>
      <c r="Q611" s="19" cm="1">
        <f t="array" ref="Q611">H611*_xlfn.IFS(H611&lt;=350,INDEX('Pliegos Tarifarios (Quilicura)'!$F:$F,MATCH($B611,'Pliegos Tarifarios (Quilicura)'!$A:$A,0)),H611&lt;=500,INDEX('Pliegos Tarifarios (Quilicura)'!$G:$G,MATCH($B611,'Pliegos Tarifarios (Quilicura)'!$A:$A,0)),H611&lt;=1000,INDEX('Pliegos Tarifarios (Quilicura)'!$H:$H,MATCH($B611,'Pliegos Tarifarios (Quilicura)'!$A:$A,0)),H611&lt;=5000,INDEX('Pliegos Tarifarios (Quilicura)'!$I:$I,MATCH($B611,'Pliegos Tarifarios (Quilicura)'!$A:$A,0)),H611&gt;5000,INDEX('Pliegos Tarifarios (Quilicura)'!$J:$J,MATCH($B611,'Pliegos Tarifarios (Quilicura)'!$A:$A,0)))/1.19</f>
        <v>69.007350588235298</v>
      </c>
      <c r="R611" s="19">
        <f>INDEX('Pliegos Tarifarios (Quilicura)'!$K:$K,MATCH($B611,'Pliegos Tarifarios (Quilicura)'!$A:$A,0))</f>
        <v>729.50400000000002</v>
      </c>
      <c r="S611" s="21">
        <f t="shared" si="30"/>
        <v>21150.669461988236</v>
      </c>
      <c r="T611" s="21">
        <f t="shared" si="31"/>
        <v>4018.6271977777651</v>
      </c>
      <c r="U611" s="19">
        <v>0</v>
      </c>
      <c r="V611" s="21">
        <f t="shared" si="32"/>
        <v>25169.296659766002</v>
      </c>
    </row>
    <row r="612" spans="1:22" x14ac:dyDescent="0.3">
      <c r="A612" s="3" t="s">
        <v>148</v>
      </c>
      <c r="B612" s="3">
        <v>9</v>
      </c>
      <c r="C612" s="4" t="s">
        <v>186</v>
      </c>
      <c r="D612" s="3" t="s">
        <v>235</v>
      </c>
      <c r="E612" s="3" t="s">
        <v>121</v>
      </c>
      <c r="F612" s="4" t="s">
        <v>132</v>
      </c>
      <c r="G612" s="3" t="s">
        <v>30</v>
      </c>
      <c r="H612" s="5">
        <v>104.762</v>
      </c>
      <c r="I612" s="5">
        <v>0.29239999999999999</v>
      </c>
      <c r="J612" s="5">
        <v>0.28939999999999999</v>
      </c>
      <c r="K612" s="6">
        <v>0.98974008207934339</v>
      </c>
      <c r="L612" s="5">
        <v>3.38</v>
      </c>
      <c r="M612" s="19">
        <f>H612*INDEX('Pliegos Tarifarios (Quilicura)'!$B:$B,MATCH($B612,'Pliegos Tarifarios (Quilicura)'!$A:$A,0))</f>
        <v>13803.755406</v>
      </c>
      <c r="N612" s="19">
        <f>I612*INDEX('Pliegos Tarifarios (Quilicura)'!$C:$C,MATCH($B612,'Pliegos Tarifarios (Quilicura)'!$A:$A,0))</f>
        <v>1006.5340755999999</v>
      </c>
      <c r="O612" s="19">
        <f>J612*INDEX('Pliegos Tarifarios (Quilicura)'!$D:$D,MATCH($B612,'Pliegos Tarifarios (Quilicura)'!$A:$A,0))</f>
        <v>4199.8115796000002</v>
      </c>
      <c r="P612" s="19">
        <f>H612*INDEX('Pliegos Tarifarios (Quilicura)'!$E:$E,MATCH($B612,'Pliegos Tarifarios (Quilicura)'!$A:$A,0))</f>
        <v>1364.420288</v>
      </c>
      <c r="Q612" s="19" cm="1">
        <f t="array" ref="Q612">H612*_xlfn.IFS(H612&lt;=350,INDEX('Pliegos Tarifarios (Quilicura)'!$F:$F,MATCH($B612,'Pliegos Tarifarios (Quilicura)'!$A:$A,0)),H612&lt;=500,INDEX('Pliegos Tarifarios (Quilicura)'!$G:$G,MATCH($B612,'Pliegos Tarifarios (Quilicura)'!$A:$A,0)),H612&lt;=1000,INDEX('Pliegos Tarifarios (Quilicura)'!$H:$H,MATCH($B612,'Pliegos Tarifarios (Quilicura)'!$A:$A,0)),H612&lt;=5000,INDEX('Pliegos Tarifarios (Quilicura)'!$I:$I,MATCH($B612,'Pliegos Tarifarios (Quilicura)'!$A:$A,0)),H612&gt;5000,INDEX('Pliegos Tarifarios (Quilicura)'!$J:$J,MATCH($B612,'Pliegos Tarifarios (Quilicura)'!$A:$A,0)))/1.19</f>
        <v>69.0196705882353</v>
      </c>
      <c r="R612" s="19">
        <f>INDEX('Pliegos Tarifarios (Quilicura)'!$K:$K,MATCH($B612,'Pliegos Tarifarios (Quilicura)'!$A:$A,0))</f>
        <v>729.50400000000002</v>
      </c>
      <c r="S612" s="21">
        <f t="shared" si="30"/>
        <v>21173.045019788238</v>
      </c>
      <c r="T612" s="21">
        <f t="shared" si="31"/>
        <v>4022.8785537597655</v>
      </c>
      <c r="U612" s="19">
        <v>0</v>
      </c>
      <c r="V612" s="21">
        <f t="shared" si="32"/>
        <v>25195.923573548003</v>
      </c>
    </row>
    <row r="613" spans="1:22" x14ac:dyDescent="0.3">
      <c r="A613" s="3" t="s">
        <v>148</v>
      </c>
      <c r="B613" s="3">
        <v>9</v>
      </c>
      <c r="C613" s="4" t="s">
        <v>186</v>
      </c>
      <c r="D613" s="3" t="s">
        <v>236</v>
      </c>
      <c r="E613" s="3" t="s">
        <v>121</v>
      </c>
      <c r="F613" s="4" t="s">
        <v>134</v>
      </c>
      <c r="G613" s="3" t="s">
        <v>30</v>
      </c>
      <c r="H613" s="5">
        <v>105.0698</v>
      </c>
      <c r="I613" s="5">
        <v>0.29649999999999999</v>
      </c>
      <c r="J613" s="5">
        <v>0.28849999999999998</v>
      </c>
      <c r="K613" s="6">
        <v>0.97301854974704893</v>
      </c>
      <c r="L613" s="5">
        <v>3.39</v>
      </c>
      <c r="M613" s="19">
        <f>H613*INDEX('Pliegos Tarifarios (Quilicura)'!$B:$B,MATCH($B613,'Pliegos Tarifarios (Quilicura)'!$A:$A,0))</f>
        <v>13844.3120574</v>
      </c>
      <c r="N613" s="19">
        <f>I613*INDEX('Pliegos Tarifarios (Quilicura)'!$C:$C,MATCH($B613,'Pliegos Tarifarios (Quilicura)'!$A:$A,0))</f>
        <v>1020.6475834999999</v>
      </c>
      <c r="O613" s="19">
        <f>J613*INDEX('Pliegos Tarifarios (Quilicura)'!$D:$D,MATCH($B613,'Pliegos Tarifarios (Quilicura)'!$A:$A,0))</f>
        <v>4186.7506589999994</v>
      </c>
      <c r="P613" s="19">
        <f>H613*INDEX('Pliegos Tarifarios (Quilicura)'!$E:$E,MATCH($B613,'Pliegos Tarifarios (Quilicura)'!$A:$A,0))</f>
        <v>1368.4290751999999</v>
      </c>
      <c r="Q613" s="19" cm="1">
        <f t="array" ref="Q613">H613*_xlfn.IFS(H613&lt;=350,INDEX('Pliegos Tarifarios (Quilicura)'!$F:$F,MATCH($B613,'Pliegos Tarifarios (Quilicura)'!$A:$A,0)),H613&lt;=500,INDEX('Pliegos Tarifarios (Quilicura)'!$G:$G,MATCH($B613,'Pliegos Tarifarios (Quilicura)'!$A:$A,0)),H613&lt;=1000,INDEX('Pliegos Tarifarios (Quilicura)'!$H:$H,MATCH($B613,'Pliegos Tarifarios (Quilicura)'!$A:$A,0)),H613&lt;=5000,INDEX('Pliegos Tarifarios (Quilicura)'!$I:$I,MATCH($B613,'Pliegos Tarifarios (Quilicura)'!$A:$A,0)),H613&gt;5000,INDEX('Pliegos Tarifarios (Quilicura)'!$J:$J,MATCH($B613,'Pliegos Tarifarios (Quilicura)'!$A:$A,0)))/1.19</f>
        <v>69.222456470588241</v>
      </c>
      <c r="R613" s="19">
        <f>INDEX('Pliegos Tarifarios (Quilicura)'!$K:$K,MATCH($B613,'Pliegos Tarifarios (Quilicura)'!$A:$A,0))</f>
        <v>729.50400000000002</v>
      </c>
      <c r="S613" s="21">
        <f t="shared" si="30"/>
        <v>21218.865831570587</v>
      </c>
      <c r="T613" s="21">
        <f t="shared" si="31"/>
        <v>4031.5845079984115</v>
      </c>
      <c r="U613" s="19">
        <v>0</v>
      </c>
      <c r="V613" s="21">
        <f t="shared" si="32"/>
        <v>25250.450339568997</v>
      </c>
    </row>
    <row r="614" spans="1:22" x14ac:dyDescent="0.3">
      <c r="A614" s="3" t="s">
        <v>148</v>
      </c>
      <c r="B614" s="3">
        <v>9</v>
      </c>
      <c r="C614" s="4" t="s">
        <v>186</v>
      </c>
      <c r="D614" s="3" t="s">
        <v>237</v>
      </c>
      <c r="E614" s="3" t="s">
        <v>121</v>
      </c>
      <c r="F614" s="4" t="s">
        <v>136</v>
      </c>
      <c r="G614" s="3" t="s">
        <v>30</v>
      </c>
      <c r="H614" s="5">
        <v>104.9658</v>
      </c>
      <c r="I614" s="5">
        <v>0.29310000000000003</v>
      </c>
      <c r="J614" s="5">
        <v>0.28439999999999999</v>
      </c>
      <c r="K614" s="6">
        <v>0.97031729785056287</v>
      </c>
      <c r="L614" s="5">
        <v>3.39</v>
      </c>
      <c r="M614" s="19">
        <f>H614*INDEX('Pliegos Tarifarios (Quilicura)'!$B:$B,MATCH($B614,'Pliegos Tarifarios (Quilicura)'!$A:$A,0))</f>
        <v>13830.6087054</v>
      </c>
      <c r="N614" s="19">
        <f>I614*INDEX('Pliegos Tarifarios (Quilicura)'!$C:$C,MATCH($B614,'Pliegos Tarifarios (Quilicura)'!$A:$A,0))</f>
        <v>1008.9436989000001</v>
      </c>
      <c r="O614" s="19">
        <f>J614*INDEX('Pliegos Tarifarios (Quilicura)'!$D:$D,MATCH($B614,'Pliegos Tarifarios (Quilicura)'!$A:$A,0))</f>
        <v>4127.2509095999994</v>
      </c>
      <c r="P614" s="19">
        <f>H614*INDEX('Pliegos Tarifarios (Quilicura)'!$E:$E,MATCH($B614,'Pliegos Tarifarios (Quilicura)'!$A:$A,0))</f>
        <v>1367.0745792</v>
      </c>
      <c r="Q614" s="19" cm="1">
        <f t="array" ref="Q614">H614*_xlfn.IFS(H614&lt;=350,INDEX('Pliegos Tarifarios (Quilicura)'!$F:$F,MATCH($B614,'Pliegos Tarifarios (Quilicura)'!$A:$A,0)),H614&lt;=500,INDEX('Pliegos Tarifarios (Quilicura)'!$G:$G,MATCH($B614,'Pliegos Tarifarios (Quilicura)'!$A:$A,0)),H614&lt;=1000,INDEX('Pliegos Tarifarios (Quilicura)'!$H:$H,MATCH($B614,'Pliegos Tarifarios (Quilicura)'!$A:$A,0)),H614&lt;=5000,INDEX('Pliegos Tarifarios (Quilicura)'!$I:$I,MATCH($B614,'Pliegos Tarifarios (Quilicura)'!$A:$A,0)),H614&gt;5000,INDEX('Pliegos Tarifarios (Quilicura)'!$J:$J,MATCH($B614,'Pliegos Tarifarios (Quilicura)'!$A:$A,0)))/1.19</f>
        <v>69.153938823529415</v>
      </c>
      <c r="R614" s="19">
        <f>INDEX('Pliegos Tarifarios (Quilicura)'!$K:$K,MATCH($B614,'Pliegos Tarifarios (Quilicura)'!$A:$A,0))</f>
        <v>729.50400000000002</v>
      </c>
      <c r="S614" s="21">
        <f t="shared" si="30"/>
        <v>21132.535831923531</v>
      </c>
      <c r="T614" s="21">
        <f t="shared" si="31"/>
        <v>4015.1818080654712</v>
      </c>
      <c r="U614" s="19">
        <v>0</v>
      </c>
      <c r="V614" s="21">
        <f t="shared" si="32"/>
        <v>25147.717639989001</v>
      </c>
    </row>
    <row r="615" spans="1:22" x14ac:dyDescent="0.3">
      <c r="A615" s="3" t="s">
        <v>148</v>
      </c>
      <c r="B615" s="3">
        <v>9</v>
      </c>
      <c r="C615" s="4" t="s">
        <v>186</v>
      </c>
      <c r="D615" s="3" t="s">
        <v>238</v>
      </c>
      <c r="E615" s="3" t="s">
        <v>121</v>
      </c>
      <c r="F615" s="4" t="s">
        <v>138</v>
      </c>
      <c r="G615" s="3" t="s">
        <v>30</v>
      </c>
      <c r="H615" s="5">
        <v>104.69499999999999</v>
      </c>
      <c r="I615" s="5">
        <v>0.29409999999999997</v>
      </c>
      <c r="J615" s="5">
        <v>0.28339999999999999</v>
      </c>
      <c r="K615" s="6">
        <v>0.96361781706902416</v>
      </c>
      <c r="L615" s="5">
        <v>3.38</v>
      </c>
      <c r="M615" s="19">
        <f>H615*INDEX('Pliegos Tarifarios (Quilicura)'!$B:$B,MATCH($B615,'Pliegos Tarifarios (Quilicura)'!$A:$A,0))</f>
        <v>13794.927285</v>
      </c>
      <c r="N615" s="19">
        <f>I615*INDEX('Pliegos Tarifarios (Quilicura)'!$C:$C,MATCH($B615,'Pliegos Tarifarios (Quilicura)'!$A:$A,0))</f>
        <v>1012.3860178999998</v>
      </c>
      <c r="O615" s="19">
        <f>J615*INDEX('Pliegos Tarifarios (Quilicura)'!$D:$D,MATCH($B615,'Pliegos Tarifarios (Quilicura)'!$A:$A,0))</f>
        <v>4112.7387755999998</v>
      </c>
      <c r="P615" s="19">
        <f>H615*INDEX('Pliegos Tarifarios (Quilicura)'!$E:$E,MATCH($B615,'Pliegos Tarifarios (Quilicura)'!$A:$A,0))</f>
        <v>1363.5476799999999</v>
      </c>
      <c r="Q615" s="19" cm="1">
        <f t="array" ref="Q615">H615*_xlfn.IFS(H615&lt;=350,INDEX('Pliegos Tarifarios (Quilicura)'!$F:$F,MATCH($B615,'Pliegos Tarifarios (Quilicura)'!$A:$A,0)),H615&lt;=500,INDEX('Pliegos Tarifarios (Quilicura)'!$G:$G,MATCH($B615,'Pliegos Tarifarios (Quilicura)'!$A:$A,0)),H615&lt;=1000,INDEX('Pliegos Tarifarios (Quilicura)'!$H:$H,MATCH($B615,'Pliegos Tarifarios (Quilicura)'!$A:$A,0)),H615&lt;=5000,INDEX('Pliegos Tarifarios (Quilicura)'!$I:$I,MATCH($B615,'Pliegos Tarifarios (Quilicura)'!$A:$A,0)),H615&gt;5000,INDEX('Pliegos Tarifarios (Quilicura)'!$J:$J,MATCH($B615,'Pliegos Tarifarios (Quilicura)'!$A:$A,0)))/1.19</f>
        <v>68.975529411764697</v>
      </c>
      <c r="R615" s="19">
        <f>INDEX('Pliegos Tarifarios (Quilicura)'!$K:$K,MATCH($B615,'Pliegos Tarifarios (Quilicura)'!$A:$A,0))</f>
        <v>729.50400000000002</v>
      </c>
      <c r="S615" s="21">
        <f t="shared" si="30"/>
        <v>21082.079287911765</v>
      </c>
      <c r="T615" s="21">
        <f t="shared" si="31"/>
        <v>4005.5950647032355</v>
      </c>
      <c r="U615" s="19">
        <v>0</v>
      </c>
      <c r="V615" s="21">
        <f t="shared" si="32"/>
        <v>25087.674352615002</v>
      </c>
    </row>
    <row r="616" spans="1:22" x14ac:dyDescent="0.3">
      <c r="A616" s="3" t="s">
        <v>148</v>
      </c>
      <c r="B616" s="3">
        <v>9</v>
      </c>
      <c r="C616" s="4" t="s">
        <v>186</v>
      </c>
      <c r="D616" s="3" t="s">
        <v>239</v>
      </c>
      <c r="E616" s="3" t="s">
        <v>121</v>
      </c>
      <c r="F616" s="4" t="s">
        <v>140</v>
      </c>
      <c r="G616" s="3" t="s">
        <v>30</v>
      </c>
      <c r="H616" s="5">
        <v>104.6159</v>
      </c>
      <c r="I616" s="5">
        <v>0.2898</v>
      </c>
      <c r="J616" s="5">
        <v>0.2888</v>
      </c>
      <c r="K616" s="6">
        <v>0.9965493443754313</v>
      </c>
      <c r="L616" s="5">
        <v>3.37</v>
      </c>
      <c r="M616" s="19">
        <f>H616*INDEX('Pliegos Tarifarios (Quilicura)'!$B:$B,MATCH($B616,'Pliegos Tarifarios (Quilicura)'!$A:$A,0))</f>
        <v>13784.5048317</v>
      </c>
      <c r="N616" s="19">
        <f>I616*INDEX('Pliegos Tarifarios (Quilicura)'!$C:$C,MATCH($B616,'Pliegos Tarifarios (Quilicura)'!$A:$A,0))</f>
        <v>997.58404619999999</v>
      </c>
      <c r="O616" s="19">
        <f>J616*INDEX('Pliegos Tarifarios (Quilicura)'!$D:$D,MATCH($B616,'Pliegos Tarifarios (Quilicura)'!$A:$A,0))</f>
        <v>4191.1042992000002</v>
      </c>
      <c r="P616" s="19">
        <f>H616*INDEX('Pliegos Tarifarios (Quilicura)'!$E:$E,MATCH($B616,'Pliegos Tarifarios (Quilicura)'!$A:$A,0))</f>
        <v>1362.5174815999999</v>
      </c>
      <c r="Q616" s="19" cm="1">
        <f t="array" ref="Q616">H616*_xlfn.IFS(H616&lt;=350,INDEX('Pliegos Tarifarios (Quilicura)'!$F:$F,MATCH($B616,'Pliegos Tarifarios (Quilicura)'!$A:$A,0)),H616&lt;=500,INDEX('Pliegos Tarifarios (Quilicura)'!$G:$G,MATCH($B616,'Pliegos Tarifarios (Quilicura)'!$A:$A,0)),H616&lt;=1000,INDEX('Pliegos Tarifarios (Quilicura)'!$H:$H,MATCH($B616,'Pliegos Tarifarios (Quilicura)'!$A:$A,0)),H616&lt;=5000,INDEX('Pliegos Tarifarios (Quilicura)'!$I:$I,MATCH($B616,'Pliegos Tarifarios (Quilicura)'!$A:$A,0)),H616&gt;5000,INDEX('Pliegos Tarifarios (Quilicura)'!$J:$J,MATCH($B616,'Pliegos Tarifarios (Quilicura)'!$A:$A,0)))/1.19</f>
        <v>68.923416470588236</v>
      </c>
      <c r="R616" s="19">
        <f>INDEX('Pliegos Tarifarios (Quilicura)'!$K:$K,MATCH($B616,'Pliegos Tarifarios (Quilicura)'!$A:$A,0))</f>
        <v>729.50400000000002</v>
      </c>
      <c r="S616" s="21">
        <f t="shared" si="30"/>
        <v>21134.138075170591</v>
      </c>
      <c r="T616" s="21">
        <f t="shared" si="31"/>
        <v>4015.4862342824122</v>
      </c>
      <c r="U616" s="19">
        <v>0</v>
      </c>
      <c r="V616" s="21">
        <f t="shared" si="32"/>
        <v>25149.624309453004</v>
      </c>
    </row>
    <row r="617" spans="1:22" x14ac:dyDescent="0.3">
      <c r="A617" s="3" t="s">
        <v>148</v>
      </c>
      <c r="B617" s="3">
        <v>9</v>
      </c>
      <c r="C617" s="4" t="s">
        <v>186</v>
      </c>
      <c r="D617" s="3" t="s">
        <v>240</v>
      </c>
      <c r="E617" s="3" t="s">
        <v>121</v>
      </c>
      <c r="F617" s="4" t="s">
        <v>241</v>
      </c>
      <c r="G617" s="3" t="s">
        <v>30</v>
      </c>
      <c r="H617" s="5">
        <v>104.78100000000001</v>
      </c>
      <c r="I617" s="5">
        <v>0.29549999999999998</v>
      </c>
      <c r="J617" s="5">
        <v>0.29549999999999998</v>
      </c>
      <c r="K617" s="6">
        <v>1</v>
      </c>
      <c r="L617" s="5">
        <v>3.38</v>
      </c>
      <c r="M617" s="19">
        <f>H617*INDEX('Pliegos Tarifarios (Quilicura)'!$B:$B,MATCH($B617,'Pliegos Tarifarios (Quilicura)'!$A:$A,0))</f>
        <v>13806.258903000002</v>
      </c>
      <c r="N617" s="19">
        <f>I617*INDEX('Pliegos Tarifarios (Quilicura)'!$C:$C,MATCH($B617,'Pliegos Tarifarios (Quilicura)'!$A:$A,0))</f>
        <v>1017.2052644999999</v>
      </c>
      <c r="O617" s="19">
        <f>J617*INDEX('Pliegos Tarifarios (Quilicura)'!$D:$D,MATCH($B617,'Pliegos Tarifarios (Quilicura)'!$A:$A,0))</f>
        <v>4288.3355970000002</v>
      </c>
      <c r="P617" s="19">
        <f>H617*INDEX('Pliegos Tarifarios (Quilicura)'!$E:$E,MATCH($B617,'Pliegos Tarifarios (Quilicura)'!$A:$A,0))</f>
        <v>1364.6677440000001</v>
      </c>
      <c r="Q617" s="19" cm="1">
        <f t="array" ref="Q617">H617*_xlfn.IFS(H617&lt;=350,INDEX('Pliegos Tarifarios (Quilicura)'!$F:$F,MATCH($B617,'Pliegos Tarifarios (Quilicura)'!$A:$A,0)),H617&lt;=500,INDEX('Pliegos Tarifarios (Quilicura)'!$G:$G,MATCH($B617,'Pliegos Tarifarios (Quilicura)'!$A:$A,0)),H617&lt;=1000,INDEX('Pliegos Tarifarios (Quilicura)'!$H:$H,MATCH($B617,'Pliegos Tarifarios (Quilicura)'!$A:$A,0)),H617&lt;=5000,INDEX('Pliegos Tarifarios (Quilicura)'!$I:$I,MATCH($B617,'Pliegos Tarifarios (Quilicura)'!$A:$A,0)),H617&gt;5000,INDEX('Pliegos Tarifarios (Quilicura)'!$J:$J,MATCH($B617,'Pliegos Tarifarios (Quilicura)'!$A:$A,0)))/1.19</f>
        <v>69.032188235294129</v>
      </c>
      <c r="R617" s="19">
        <f>INDEX('Pliegos Tarifarios (Quilicura)'!$K:$K,MATCH($B617,'Pliegos Tarifarios (Quilicura)'!$A:$A,0))</f>
        <v>729.50400000000002</v>
      </c>
      <c r="S617" s="21">
        <f t="shared" si="30"/>
        <v>21275.003696735297</v>
      </c>
      <c r="T617" s="21">
        <f t="shared" si="31"/>
        <v>4042.2507023797066</v>
      </c>
      <c r="U617" s="19">
        <v>0</v>
      </c>
      <c r="V617" s="21">
        <f t="shared" si="32"/>
        <v>25317.254399115005</v>
      </c>
    </row>
    <row r="618" spans="1:22" x14ac:dyDescent="0.3">
      <c r="A618" s="3" t="s">
        <v>148</v>
      </c>
      <c r="B618" s="3">
        <v>9</v>
      </c>
      <c r="C618" s="4" t="s">
        <v>186</v>
      </c>
      <c r="D618" s="3" t="s">
        <v>242</v>
      </c>
      <c r="E618" s="3" t="s">
        <v>121</v>
      </c>
      <c r="F618" s="4" t="s">
        <v>243</v>
      </c>
      <c r="G618" s="3" t="s">
        <v>30</v>
      </c>
      <c r="H618" s="5">
        <v>104.5073</v>
      </c>
      <c r="I618" s="5">
        <v>0.29549999999999998</v>
      </c>
      <c r="J618" s="5">
        <v>0.28320000000000001</v>
      </c>
      <c r="K618" s="6">
        <v>0.95837563451776653</v>
      </c>
      <c r="L618" s="5">
        <v>3.37</v>
      </c>
      <c r="M618" s="19">
        <f>H618*INDEX('Pliegos Tarifarios (Quilicura)'!$B:$B,MATCH($B618,'Pliegos Tarifarios (Quilicura)'!$A:$A,0))</f>
        <v>13770.195369900001</v>
      </c>
      <c r="N618" s="19">
        <f>I618*INDEX('Pliegos Tarifarios (Quilicura)'!$C:$C,MATCH($B618,'Pliegos Tarifarios (Quilicura)'!$A:$A,0))</f>
        <v>1017.2052644999999</v>
      </c>
      <c r="O618" s="19">
        <f>J618*INDEX('Pliegos Tarifarios (Quilicura)'!$D:$D,MATCH($B618,'Pliegos Tarifarios (Quilicura)'!$A:$A,0))</f>
        <v>4109.8363488000005</v>
      </c>
      <c r="P618" s="19">
        <f>H618*INDEX('Pliegos Tarifarios (Quilicura)'!$E:$E,MATCH($B618,'Pliegos Tarifarios (Quilicura)'!$A:$A,0))</f>
        <v>1361.1030751999999</v>
      </c>
      <c r="Q618" s="19" cm="1">
        <f t="array" ref="Q618">H618*_xlfn.IFS(H618&lt;=350,INDEX('Pliegos Tarifarios (Quilicura)'!$F:$F,MATCH($B618,'Pliegos Tarifarios (Quilicura)'!$A:$A,0)),H618&lt;=500,INDEX('Pliegos Tarifarios (Quilicura)'!$G:$G,MATCH($B618,'Pliegos Tarifarios (Quilicura)'!$A:$A,0)),H618&lt;=1000,INDEX('Pliegos Tarifarios (Quilicura)'!$H:$H,MATCH($B618,'Pliegos Tarifarios (Quilicura)'!$A:$A,0)),H618&lt;=5000,INDEX('Pliegos Tarifarios (Quilicura)'!$I:$I,MATCH($B618,'Pliegos Tarifarios (Quilicura)'!$A:$A,0)),H618&gt;5000,INDEX('Pliegos Tarifarios (Quilicura)'!$J:$J,MATCH($B618,'Pliegos Tarifarios (Quilicura)'!$A:$A,0)))/1.19</f>
        <v>68.85186823529412</v>
      </c>
      <c r="R618" s="19">
        <f>INDEX('Pliegos Tarifarios (Quilicura)'!$K:$K,MATCH($B618,'Pliegos Tarifarios (Quilicura)'!$A:$A,0))</f>
        <v>729.50400000000002</v>
      </c>
      <c r="S618" s="21">
        <f t="shared" si="30"/>
        <v>21056.695926635297</v>
      </c>
      <c r="T618" s="21">
        <f t="shared" si="31"/>
        <v>4000.7722260607065</v>
      </c>
      <c r="U618" s="19">
        <v>0</v>
      </c>
      <c r="V618" s="21">
        <f t="shared" si="32"/>
        <v>25057.468152696005</v>
      </c>
    </row>
    <row r="619" spans="1:22" x14ac:dyDescent="0.3">
      <c r="A619" s="3" t="s">
        <v>148</v>
      </c>
      <c r="B619" s="3">
        <v>9</v>
      </c>
      <c r="C619" s="4" t="s">
        <v>186</v>
      </c>
      <c r="D619" s="3" t="s">
        <v>244</v>
      </c>
      <c r="E619" s="3" t="s">
        <v>121</v>
      </c>
      <c r="F619" s="4" t="s">
        <v>245</v>
      </c>
      <c r="G619" s="3" t="s">
        <v>30</v>
      </c>
      <c r="H619" s="5">
        <v>104.4212</v>
      </c>
      <c r="I619" s="5">
        <v>0.29199999999999998</v>
      </c>
      <c r="J619" s="5">
        <v>0.28989999999999999</v>
      </c>
      <c r="K619" s="6">
        <v>0.99280821917808226</v>
      </c>
      <c r="L619" s="5">
        <v>3.37</v>
      </c>
      <c r="M619" s="19">
        <f>H619*INDEX('Pliegos Tarifarios (Quilicura)'!$B:$B,MATCH($B619,'Pliegos Tarifarios (Quilicura)'!$A:$A,0))</f>
        <v>13758.8505756</v>
      </c>
      <c r="N619" s="19">
        <f>I619*INDEX('Pliegos Tarifarios (Quilicura)'!$C:$C,MATCH($B619,'Pliegos Tarifarios (Quilicura)'!$A:$A,0))</f>
        <v>1005.1571479999999</v>
      </c>
      <c r="O619" s="19">
        <f>J619*INDEX('Pliegos Tarifarios (Quilicura)'!$D:$D,MATCH($B619,'Pliegos Tarifarios (Quilicura)'!$A:$A,0))</f>
        <v>4207.0676465999995</v>
      </c>
      <c r="P619" s="19">
        <f>H619*INDEX('Pliegos Tarifarios (Quilicura)'!$E:$E,MATCH($B619,'Pliegos Tarifarios (Quilicura)'!$A:$A,0))</f>
        <v>1359.9817088</v>
      </c>
      <c r="Q619" s="19" cm="1">
        <f t="array" ref="Q619">H619*_xlfn.IFS(H619&lt;=350,INDEX('Pliegos Tarifarios (Quilicura)'!$F:$F,MATCH($B619,'Pliegos Tarifarios (Quilicura)'!$A:$A,0)),H619&lt;=500,INDEX('Pliegos Tarifarios (Quilicura)'!$G:$G,MATCH($B619,'Pliegos Tarifarios (Quilicura)'!$A:$A,0)),H619&lt;=1000,INDEX('Pliegos Tarifarios (Quilicura)'!$H:$H,MATCH($B619,'Pliegos Tarifarios (Quilicura)'!$A:$A,0)),H619&lt;=5000,INDEX('Pliegos Tarifarios (Quilicura)'!$I:$I,MATCH($B619,'Pliegos Tarifarios (Quilicura)'!$A:$A,0)),H619&gt;5000,INDEX('Pliegos Tarifarios (Quilicura)'!$J:$J,MATCH($B619,'Pliegos Tarifarios (Quilicura)'!$A:$A,0)))/1.19</f>
        <v>68.795143529411774</v>
      </c>
      <c r="R619" s="19">
        <f>INDEX('Pliegos Tarifarios (Quilicura)'!$K:$K,MATCH($B619,'Pliegos Tarifarios (Quilicura)'!$A:$A,0))</f>
        <v>729.50400000000002</v>
      </c>
      <c r="S619" s="21">
        <f t="shared" si="30"/>
        <v>21129.356222529412</v>
      </c>
      <c r="T619" s="21">
        <f t="shared" si="31"/>
        <v>4014.5776822805883</v>
      </c>
      <c r="U619" s="19">
        <v>0</v>
      </c>
      <c r="V619" s="21">
        <f t="shared" si="32"/>
        <v>25143.933904810001</v>
      </c>
    </row>
    <row r="620" spans="1:22" x14ac:dyDescent="0.3">
      <c r="A620" s="3" t="s">
        <v>148</v>
      </c>
      <c r="B620" s="3">
        <v>9</v>
      </c>
      <c r="C620" s="4" t="s">
        <v>186</v>
      </c>
      <c r="D620" s="3" t="s">
        <v>246</v>
      </c>
      <c r="E620" s="3" t="s">
        <v>121</v>
      </c>
      <c r="F620" s="4" t="s">
        <v>247</v>
      </c>
      <c r="G620" s="3" t="s">
        <v>30</v>
      </c>
      <c r="H620" s="5">
        <v>104.7003</v>
      </c>
      <c r="I620" s="5">
        <v>0.29070000000000001</v>
      </c>
      <c r="J620" s="5">
        <v>0.28820000000000001</v>
      </c>
      <c r="K620" s="6">
        <v>0.99140006879944964</v>
      </c>
      <c r="L620" s="5">
        <v>3.38</v>
      </c>
      <c r="M620" s="19">
        <f>H620*INDEX('Pliegos Tarifarios (Quilicura)'!$B:$B,MATCH($B620,'Pliegos Tarifarios (Quilicura)'!$A:$A,0))</f>
        <v>13795.625628900001</v>
      </c>
      <c r="N620" s="19">
        <f>I620*INDEX('Pliegos Tarifarios (Quilicura)'!$C:$C,MATCH($B620,'Pliegos Tarifarios (Quilicura)'!$A:$A,0))</f>
        <v>1000.6821333</v>
      </c>
      <c r="O620" s="19">
        <f>J620*INDEX('Pliegos Tarifarios (Quilicura)'!$D:$D,MATCH($B620,'Pliegos Tarifarios (Quilicura)'!$A:$A,0))</f>
        <v>4182.3970188000003</v>
      </c>
      <c r="P620" s="19">
        <f>H620*INDEX('Pliegos Tarifarios (Quilicura)'!$E:$E,MATCH($B620,'Pliegos Tarifarios (Quilicura)'!$A:$A,0))</f>
        <v>1363.6167071999998</v>
      </c>
      <c r="Q620" s="19" cm="1">
        <f t="array" ref="Q620">H620*_xlfn.IFS(H620&lt;=350,INDEX('Pliegos Tarifarios (Quilicura)'!$F:$F,MATCH($B620,'Pliegos Tarifarios (Quilicura)'!$A:$A,0)),H620&lt;=500,INDEX('Pliegos Tarifarios (Quilicura)'!$G:$G,MATCH($B620,'Pliegos Tarifarios (Quilicura)'!$A:$A,0)),H620&lt;=1000,INDEX('Pliegos Tarifarios (Quilicura)'!$H:$H,MATCH($B620,'Pliegos Tarifarios (Quilicura)'!$A:$A,0)),H620&lt;=5000,INDEX('Pliegos Tarifarios (Quilicura)'!$I:$I,MATCH($B620,'Pliegos Tarifarios (Quilicura)'!$A:$A,0)),H620&gt;5000,INDEX('Pliegos Tarifarios (Quilicura)'!$J:$J,MATCH($B620,'Pliegos Tarifarios (Quilicura)'!$A:$A,0)))/1.19</f>
        <v>68.979021176470596</v>
      </c>
      <c r="R620" s="19">
        <f>INDEX('Pliegos Tarifarios (Quilicura)'!$K:$K,MATCH($B620,'Pliegos Tarifarios (Quilicura)'!$A:$A,0))</f>
        <v>729.50400000000002</v>
      </c>
      <c r="S620" s="21">
        <f t="shared" si="30"/>
        <v>21140.80450937647</v>
      </c>
      <c r="T620" s="21">
        <f t="shared" si="31"/>
        <v>4016.7528567815293</v>
      </c>
      <c r="U620" s="19">
        <v>0</v>
      </c>
      <c r="V620" s="21">
        <f t="shared" si="32"/>
        <v>25157.557366157998</v>
      </c>
    </row>
    <row r="621" spans="1:22" x14ac:dyDescent="0.3">
      <c r="A621" s="3" t="s">
        <v>148</v>
      </c>
      <c r="B621" s="3">
        <v>9</v>
      </c>
      <c r="C621" s="4" t="s">
        <v>186</v>
      </c>
      <c r="D621" s="3" t="s">
        <v>248</v>
      </c>
      <c r="E621" s="3" t="s">
        <v>121</v>
      </c>
      <c r="F621" s="4" t="s">
        <v>249</v>
      </c>
      <c r="G621" s="3" t="s">
        <v>30</v>
      </c>
      <c r="H621" s="5">
        <v>104.6671</v>
      </c>
      <c r="I621" s="5">
        <v>0.29449999999999998</v>
      </c>
      <c r="J621" s="5">
        <v>0.29449999999999998</v>
      </c>
      <c r="K621" s="6">
        <v>1</v>
      </c>
      <c r="L621" s="5">
        <v>3.38</v>
      </c>
      <c r="M621" s="19">
        <f>H621*INDEX('Pliegos Tarifarios (Quilicura)'!$B:$B,MATCH($B621,'Pliegos Tarifarios (Quilicura)'!$A:$A,0))</f>
        <v>13791.251097300001</v>
      </c>
      <c r="N621" s="19">
        <f>I621*INDEX('Pliegos Tarifarios (Quilicura)'!$C:$C,MATCH($B621,'Pliegos Tarifarios (Quilicura)'!$A:$A,0))</f>
        <v>1013.7629454999999</v>
      </c>
      <c r="O621" s="19">
        <f>J621*INDEX('Pliegos Tarifarios (Quilicura)'!$D:$D,MATCH($B621,'Pliegos Tarifarios (Quilicura)'!$A:$A,0))</f>
        <v>4273.8234629999997</v>
      </c>
      <c r="P621" s="19">
        <f>H621*INDEX('Pliegos Tarifarios (Quilicura)'!$E:$E,MATCH($B621,'Pliegos Tarifarios (Quilicura)'!$A:$A,0))</f>
        <v>1363.1843104</v>
      </c>
      <c r="Q621" s="19" cm="1">
        <f t="array" ref="Q621">H621*_xlfn.IFS(H621&lt;=350,INDEX('Pliegos Tarifarios (Quilicura)'!$F:$F,MATCH($B621,'Pliegos Tarifarios (Quilicura)'!$A:$A,0)),H621&lt;=500,INDEX('Pliegos Tarifarios (Quilicura)'!$G:$G,MATCH($B621,'Pliegos Tarifarios (Quilicura)'!$A:$A,0)),H621&lt;=1000,INDEX('Pliegos Tarifarios (Quilicura)'!$H:$H,MATCH($B621,'Pliegos Tarifarios (Quilicura)'!$A:$A,0)),H621&lt;=5000,INDEX('Pliegos Tarifarios (Quilicura)'!$I:$I,MATCH($B621,'Pliegos Tarifarios (Quilicura)'!$A:$A,0)),H621&gt;5000,INDEX('Pliegos Tarifarios (Quilicura)'!$J:$J,MATCH($B621,'Pliegos Tarifarios (Quilicura)'!$A:$A,0)))/1.19</f>
        <v>68.957148235294127</v>
      </c>
      <c r="R621" s="19">
        <f>INDEX('Pliegos Tarifarios (Quilicura)'!$K:$K,MATCH($B621,'Pliegos Tarifarios (Quilicura)'!$A:$A,0))</f>
        <v>729.50400000000002</v>
      </c>
      <c r="S621" s="21">
        <f t="shared" si="30"/>
        <v>21240.482964435298</v>
      </c>
      <c r="T621" s="21">
        <f t="shared" si="31"/>
        <v>4035.6917632427067</v>
      </c>
      <c r="U621" s="19">
        <v>0</v>
      </c>
      <c r="V621" s="21">
        <f t="shared" si="32"/>
        <v>25276.174727678004</v>
      </c>
    </row>
    <row r="622" spans="1:22" x14ac:dyDescent="0.3">
      <c r="A622" s="3" t="s">
        <v>148</v>
      </c>
      <c r="B622" s="3">
        <v>9</v>
      </c>
      <c r="C622" s="4" t="s">
        <v>186</v>
      </c>
      <c r="D622" s="3" t="s">
        <v>250</v>
      </c>
      <c r="E622" s="3" t="s">
        <v>121</v>
      </c>
      <c r="F622" s="4" t="s">
        <v>251</v>
      </c>
      <c r="G622" s="3" t="s">
        <v>30</v>
      </c>
      <c r="H622" s="5">
        <v>104.77460000000001</v>
      </c>
      <c r="I622" s="5">
        <v>0.2994</v>
      </c>
      <c r="J622" s="5">
        <v>0.2888</v>
      </c>
      <c r="K622" s="6">
        <v>0.96459585838343354</v>
      </c>
      <c r="L622" s="5">
        <v>3.38</v>
      </c>
      <c r="M622" s="19">
        <f>H622*INDEX('Pliegos Tarifarios (Quilicura)'!$B:$B,MATCH($B622,'Pliegos Tarifarios (Quilicura)'!$A:$A,0))</f>
        <v>13805.415619800002</v>
      </c>
      <c r="N622" s="19">
        <f>I622*INDEX('Pliegos Tarifarios (Quilicura)'!$C:$C,MATCH($B622,'Pliegos Tarifarios (Quilicura)'!$A:$A,0))</f>
        <v>1030.6303086</v>
      </c>
      <c r="O622" s="19">
        <f>J622*INDEX('Pliegos Tarifarios (Quilicura)'!$D:$D,MATCH($B622,'Pliegos Tarifarios (Quilicura)'!$A:$A,0))</f>
        <v>4191.1042992000002</v>
      </c>
      <c r="P622" s="19">
        <f>H622*INDEX('Pliegos Tarifarios (Quilicura)'!$E:$E,MATCH($B622,'Pliegos Tarifarios (Quilicura)'!$A:$A,0))</f>
        <v>1364.5843904000001</v>
      </c>
      <c r="Q622" s="19" cm="1">
        <f t="array" ref="Q622">H622*_xlfn.IFS(H622&lt;=350,INDEX('Pliegos Tarifarios (Quilicura)'!$F:$F,MATCH($B622,'Pliegos Tarifarios (Quilicura)'!$A:$A,0)),H622&lt;=500,INDEX('Pliegos Tarifarios (Quilicura)'!$G:$G,MATCH($B622,'Pliegos Tarifarios (Quilicura)'!$A:$A,0)),H622&lt;=1000,INDEX('Pliegos Tarifarios (Quilicura)'!$H:$H,MATCH($B622,'Pliegos Tarifarios (Quilicura)'!$A:$A,0)),H622&lt;=5000,INDEX('Pliegos Tarifarios (Quilicura)'!$I:$I,MATCH($B622,'Pliegos Tarifarios (Quilicura)'!$A:$A,0)),H622&gt;5000,INDEX('Pliegos Tarifarios (Quilicura)'!$J:$J,MATCH($B622,'Pliegos Tarifarios (Quilicura)'!$A:$A,0)))/1.19</f>
        <v>69.027971764705896</v>
      </c>
      <c r="R622" s="19">
        <f>INDEX('Pliegos Tarifarios (Quilicura)'!$K:$K,MATCH($B622,'Pliegos Tarifarios (Quilicura)'!$A:$A,0))</f>
        <v>729.50400000000002</v>
      </c>
      <c r="S622" s="21">
        <f t="shared" si="30"/>
        <v>21190.266589764709</v>
      </c>
      <c r="T622" s="21">
        <f t="shared" si="31"/>
        <v>4026.1506520552948</v>
      </c>
      <c r="U622" s="19">
        <v>0</v>
      </c>
      <c r="V622" s="21">
        <f t="shared" si="32"/>
        <v>25216.417241820003</v>
      </c>
    </row>
    <row r="623" spans="1:22" x14ac:dyDescent="0.3">
      <c r="A623" s="3" t="s">
        <v>148</v>
      </c>
      <c r="B623" s="3">
        <v>9</v>
      </c>
      <c r="C623" s="4" t="s">
        <v>186</v>
      </c>
      <c r="D623" s="3" t="s">
        <v>252</v>
      </c>
      <c r="E623" s="3" t="s">
        <v>121</v>
      </c>
      <c r="F623" s="4" t="s">
        <v>253</v>
      </c>
      <c r="G623" s="3" t="s">
        <v>30</v>
      </c>
      <c r="H623" s="5">
        <v>105.0939</v>
      </c>
      <c r="I623" s="5">
        <v>0.28860000000000002</v>
      </c>
      <c r="J623" s="5">
        <v>0.28860000000000002</v>
      </c>
      <c r="K623" s="6">
        <v>1</v>
      </c>
      <c r="L623" s="5">
        <v>3.39</v>
      </c>
      <c r="M623" s="19">
        <f>H623*INDEX('Pliegos Tarifarios (Quilicura)'!$B:$B,MATCH($B623,'Pliegos Tarifarios (Quilicura)'!$A:$A,0))</f>
        <v>13847.487545700002</v>
      </c>
      <c r="N623" s="19">
        <f>I623*INDEX('Pliegos Tarifarios (Quilicura)'!$C:$C,MATCH($B623,'Pliegos Tarifarios (Quilicura)'!$A:$A,0))</f>
        <v>993.45326340000008</v>
      </c>
      <c r="O623" s="19">
        <f>J623*INDEX('Pliegos Tarifarios (Quilicura)'!$D:$D,MATCH($B623,'Pliegos Tarifarios (Quilicura)'!$A:$A,0))</f>
        <v>4188.2018724</v>
      </c>
      <c r="P623" s="19">
        <f>H623*INDEX('Pliegos Tarifarios (Quilicura)'!$E:$E,MATCH($B623,'Pliegos Tarifarios (Quilicura)'!$A:$A,0))</f>
        <v>1368.7429536</v>
      </c>
      <c r="Q623" s="19" cm="1">
        <f t="array" ref="Q623">H623*_xlfn.IFS(H623&lt;=350,INDEX('Pliegos Tarifarios (Quilicura)'!$F:$F,MATCH($B623,'Pliegos Tarifarios (Quilicura)'!$A:$A,0)),H623&lt;=500,INDEX('Pliegos Tarifarios (Quilicura)'!$G:$G,MATCH($B623,'Pliegos Tarifarios (Quilicura)'!$A:$A,0)),H623&lt;=1000,INDEX('Pliegos Tarifarios (Quilicura)'!$H:$H,MATCH($B623,'Pliegos Tarifarios (Quilicura)'!$A:$A,0)),H623&lt;=5000,INDEX('Pliegos Tarifarios (Quilicura)'!$I:$I,MATCH($B623,'Pliegos Tarifarios (Quilicura)'!$A:$A,0)),H623&gt;5000,INDEX('Pliegos Tarifarios (Quilicura)'!$J:$J,MATCH($B623,'Pliegos Tarifarios (Quilicura)'!$A:$A,0)))/1.19</f>
        <v>69.238334117647071</v>
      </c>
      <c r="R623" s="19">
        <f>INDEX('Pliegos Tarifarios (Quilicura)'!$K:$K,MATCH($B623,'Pliegos Tarifarios (Quilicura)'!$A:$A,0))</f>
        <v>729.50400000000002</v>
      </c>
      <c r="S623" s="21">
        <f t="shared" si="30"/>
        <v>21196.627969217647</v>
      </c>
      <c r="T623" s="21">
        <f t="shared" si="31"/>
        <v>4027.3593141513529</v>
      </c>
      <c r="U623" s="19">
        <v>0</v>
      </c>
      <c r="V623" s="21">
        <f t="shared" si="32"/>
        <v>25223.987283368999</v>
      </c>
    </row>
    <row r="624" spans="1:22" x14ac:dyDescent="0.3">
      <c r="A624" s="3" t="s">
        <v>148</v>
      </c>
      <c r="B624" s="3">
        <v>9</v>
      </c>
      <c r="C624" s="4" t="s">
        <v>186</v>
      </c>
      <c r="D624" s="3" t="s">
        <v>254</v>
      </c>
      <c r="E624" s="3" t="s">
        <v>121</v>
      </c>
      <c r="F624" s="4" t="s">
        <v>255</v>
      </c>
      <c r="G624" s="3" t="s">
        <v>30</v>
      </c>
      <c r="H624" s="5">
        <v>104.7822</v>
      </c>
      <c r="I624" s="5">
        <v>0.29809999999999998</v>
      </c>
      <c r="J624" s="5">
        <v>0.2888</v>
      </c>
      <c r="K624" s="6">
        <v>0.96880241529688027</v>
      </c>
      <c r="L624" s="5">
        <v>3.38</v>
      </c>
      <c r="M624" s="19">
        <f>H624*INDEX('Pliegos Tarifarios (Quilicura)'!$B:$B,MATCH($B624,'Pliegos Tarifarios (Quilicura)'!$A:$A,0))</f>
        <v>13806.417018600001</v>
      </c>
      <c r="N624" s="19">
        <f>I624*INDEX('Pliegos Tarifarios (Quilicura)'!$C:$C,MATCH($B624,'Pliegos Tarifarios (Quilicura)'!$A:$A,0))</f>
        <v>1026.1552938999998</v>
      </c>
      <c r="O624" s="19">
        <f>J624*INDEX('Pliegos Tarifarios (Quilicura)'!$D:$D,MATCH($B624,'Pliegos Tarifarios (Quilicura)'!$A:$A,0))</f>
        <v>4191.1042992000002</v>
      </c>
      <c r="P624" s="19">
        <f>H624*INDEX('Pliegos Tarifarios (Quilicura)'!$E:$E,MATCH($B624,'Pliegos Tarifarios (Quilicura)'!$A:$A,0))</f>
        <v>1364.6833727999999</v>
      </c>
      <c r="Q624" s="19" cm="1">
        <f t="array" ref="Q624">H624*_xlfn.IFS(H624&lt;=350,INDEX('Pliegos Tarifarios (Quilicura)'!$F:$F,MATCH($B624,'Pliegos Tarifarios (Quilicura)'!$A:$A,0)),H624&lt;=500,INDEX('Pliegos Tarifarios (Quilicura)'!$G:$G,MATCH($B624,'Pliegos Tarifarios (Quilicura)'!$A:$A,0)),H624&lt;=1000,INDEX('Pliegos Tarifarios (Quilicura)'!$H:$H,MATCH($B624,'Pliegos Tarifarios (Quilicura)'!$A:$A,0)),H624&lt;=5000,INDEX('Pliegos Tarifarios (Quilicura)'!$I:$I,MATCH($B624,'Pliegos Tarifarios (Quilicura)'!$A:$A,0)),H624&gt;5000,INDEX('Pliegos Tarifarios (Quilicura)'!$J:$J,MATCH($B624,'Pliegos Tarifarios (Quilicura)'!$A:$A,0)))/1.19</f>
        <v>69.032978823529419</v>
      </c>
      <c r="R624" s="19">
        <f>INDEX('Pliegos Tarifarios (Quilicura)'!$K:$K,MATCH($B624,'Pliegos Tarifarios (Quilicura)'!$A:$A,0))</f>
        <v>729.50400000000002</v>
      </c>
      <c r="S624" s="21">
        <f t="shared" si="30"/>
        <v>21186.896963323528</v>
      </c>
      <c r="T624" s="21">
        <f t="shared" si="31"/>
        <v>4025.5104230314705</v>
      </c>
      <c r="U624" s="19">
        <v>0</v>
      </c>
      <c r="V624" s="21">
        <f t="shared" si="32"/>
        <v>25212.407386355</v>
      </c>
    </row>
    <row r="625" spans="1:22" x14ac:dyDescent="0.3">
      <c r="A625" s="3" t="s">
        <v>148</v>
      </c>
      <c r="B625" s="3">
        <v>9</v>
      </c>
      <c r="C625" s="4" t="s">
        <v>186</v>
      </c>
      <c r="D625" s="3" t="s">
        <v>256</v>
      </c>
      <c r="E625" s="3" t="s">
        <v>121</v>
      </c>
      <c r="F625" s="4" t="s">
        <v>257</v>
      </c>
      <c r="G625" s="3" t="s">
        <v>30</v>
      </c>
      <c r="H625" s="5">
        <v>104.49720000000001</v>
      </c>
      <c r="I625" s="5">
        <v>0.29699999999999999</v>
      </c>
      <c r="J625" s="5">
        <v>0.29699999999999999</v>
      </c>
      <c r="K625" s="6">
        <v>1</v>
      </c>
      <c r="L625" s="5">
        <v>3.37</v>
      </c>
      <c r="M625" s="19">
        <f>H625*INDEX('Pliegos Tarifarios (Quilicura)'!$B:$B,MATCH($B625,'Pliegos Tarifarios (Quilicura)'!$A:$A,0))</f>
        <v>13768.864563600002</v>
      </c>
      <c r="N625" s="19">
        <f>I625*INDEX('Pliegos Tarifarios (Quilicura)'!$C:$C,MATCH($B625,'Pliegos Tarifarios (Quilicura)'!$A:$A,0))</f>
        <v>1022.368743</v>
      </c>
      <c r="O625" s="19">
        <f>J625*INDEX('Pliegos Tarifarios (Quilicura)'!$D:$D,MATCH($B625,'Pliegos Tarifarios (Quilicura)'!$A:$A,0))</f>
        <v>4310.1037980000001</v>
      </c>
      <c r="P625" s="19">
        <f>H625*INDEX('Pliegos Tarifarios (Quilicura)'!$E:$E,MATCH($B625,'Pliegos Tarifarios (Quilicura)'!$A:$A,0))</f>
        <v>1360.9715328</v>
      </c>
      <c r="Q625" s="19" cm="1">
        <f t="array" ref="Q625">H625*_xlfn.IFS(H625&lt;=350,INDEX('Pliegos Tarifarios (Quilicura)'!$F:$F,MATCH($B625,'Pliegos Tarifarios (Quilicura)'!$A:$A,0)),H625&lt;=500,INDEX('Pliegos Tarifarios (Quilicura)'!$G:$G,MATCH($B625,'Pliegos Tarifarios (Quilicura)'!$A:$A,0)),H625&lt;=1000,INDEX('Pliegos Tarifarios (Quilicura)'!$H:$H,MATCH($B625,'Pliegos Tarifarios (Quilicura)'!$A:$A,0)),H625&lt;=5000,INDEX('Pliegos Tarifarios (Quilicura)'!$I:$I,MATCH($B625,'Pliegos Tarifarios (Quilicura)'!$A:$A,0)),H625&gt;5000,INDEX('Pliegos Tarifarios (Quilicura)'!$J:$J,MATCH($B625,'Pliegos Tarifarios (Quilicura)'!$A:$A,0)))/1.19</f>
        <v>68.845214117647075</v>
      </c>
      <c r="R625" s="19">
        <f>INDEX('Pliegos Tarifarios (Quilicura)'!$K:$K,MATCH($B625,'Pliegos Tarifarios (Quilicura)'!$A:$A,0))</f>
        <v>729.50400000000002</v>
      </c>
      <c r="S625" s="21">
        <f t="shared" si="30"/>
        <v>21260.657851517648</v>
      </c>
      <c r="T625" s="21">
        <f t="shared" si="31"/>
        <v>4039.524991788353</v>
      </c>
      <c r="U625" s="19">
        <v>0</v>
      </c>
      <c r="V625" s="21">
        <f t="shared" si="32"/>
        <v>25300.182843306</v>
      </c>
    </row>
    <row r="626" spans="1:22" x14ac:dyDescent="0.3">
      <c r="A626" s="3" t="s">
        <v>148</v>
      </c>
      <c r="B626" s="3">
        <v>9</v>
      </c>
      <c r="C626" s="4" t="s">
        <v>186</v>
      </c>
      <c r="D626" s="3" t="s">
        <v>258</v>
      </c>
      <c r="E626" s="3" t="s">
        <v>121</v>
      </c>
      <c r="F626" s="4" t="s">
        <v>259</v>
      </c>
      <c r="G626" s="3" t="s">
        <v>30</v>
      </c>
      <c r="H626" s="5">
        <v>104.6117</v>
      </c>
      <c r="I626" s="5">
        <v>0.29239999999999999</v>
      </c>
      <c r="J626" s="5">
        <v>0.28839999999999999</v>
      </c>
      <c r="K626" s="6">
        <v>0.98632010943912451</v>
      </c>
      <c r="L626" s="5">
        <v>3.37</v>
      </c>
      <c r="M626" s="19">
        <f>H626*INDEX('Pliegos Tarifarios (Quilicura)'!$B:$B,MATCH($B626,'Pliegos Tarifarios (Quilicura)'!$A:$A,0))</f>
        <v>13783.951427100001</v>
      </c>
      <c r="N626" s="19">
        <f>I626*INDEX('Pliegos Tarifarios (Quilicura)'!$C:$C,MATCH($B626,'Pliegos Tarifarios (Quilicura)'!$A:$A,0))</f>
        <v>1006.5340755999999</v>
      </c>
      <c r="O626" s="19">
        <f>J626*INDEX('Pliegos Tarifarios (Quilicura)'!$D:$D,MATCH($B626,'Pliegos Tarifarios (Quilicura)'!$A:$A,0))</f>
        <v>4185.2994455999997</v>
      </c>
      <c r="P626" s="19">
        <f>H626*INDEX('Pliegos Tarifarios (Quilicura)'!$E:$E,MATCH($B626,'Pliegos Tarifarios (Quilicura)'!$A:$A,0))</f>
        <v>1362.4627807999998</v>
      </c>
      <c r="Q626" s="19" cm="1">
        <f t="array" ref="Q626">H626*_xlfn.IFS(H626&lt;=350,INDEX('Pliegos Tarifarios (Quilicura)'!$F:$F,MATCH($B626,'Pliegos Tarifarios (Quilicura)'!$A:$A,0)),H626&lt;=500,INDEX('Pliegos Tarifarios (Quilicura)'!$G:$G,MATCH($B626,'Pliegos Tarifarios (Quilicura)'!$A:$A,0)),H626&lt;=1000,INDEX('Pliegos Tarifarios (Quilicura)'!$H:$H,MATCH($B626,'Pliegos Tarifarios (Quilicura)'!$A:$A,0)),H626&lt;=5000,INDEX('Pliegos Tarifarios (Quilicura)'!$I:$I,MATCH($B626,'Pliegos Tarifarios (Quilicura)'!$A:$A,0)),H626&gt;5000,INDEX('Pliegos Tarifarios (Quilicura)'!$J:$J,MATCH($B626,'Pliegos Tarifarios (Quilicura)'!$A:$A,0)))/1.19</f>
        <v>68.920649411764714</v>
      </c>
      <c r="R626" s="19">
        <f>INDEX('Pliegos Tarifarios (Quilicura)'!$K:$K,MATCH($B626,'Pliegos Tarifarios (Quilicura)'!$A:$A,0))</f>
        <v>729.50400000000002</v>
      </c>
      <c r="S626" s="21">
        <f t="shared" si="30"/>
        <v>21136.672378511768</v>
      </c>
      <c r="T626" s="21">
        <f t="shared" si="31"/>
        <v>4015.967751917236</v>
      </c>
      <c r="U626" s="19">
        <v>0</v>
      </c>
      <c r="V626" s="21">
        <f t="shared" si="32"/>
        <v>25152.640130429005</v>
      </c>
    </row>
    <row r="627" spans="1:22" x14ac:dyDescent="0.3">
      <c r="A627" s="3" t="s">
        <v>148</v>
      </c>
      <c r="B627" s="3">
        <v>9</v>
      </c>
      <c r="C627" s="4" t="s">
        <v>186</v>
      </c>
      <c r="D627" s="3" t="s">
        <v>260</v>
      </c>
      <c r="E627" s="3" t="s">
        <v>121</v>
      </c>
      <c r="F627" s="4" t="s">
        <v>261</v>
      </c>
      <c r="G627" s="3" t="s">
        <v>16</v>
      </c>
      <c r="H627" s="5">
        <v>859.1644</v>
      </c>
      <c r="I627" s="5">
        <v>2.4264000000000001</v>
      </c>
      <c r="J627" s="5">
        <v>2.4264000000000001</v>
      </c>
      <c r="K627" s="6">
        <v>1</v>
      </c>
      <c r="L627" s="5">
        <v>27.71</v>
      </c>
      <c r="M627" s="19">
        <f>H627*INDEX('Pliegos Tarifarios (Quilicura)'!$B:$B,MATCH($B627,'Pliegos Tarifarios (Quilicura)'!$A:$A,0))</f>
        <v>113206.07883720001</v>
      </c>
      <c r="N627" s="19">
        <f>I627*INDEX('Pliegos Tarifarios (Quilicura)'!$C:$C,MATCH($B627,'Pliegos Tarifarios (Quilicura)'!$A:$A,0))</f>
        <v>8352.4428215999997</v>
      </c>
      <c r="O627" s="19">
        <f>J627*INDEX('Pliegos Tarifarios (Quilicura)'!$D:$D,MATCH($B627,'Pliegos Tarifarios (Quilicura)'!$A:$A,0))</f>
        <v>35212.241937600003</v>
      </c>
      <c r="P627" s="19">
        <f>H627*INDEX('Pliegos Tarifarios (Quilicura)'!$E:$E,MATCH($B627,'Pliegos Tarifarios (Quilicura)'!$A:$A,0))</f>
        <v>11189.757145599999</v>
      </c>
      <c r="Q627" s="19" cm="1">
        <f t="array" ref="Q627">H627*_xlfn.IFS(H627&lt;=350,INDEX('Pliegos Tarifarios (Quilicura)'!$F:$F,MATCH($B627,'Pliegos Tarifarios (Quilicura)'!$A:$A,0)),H627&lt;=500,INDEX('Pliegos Tarifarios (Quilicura)'!$G:$G,MATCH($B627,'Pliegos Tarifarios (Quilicura)'!$A:$A,0)),H627&lt;=1000,INDEX('Pliegos Tarifarios (Quilicura)'!$H:$H,MATCH($B627,'Pliegos Tarifarios (Quilicura)'!$A:$A,0)),H627&lt;=5000,INDEX('Pliegos Tarifarios (Quilicura)'!$I:$I,MATCH($B627,'Pliegos Tarifarios (Quilicura)'!$A:$A,0)),H627&gt;5000,INDEX('Pliegos Tarifarios (Quilicura)'!$J:$J,MATCH($B627,'Pliegos Tarifarios (Quilicura)'!$A:$A,0)))/1.19</f>
        <v>2015.0654121008406</v>
      </c>
      <c r="R627" s="19">
        <f>INDEX('Pliegos Tarifarios (Quilicura)'!$K:$K,MATCH($B627,'Pliegos Tarifarios (Quilicura)'!$A:$A,0))</f>
        <v>729.50400000000002</v>
      </c>
      <c r="S627" s="21">
        <f t="shared" si="30"/>
        <v>170705.09015410082</v>
      </c>
      <c r="T627" s="21">
        <f t="shared" si="31"/>
        <v>32433.967129279157</v>
      </c>
      <c r="U627" s="19">
        <v>0</v>
      </c>
      <c r="V627" s="21">
        <f t="shared" si="32"/>
        <v>203139.05728337998</v>
      </c>
    </row>
    <row r="628" spans="1:22" x14ac:dyDescent="0.3">
      <c r="A628" s="3" t="s">
        <v>148</v>
      </c>
      <c r="B628" s="3">
        <v>9</v>
      </c>
      <c r="C628" s="4" t="s">
        <v>186</v>
      </c>
      <c r="D628" s="3" t="s">
        <v>262</v>
      </c>
      <c r="E628" s="3" t="s">
        <v>121</v>
      </c>
      <c r="F628" s="4" t="s">
        <v>263</v>
      </c>
      <c r="G628" s="3" t="s">
        <v>16</v>
      </c>
      <c r="H628" s="5">
        <v>861.36189999999999</v>
      </c>
      <c r="I628" s="5">
        <v>2.4239000000000002</v>
      </c>
      <c r="J628" s="5">
        <v>2.4239000000000002</v>
      </c>
      <c r="K628" s="6">
        <v>1</v>
      </c>
      <c r="L628" s="5">
        <v>27.79</v>
      </c>
      <c r="M628" s="19">
        <f>H628*INDEX('Pliegos Tarifarios (Quilicura)'!$B:$B,MATCH($B628,'Pliegos Tarifarios (Quilicura)'!$A:$A,0))</f>
        <v>113495.6280297</v>
      </c>
      <c r="N628" s="19">
        <f>I628*INDEX('Pliegos Tarifarios (Quilicura)'!$C:$C,MATCH($B628,'Pliegos Tarifarios (Quilicura)'!$A:$A,0))</f>
        <v>8343.8370241000011</v>
      </c>
      <c r="O628" s="19">
        <f>J628*INDEX('Pliegos Tarifarios (Quilicura)'!$D:$D,MATCH($B628,'Pliegos Tarifarios (Quilicura)'!$A:$A,0))</f>
        <v>35175.9616026</v>
      </c>
      <c r="P628" s="19">
        <f>H628*INDEX('Pliegos Tarifarios (Quilicura)'!$E:$E,MATCH($B628,'Pliegos Tarifarios (Quilicura)'!$A:$A,0))</f>
        <v>11218.377385599999</v>
      </c>
      <c r="Q628" s="19" cm="1">
        <f t="array" ref="Q628">H628*_xlfn.IFS(H628&lt;=350,INDEX('Pliegos Tarifarios (Quilicura)'!$F:$F,MATCH($B628,'Pliegos Tarifarios (Quilicura)'!$A:$A,0)),H628&lt;=500,INDEX('Pliegos Tarifarios (Quilicura)'!$G:$G,MATCH($B628,'Pliegos Tarifarios (Quilicura)'!$A:$A,0)),H628&lt;=1000,INDEX('Pliegos Tarifarios (Quilicura)'!$H:$H,MATCH($B628,'Pliegos Tarifarios (Quilicura)'!$A:$A,0)),H628&lt;=5000,INDEX('Pliegos Tarifarios (Quilicura)'!$I:$I,MATCH($B628,'Pliegos Tarifarios (Quilicura)'!$A:$A,0)),H628&gt;5000,INDEX('Pliegos Tarifarios (Quilicura)'!$J:$J,MATCH($B628,'Pliegos Tarifarios (Quilicura)'!$A:$A,0)))/1.19</f>
        <v>2020.2193805882357</v>
      </c>
      <c r="R628" s="19">
        <f>INDEX('Pliegos Tarifarios (Quilicura)'!$K:$K,MATCH($B628,'Pliegos Tarifarios (Quilicura)'!$A:$A,0))</f>
        <v>729.50400000000002</v>
      </c>
      <c r="S628" s="21">
        <f t="shared" si="30"/>
        <v>170983.52742258823</v>
      </c>
      <c r="T628" s="21">
        <f t="shared" si="31"/>
        <v>32486.870210291763</v>
      </c>
      <c r="U628" s="19">
        <v>0</v>
      </c>
      <c r="V628" s="21">
        <f t="shared" si="32"/>
        <v>203470.39763287999</v>
      </c>
    </row>
    <row r="629" spans="1:22" x14ac:dyDescent="0.3">
      <c r="A629" s="3" t="s">
        <v>148</v>
      </c>
      <c r="B629" s="3">
        <v>9</v>
      </c>
      <c r="C629" s="4" t="s">
        <v>186</v>
      </c>
      <c r="D629" s="3" t="s">
        <v>264</v>
      </c>
      <c r="E629" s="3" t="s">
        <v>121</v>
      </c>
      <c r="F629" s="4" t="s">
        <v>265</v>
      </c>
      <c r="G629" s="3" t="s">
        <v>16</v>
      </c>
      <c r="H629" s="5">
        <v>696.76229999999998</v>
      </c>
      <c r="I629" s="5">
        <v>2.0139999999999998</v>
      </c>
      <c r="J629" s="5">
        <v>2.0139999999999998</v>
      </c>
      <c r="K629" s="6">
        <v>1</v>
      </c>
      <c r="L629" s="5">
        <v>22.48</v>
      </c>
      <c r="M629" s="19">
        <f>H629*INDEX('Pliegos Tarifarios (Quilicura)'!$B:$B,MATCH($B629,'Pliegos Tarifarios (Quilicura)'!$A:$A,0))</f>
        <v>91807.490934900008</v>
      </c>
      <c r="N629" s="19">
        <f>I629*INDEX('Pliegos Tarifarios (Quilicura)'!$C:$C,MATCH($B629,'Pliegos Tarifarios (Quilicura)'!$A:$A,0))</f>
        <v>6932.8304659999994</v>
      </c>
      <c r="O629" s="19">
        <f>J629*INDEX('Pliegos Tarifarios (Quilicura)'!$D:$D,MATCH($B629,'Pliegos Tarifarios (Quilicura)'!$A:$A,0))</f>
        <v>29227.437875999996</v>
      </c>
      <c r="P629" s="19">
        <f>H629*INDEX('Pliegos Tarifarios (Quilicura)'!$E:$E,MATCH($B629,'Pliegos Tarifarios (Quilicura)'!$A:$A,0))</f>
        <v>9074.6321951999998</v>
      </c>
      <c r="Q629" s="19" cm="1">
        <f t="array" ref="Q629">H629*_xlfn.IFS(H629&lt;=350,INDEX('Pliegos Tarifarios (Quilicura)'!$F:$F,MATCH($B629,'Pliegos Tarifarios (Quilicura)'!$A:$A,0)),H629&lt;=500,INDEX('Pliegos Tarifarios (Quilicura)'!$G:$G,MATCH($B629,'Pliegos Tarifarios (Quilicura)'!$A:$A,0)),H629&lt;=1000,INDEX('Pliegos Tarifarios (Quilicura)'!$H:$H,MATCH($B629,'Pliegos Tarifarios (Quilicura)'!$A:$A,0)),H629&lt;=5000,INDEX('Pliegos Tarifarios (Quilicura)'!$I:$I,MATCH($B629,'Pliegos Tarifarios (Quilicura)'!$A:$A,0)),H629&gt;5000,INDEX('Pliegos Tarifarios (Quilicura)'!$J:$J,MATCH($B629,'Pliegos Tarifarios (Quilicura)'!$A:$A,0)))/1.19</f>
        <v>1634.171075042017</v>
      </c>
      <c r="R629" s="19">
        <f>INDEX('Pliegos Tarifarios (Quilicura)'!$K:$K,MATCH($B629,'Pliegos Tarifarios (Quilicura)'!$A:$A,0))</f>
        <v>729.50400000000002</v>
      </c>
      <c r="S629" s="21">
        <f t="shared" si="30"/>
        <v>139406.06654714199</v>
      </c>
      <c r="T629" s="21">
        <f t="shared" si="31"/>
        <v>26487.152643956979</v>
      </c>
      <c r="U629" s="19">
        <v>0</v>
      </c>
      <c r="V629" s="21">
        <f t="shared" si="32"/>
        <v>165893.21919109896</v>
      </c>
    </row>
    <row r="630" spans="1:22" x14ac:dyDescent="0.3">
      <c r="A630" s="3" t="s">
        <v>148</v>
      </c>
      <c r="B630" s="3">
        <v>9</v>
      </c>
      <c r="C630" s="4" t="s">
        <v>186</v>
      </c>
      <c r="D630" s="3" t="s">
        <v>266</v>
      </c>
      <c r="E630" s="3" t="s">
        <v>121</v>
      </c>
      <c r="F630" s="4" t="s">
        <v>267</v>
      </c>
      <c r="G630" s="3" t="s">
        <v>16</v>
      </c>
      <c r="H630" s="5">
        <v>286.21319999999997</v>
      </c>
      <c r="I630" s="5">
        <v>0.83150000000000002</v>
      </c>
      <c r="J630" s="5">
        <v>0.77839999999999998</v>
      </c>
      <c r="K630" s="6">
        <v>0.93613950691521342</v>
      </c>
      <c r="L630" s="5">
        <v>9.23</v>
      </c>
      <c r="M630" s="19">
        <f>H630*INDEX('Pliegos Tarifarios (Quilicura)'!$B:$B,MATCH($B630,'Pliegos Tarifarios (Quilicura)'!$A:$A,0))</f>
        <v>37712.309871599995</v>
      </c>
      <c r="N630" s="19">
        <f>I630*INDEX('Pliegos Tarifarios (Quilicura)'!$C:$C,MATCH($B630,'Pliegos Tarifarios (Quilicura)'!$A:$A,0))</f>
        <v>2862.2882485</v>
      </c>
      <c r="O630" s="19">
        <f>J630*INDEX('Pliegos Tarifarios (Quilicura)'!$D:$D,MATCH($B630,'Pliegos Tarifarios (Quilicura)'!$A:$A,0))</f>
        <v>11296.245105599999</v>
      </c>
      <c r="P630" s="19">
        <f>H630*INDEX('Pliegos Tarifarios (Quilicura)'!$E:$E,MATCH($B630,'Pliegos Tarifarios (Quilicura)'!$A:$A,0))</f>
        <v>3727.6407167999996</v>
      </c>
      <c r="Q630" s="19" cm="1">
        <f t="array" ref="Q630">H630*_xlfn.IFS(H630&lt;=350,INDEX('Pliegos Tarifarios (Quilicura)'!$F:$F,MATCH($B630,'Pliegos Tarifarios (Quilicura)'!$A:$A,0)),H630&lt;=500,INDEX('Pliegos Tarifarios (Quilicura)'!$G:$G,MATCH($B630,'Pliegos Tarifarios (Quilicura)'!$A:$A,0)),H630&lt;=1000,INDEX('Pliegos Tarifarios (Quilicura)'!$H:$H,MATCH($B630,'Pliegos Tarifarios (Quilicura)'!$A:$A,0)),H630&lt;=5000,INDEX('Pliegos Tarifarios (Quilicura)'!$I:$I,MATCH($B630,'Pliegos Tarifarios (Quilicura)'!$A:$A,0)),H630&gt;5000,INDEX('Pliegos Tarifarios (Quilicura)'!$J:$J,MATCH($B630,'Pliegos Tarifarios (Quilicura)'!$A:$A,0)))/1.19</f>
        <v>188.5639905882353</v>
      </c>
      <c r="R630" s="19">
        <f>INDEX('Pliegos Tarifarios (Quilicura)'!$K:$K,MATCH($B630,'Pliegos Tarifarios (Quilicura)'!$A:$A,0))</f>
        <v>729.50400000000002</v>
      </c>
      <c r="S630" s="21">
        <f t="shared" si="30"/>
        <v>56516.551933088231</v>
      </c>
      <c r="T630" s="21">
        <f t="shared" si="31"/>
        <v>10738.144867286765</v>
      </c>
      <c r="U630" s="19">
        <v>0</v>
      </c>
      <c r="V630" s="21">
        <f t="shared" si="32"/>
        <v>67254.696800374993</v>
      </c>
    </row>
    <row r="631" spans="1:22" x14ac:dyDescent="0.3">
      <c r="A631" s="3" t="s">
        <v>148</v>
      </c>
      <c r="B631" s="3">
        <v>9</v>
      </c>
      <c r="C631" s="4" t="s">
        <v>186</v>
      </c>
      <c r="D631" s="3" t="s">
        <v>268</v>
      </c>
      <c r="E631" s="3" t="s">
        <v>121</v>
      </c>
      <c r="F631" s="4" t="s">
        <v>269</v>
      </c>
      <c r="G631" s="3" t="s">
        <v>16</v>
      </c>
      <c r="H631" s="5">
        <v>217.2604</v>
      </c>
      <c r="I631" s="5">
        <v>0.60470000000000002</v>
      </c>
      <c r="J631" s="5">
        <v>0.59119999999999995</v>
      </c>
      <c r="K631" s="6">
        <v>0.97767488010583747</v>
      </c>
      <c r="L631" s="5">
        <v>7.01</v>
      </c>
      <c r="M631" s="19">
        <f>H631*INDEX('Pliegos Tarifarios (Quilicura)'!$B:$B,MATCH($B631,'Pliegos Tarifarios (Quilicura)'!$A:$A,0))</f>
        <v>28626.882085200003</v>
      </c>
      <c r="N631" s="19">
        <f>I631*INDEX('Pliegos Tarifarios (Quilicura)'!$C:$C,MATCH($B631,'Pliegos Tarifarios (Quilicura)'!$A:$A,0))</f>
        <v>2081.5702993</v>
      </c>
      <c r="O631" s="19">
        <f>J631*INDEX('Pliegos Tarifarios (Quilicura)'!$D:$D,MATCH($B631,'Pliegos Tarifarios (Quilicura)'!$A:$A,0))</f>
        <v>8579.5736207999998</v>
      </c>
      <c r="P631" s="19">
        <f>H631*INDEX('Pliegos Tarifarios (Quilicura)'!$E:$E,MATCH($B631,'Pliegos Tarifarios (Quilicura)'!$A:$A,0))</f>
        <v>2829.5994495999998</v>
      </c>
      <c r="Q631" s="19" cm="1">
        <f t="array" ref="Q631">H631*_xlfn.IFS(H631&lt;=350,INDEX('Pliegos Tarifarios (Quilicura)'!$F:$F,MATCH($B631,'Pliegos Tarifarios (Quilicura)'!$A:$A,0)),H631&lt;=500,INDEX('Pliegos Tarifarios (Quilicura)'!$G:$G,MATCH($B631,'Pliegos Tarifarios (Quilicura)'!$A:$A,0)),H631&lt;=1000,INDEX('Pliegos Tarifarios (Quilicura)'!$H:$H,MATCH($B631,'Pliegos Tarifarios (Quilicura)'!$A:$A,0)),H631&lt;=5000,INDEX('Pliegos Tarifarios (Quilicura)'!$I:$I,MATCH($B631,'Pliegos Tarifarios (Quilicura)'!$A:$A,0)),H631&gt;5000,INDEX('Pliegos Tarifarios (Quilicura)'!$J:$J,MATCH($B631,'Pliegos Tarifarios (Quilicura)'!$A:$A,0)))/1.19</f>
        <v>143.13626352941176</v>
      </c>
      <c r="R631" s="19">
        <f>INDEX('Pliegos Tarifarios (Quilicura)'!$K:$K,MATCH($B631,'Pliegos Tarifarios (Quilicura)'!$A:$A,0))</f>
        <v>729.50400000000002</v>
      </c>
      <c r="S631" s="21">
        <f t="shared" si="30"/>
        <v>42990.265718429415</v>
      </c>
      <c r="T631" s="21">
        <f t="shared" si="31"/>
        <v>8168.1504865015886</v>
      </c>
      <c r="U631" s="19">
        <v>0</v>
      </c>
      <c r="V631" s="21">
        <f t="shared" si="32"/>
        <v>51158.416204931003</v>
      </c>
    </row>
    <row r="632" spans="1:22" x14ac:dyDescent="0.3">
      <c r="A632" s="3" t="s">
        <v>148</v>
      </c>
      <c r="B632" s="3">
        <v>9</v>
      </c>
      <c r="C632" s="4" t="s">
        <v>186</v>
      </c>
      <c r="D632" s="3" t="s">
        <v>270</v>
      </c>
      <c r="E632" s="3" t="s">
        <v>121</v>
      </c>
      <c r="F632" s="4" t="s">
        <v>271</v>
      </c>
      <c r="G632" s="3" t="s">
        <v>16</v>
      </c>
      <c r="H632" s="5">
        <v>95.316500000000005</v>
      </c>
      <c r="I632" s="5">
        <v>0.27150000000000002</v>
      </c>
      <c r="J632" s="5">
        <v>0.27150000000000002</v>
      </c>
      <c r="K632" s="6">
        <v>1</v>
      </c>
      <c r="L632" s="5">
        <v>3.07</v>
      </c>
      <c r="M632" s="19">
        <f>H632*INDEX('Pliegos Tarifarios (Quilicura)'!$B:$B,MATCH($B632,'Pliegos Tarifarios (Quilicura)'!$A:$A,0))</f>
        <v>12559.187989500002</v>
      </c>
      <c r="N632" s="19">
        <f>I632*INDEX('Pliegos Tarifarios (Quilicura)'!$C:$C,MATCH($B632,'Pliegos Tarifarios (Quilicura)'!$A:$A,0))</f>
        <v>934.58960850000005</v>
      </c>
      <c r="O632" s="19">
        <f>J632*INDEX('Pliegos Tarifarios (Quilicura)'!$D:$D,MATCH($B632,'Pliegos Tarifarios (Quilicura)'!$A:$A,0))</f>
        <v>3940.0443810000002</v>
      </c>
      <c r="P632" s="19">
        <f>H632*INDEX('Pliegos Tarifarios (Quilicura)'!$E:$E,MATCH($B632,'Pliegos Tarifarios (Quilicura)'!$A:$A,0))</f>
        <v>1241.402096</v>
      </c>
      <c r="Q632" s="19" cm="1">
        <f t="array" ref="Q632">H632*_xlfn.IFS(H632&lt;=350,INDEX('Pliegos Tarifarios (Quilicura)'!$F:$F,MATCH($B632,'Pliegos Tarifarios (Quilicura)'!$A:$A,0)),H632&lt;=500,INDEX('Pliegos Tarifarios (Quilicura)'!$G:$G,MATCH($B632,'Pliegos Tarifarios (Quilicura)'!$A:$A,0)),H632&lt;=1000,INDEX('Pliegos Tarifarios (Quilicura)'!$H:$H,MATCH($B632,'Pliegos Tarifarios (Quilicura)'!$A:$A,0)),H632&lt;=5000,INDEX('Pliegos Tarifarios (Quilicura)'!$I:$I,MATCH($B632,'Pliegos Tarifarios (Quilicura)'!$A:$A,0)),H632&gt;5000,INDEX('Pliegos Tarifarios (Quilicura)'!$J:$J,MATCH($B632,'Pliegos Tarifarios (Quilicura)'!$A:$A,0)))/1.19</f>
        <v>62.796752941176479</v>
      </c>
      <c r="R632" s="19">
        <f>INDEX('Pliegos Tarifarios (Quilicura)'!$K:$K,MATCH($B632,'Pliegos Tarifarios (Quilicura)'!$A:$A,0))</f>
        <v>729.50400000000002</v>
      </c>
      <c r="S632" s="21">
        <f t="shared" si="30"/>
        <v>19467.524827941183</v>
      </c>
      <c r="T632" s="21">
        <f t="shared" si="31"/>
        <v>3698.8297173088249</v>
      </c>
      <c r="U632" s="19">
        <v>0</v>
      </c>
      <c r="V632" s="21">
        <f t="shared" si="32"/>
        <v>23166.354545250008</v>
      </c>
    </row>
    <row r="633" spans="1:22" x14ac:dyDescent="0.3">
      <c r="A633" s="3" t="s">
        <v>148</v>
      </c>
      <c r="B633" s="3">
        <v>9</v>
      </c>
      <c r="C633" s="4" t="s">
        <v>186</v>
      </c>
      <c r="D633" s="3" t="s">
        <v>272</v>
      </c>
      <c r="E633" s="3" t="s">
        <v>121</v>
      </c>
      <c r="F633" s="4" t="s">
        <v>273</v>
      </c>
      <c r="G633" s="3" t="s">
        <v>16</v>
      </c>
      <c r="H633" s="5">
        <v>1589.5930000000001</v>
      </c>
      <c r="I633" s="5">
        <v>4.4790999999999999</v>
      </c>
      <c r="J633" s="5">
        <v>4.3661000000000003</v>
      </c>
      <c r="K633" s="6">
        <v>0.97477171753254011</v>
      </c>
      <c r="L633" s="5">
        <v>51.28</v>
      </c>
      <c r="M633" s="19">
        <f>H633*INDEX('Pliegos Tarifarios (Quilicura)'!$B:$B,MATCH($B633,'Pliegos Tarifarios (Quilicura)'!$A:$A,0))</f>
        <v>209449.54245900002</v>
      </c>
      <c r="N633" s="19">
        <f>I633*INDEX('Pliegos Tarifarios (Quilicura)'!$C:$C,MATCH($B633,'Pliegos Tarifarios (Quilicura)'!$A:$A,0))</f>
        <v>15418.491032899999</v>
      </c>
      <c r="O633" s="19">
        <f>J633*INDEX('Pliegos Tarifarios (Quilicura)'!$D:$D,MATCH($B633,'Pliegos Tarifarios (Quilicura)'!$A:$A,0))</f>
        <v>63361.428257400003</v>
      </c>
      <c r="P633" s="19">
        <f>H633*INDEX('Pliegos Tarifarios (Quilicura)'!$E:$E,MATCH($B633,'Pliegos Tarifarios (Quilicura)'!$A:$A,0))</f>
        <v>20702.859231999999</v>
      </c>
      <c r="Q633" s="19" cm="1">
        <f t="array" ref="Q633">H633*_xlfn.IFS(H633&lt;=350,INDEX('Pliegos Tarifarios (Quilicura)'!$F:$F,MATCH($B633,'Pliegos Tarifarios (Quilicura)'!$A:$A,0)),H633&lt;=500,INDEX('Pliegos Tarifarios (Quilicura)'!$G:$G,MATCH($B633,'Pliegos Tarifarios (Quilicura)'!$A:$A,0)),H633&lt;=1000,INDEX('Pliegos Tarifarios (Quilicura)'!$H:$H,MATCH($B633,'Pliegos Tarifarios (Quilicura)'!$A:$A,0)),H633&lt;=5000,INDEX('Pliegos Tarifarios (Quilicura)'!$I:$I,MATCH($B633,'Pliegos Tarifarios (Quilicura)'!$A:$A,0)),H633&gt;5000,INDEX('Pliegos Tarifarios (Quilicura)'!$J:$J,MATCH($B633,'Pliegos Tarifarios (Quilicura)'!$A:$A,0)))/1.19</f>
        <v>4770.1147924369752</v>
      </c>
      <c r="R633" s="19">
        <f>INDEX('Pliegos Tarifarios (Quilicura)'!$K:$K,MATCH($B633,'Pliegos Tarifarios (Quilicura)'!$A:$A,0))</f>
        <v>729.50400000000002</v>
      </c>
      <c r="S633" s="21">
        <f t="shared" si="30"/>
        <v>314431.93977373705</v>
      </c>
      <c r="T633" s="21">
        <f t="shared" si="31"/>
        <v>59742.06855701004</v>
      </c>
      <c r="U633" s="19">
        <v>0</v>
      </c>
      <c r="V633" s="21">
        <f t="shared" si="32"/>
        <v>374174.00833074708</v>
      </c>
    </row>
    <row r="634" spans="1:22" x14ac:dyDescent="0.3">
      <c r="A634" s="7" t="s">
        <v>149</v>
      </c>
      <c r="B634" s="7">
        <v>10</v>
      </c>
      <c r="C634" s="8" t="s">
        <v>186</v>
      </c>
      <c r="D634" s="7" t="s">
        <v>187</v>
      </c>
      <c r="E634" s="7" t="s">
        <v>14</v>
      </c>
      <c r="F634" s="8" t="s">
        <v>15</v>
      </c>
      <c r="G634" s="7" t="s">
        <v>16</v>
      </c>
      <c r="H634" s="9">
        <v>12668.1006</v>
      </c>
      <c r="I634" s="9">
        <v>33.674999999999997</v>
      </c>
      <c r="J634" s="9">
        <v>33.674999999999997</v>
      </c>
      <c r="K634" s="10">
        <v>1</v>
      </c>
      <c r="L634" s="9">
        <v>422.27</v>
      </c>
      <c r="M634" s="19">
        <f>H634*INDEX('Pliegos Tarifarios (Quilicura)'!$B:$B,MATCH($B634,'Pliegos Tarifarios (Quilicura)'!$A:$A,0))</f>
        <v>1669186.9393577999</v>
      </c>
      <c r="N634" s="19">
        <f>I634*INDEX('Pliegos Tarifarios (Quilicura)'!$C:$C,MATCH($B634,'Pliegos Tarifarios (Quilicura)'!$A:$A,0))</f>
        <v>116975.6352</v>
      </c>
      <c r="O634" s="19">
        <f>J634*INDEX('Pliegos Tarifarios (Quilicura)'!$D:$D,MATCH($B634,'Pliegos Tarifarios (Quilicura)'!$A:$A,0))</f>
        <v>489823.24837499997</v>
      </c>
      <c r="P634" s="19">
        <f>H634*INDEX('Pliegos Tarifarios (Quilicura)'!$E:$E,MATCH($B634,'Pliegos Tarifarios (Quilicura)'!$A:$A,0))</f>
        <v>164989.34221439998</v>
      </c>
      <c r="Q634" s="19" cm="1">
        <f t="array" ref="Q634">H634*_xlfn.IFS(H634&lt;=350,INDEX('Pliegos Tarifarios (Quilicura)'!$F:$F,MATCH($B634,'Pliegos Tarifarios (Quilicura)'!$A:$A,0)),H634&lt;=500,INDEX('Pliegos Tarifarios (Quilicura)'!$G:$G,MATCH($B634,'Pliegos Tarifarios (Quilicura)'!$A:$A,0)),H634&lt;=1000,INDEX('Pliegos Tarifarios (Quilicura)'!$H:$H,MATCH($B634,'Pliegos Tarifarios (Quilicura)'!$A:$A,0)),H634&lt;=5000,INDEX('Pliegos Tarifarios (Quilicura)'!$I:$I,MATCH($B634,'Pliegos Tarifarios (Quilicura)'!$A:$A,0)),H634&gt;5000,INDEX('Pliegos Tarifarios (Quilicura)'!$J:$J,MATCH($B634,'Pliegos Tarifarios (Quilicura)'!$A:$A,0)))/1.19</f>
        <v>41570.531800840341</v>
      </c>
      <c r="R634" s="19">
        <f>INDEX('Pliegos Tarifarios (Quilicura)'!$K:$K,MATCH($B634,'Pliegos Tarifarios (Quilicura)'!$A:$A,0))</f>
        <v>729.75599999999997</v>
      </c>
      <c r="S634" s="21">
        <f t="shared" si="30"/>
        <v>2483275.4529480403</v>
      </c>
      <c r="T634" s="21">
        <f t="shared" si="31"/>
        <v>471822.33606012765</v>
      </c>
      <c r="U634" s="19">
        <v>0</v>
      </c>
      <c r="V634" s="21">
        <f t="shared" si="32"/>
        <v>2955097.789008168</v>
      </c>
    </row>
    <row r="635" spans="1:22" x14ac:dyDescent="0.3">
      <c r="A635" s="7" t="s">
        <v>149</v>
      </c>
      <c r="B635" s="7">
        <v>10</v>
      </c>
      <c r="C635" s="8" t="s">
        <v>186</v>
      </c>
      <c r="D635" s="7" t="s">
        <v>188</v>
      </c>
      <c r="E635" s="7" t="s">
        <v>18</v>
      </c>
      <c r="F635" s="8" t="s">
        <v>19</v>
      </c>
      <c r="G635" s="7" t="s">
        <v>16</v>
      </c>
      <c r="H635" s="9">
        <v>6335.9645</v>
      </c>
      <c r="I635" s="9">
        <v>17.057300000000001</v>
      </c>
      <c r="J635" s="9">
        <v>16.420000000000002</v>
      </c>
      <c r="K635" s="10">
        <v>0.9626376976426515</v>
      </c>
      <c r="L635" s="9">
        <v>211.2</v>
      </c>
      <c r="M635" s="19">
        <f>H635*INDEX('Pliegos Tarifarios (Quilicura)'!$B:$B,MATCH($B635,'Pliegos Tarifarios (Quilicura)'!$A:$A,0))</f>
        <v>834845.69041350007</v>
      </c>
      <c r="N635" s="19">
        <f>I635*INDEX('Pliegos Tarifarios (Quilicura)'!$C:$C,MATCH($B635,'Pliegos Tarifarios (Quilicura)'!$A:$A,0))</f>
        <v>59251.328947200011</v>
      </c>
      <c r="O635" s="19">
        <f>J635*INDEX('Pliegos Tarifarios (Quilicura)'!$D:$D,MATCH($B635,'Pliegos Tarifarios (Quilicura)'!$A:$A,0))</f>
        <v>238838.83410000001</v>
      </c>
      <c r="P635" s="19">
        <f>H635*INDEX('Pliegos Tarifarios (Quilicura)'!$E:$E,MATCH($B635,'Pliegos Tarifarios (Quilicura)'!$A:$A,0))</f>
        <v>82519.601647999996</v>
      </c>
      <c r="Q635" s="19" cm="1">
        <f t="array" ref="Q635">H635*_xlfn.IFS(H635&lt;=350,INDEX('Pliegos Tarifarios (Quilicura)'!$F:$F,MATCH($B635,'Pliegos Tarifarios (Quilicura)'!$A:$A,0)),H635&lt;=500,INDEX('Pliegos Tarifarios (Quilicura)'!$G:$G,MATCH($B635,'Pliegos Tarifarios (Quilicura)'!$A:$A,0)),H635&lt;=1000,INDEX('Pliegos Tarifarios (Quilicura)'!$H:$H,MATCH($B635,'Pliegos Tarifarios (Quilicura)'!$A:$A,0)),H635&lt;=5000,INDEX('Pliegos Tarifarios (Quilicura)'!$I:$I,MATCH($B635,'Pliegos Tarifarios (Quilicura)'!$A:$A,0)),H635&gt;5000,INDEX('Pliegos Tarifarios (Quilicura)'!$J:$J,MATCH($B635,'Pliegos Tarifarios (Quilicura)'!$A:$A,0)))/1.19</f>
        <v>20791.547371848741</v>
      </c>
      <c r="R635" s="19">
        <f>INDEX('Pliegos Tarifarios (Quilicura)'!$K:$K,MATCH($B635,'Pliegos Tarifarios (Quilicura)'!$A:$A,0))</f>
        <v>729.75599999999997</v>
      </c>
      <c r="S635" s="21">
        <f t="shared" si="30"/>
        <v>1236976.7584805489</v>
      </c>
      <c r="T635" s="21">
        <f t="shared" si="31"/>
        <v>235025.58411130428</v>
      </c>
      <c r="U635" s="19">
        <v>0</v>
      </c>
      <c r="V635" s="21">
        <f t="shared" si="32"/>
        <v>1472002.3425918531</v>
      </c>
    </row>
    <row r="636" spans="1:22" x14ac:dyDescent="0.3">
      <c r="A636" s="7" t="s">
        <v>149</v>
      </c>
      <c r="B636" s="7">
        <v>10</v>
      </c>
      <c r="C636" s="8" t="s">
        <v>186</v>
      </c>
      <c r="D636" s="7" t="s">
        <v>189</v>
      </c>
      <c r="E636" s="7" t="s">
        <v>18</v>
      </c>
      <c r="F636" s="8" t="s">
        <v>21</v>
      </c>
      <c r="G636" s="7" t="s">
        <v>16</v>
      </c>
      <c r="H636" s="9">
        <v>5073.9314000000004</v>
      </c>
      <c r="I636" s="9">
        <v>13.350099999999999</v>
      </c>
      <c r="J636" s="9">
        <v>13.2387</v>
      </c>
      <c r="K636" s="10">
        <v>0.9916554932172793</v>
      </c>
      <c r="L636" s="9">
        <v>169.13</v>
      </c>
      <c r="M636" s="19">
        <f>H636*INDEX('Pliegos Tarifarios (Quilicura)'!$B:$B,MATCH($B636,'Pliegos Tarifarios (Quilicura)'!$A:$A,0))</f>
        <v>668556.42305820005</v>
      </c>
      <c r="N636" s="19">
        <f>I636*INDEX('Pliegos Tarifarios (Quilicura)'!$C:$C,MATCH($B636,'Pliegos Tarifarios (Quilicura)'!$A:$A,0))</f>
        <v>46373.761766399999</v>
      </c>
      <c r="O636" s="19">
        <f>J636*INDEX('Pliegos Tarifarios (Quilicura)'!$D:$D,MATCH($B636,'Pliegos Tarifarios (Quilicura)'!$A:$A,0))</f>
        <v>192564.90091349999</v>
      </c>
      <c r="P636" s="19">
        <f>H636*INDEX('Pliegos Tarifarios (Quilicura)'!$E:$E,MATCH($B636,'Pliegos Tarifarios (Quilicura)'!$A:$A,0))</f>
        <v>66082.882553600008</v>
      </c>
      <c r="Q636" s="19" cm="1">
        <f t="array" ref="Q636">H636*_xlfn.IFS(H636&lt;=350,INDEX('Pliegos Tarifarios (Quilicura)'!$F:$F,MATCH($B636,'Pliegos Tarifarios (Quilicura)'!$A:$A,0)),H636&lt;=500,INDEX('Pliegos Tarifarios (Quilicura)'!$G:$G,MATCH($B636,'Pliegos Tarifarios (Quilicura)'!$A:$A,0)),H636&lt;=1000,INDEX('Pliegos Tarifarios (Quilicura)'!$H:$H,MATCH($B636,'Pliegos Tarifarios (Quilicura)'!$A:$A,0)),H636&lt;=5000,INDEX('Pliegos Tarifarios (Quilicura)'!$I:$I,MATCH($B636,'Pliegos Tarifarios (Quilicura)'!$A:$A,0)),H636&gt;5000,INDEX('Pliegos Tarifarios (Quilicura)'!$J:$J,MATCH($B636,'Pliegos Tarifarios (Quilicura)'!$A:$A,0)))/1.19</f>
        <v>16650.16984621849</v>
      </c>
      <c r="R636" s="19">
        <f>INDEX('Pliegos Tarifarios (Quilicura)'!$K:$K,MATCH($B636,'Pliegos Tarifarios (Quilicura)'!$A:$A,0))</f>
        <v>729.75599999999997</v>
      </c>
      <c r="S636" s="21">
        <f t="shared" si="30"/>
        <v>990957.8941379186</v>
      </c>
      <c r="T636" s="21">
        <f t="shared" si="31"/>
        <v>188281.99988620455</v>
      </c>
      <c r="U636" s="19">
        <v>0</v>
      </c>
      <c r="V636" s="21">
        <f t="shared" si="32"/>
        <v>1179239.8940241232</v>
      </c>
    </row>
    <row r="637" spans="1:22" x14ac:dyDescent="0.3">
      <c r="A637" s="7" t="s">
        <v>149</v>
      </c>
      <c r="B637" s="7">
        <v>10</v>
      </c>
      <c r="C637" s="8" t="s">
        <v>186</v>
      </c>
      <c r="D637" s="7" t="s">
        <v>190</v>
      </c>
      <c r="E637" s="7" t="s">
        <v>18</v>
      </c>
      <c r="F637" s="8" t="s">
        <v>23</v>
      </c>
      <c r="G637" s="7" t="s">
        <v>16</v>
      </c>
      <c r="H637" s="9">
        <v>4230.4066000000003</v>
      </c>
      <c r="I637" s="9">
        <v>11.4689</v>
      </c>
      <c r="J637" s="9">
        <v>11.246600000000001</v>
      </c>
      <c r="K637" s="10">
        <v>0.98061714724167104</v>
      </c>
      <c r="L637" s="9">
        <v>141.01</v>
      </c>
      <c r="M637" s="19">
        <f>H637*INDEX('Pliegos Tarifarios (Quilicura)'!$B:$B,MATCH($B637,'Pliegos Tarifarios (Quilicura)'!$A:$A,0))</f>
        <v>557411.06483580009</v>
      </c>
      <c r="N637" s="19">
        <f>I637*INDEX('Pliegos Tarifarios (Quilicura)'!$C:$C,MATCH($B637,'Pliegos Tarifarios (Quilicura)'!$A:$A,0))</f>
        <v>39839.105049600003</v>
      </c>
      <c r="O637" s="19">
        <f>J637*INDEX('Pliegos Tarifarios (Quilicura)'!$D:$D,MATCH($B637,'Pliegos Tarifarios (Quilicura)'!$A:$A,0))</f>
        <v>163588.60119300001</v>
      </c>
      <c r="P637" s="19">
        <f>H637*INDEX('Pliegos Tarifarios (Quilicura)'!$E:$E,MATCH($B637,'Pliegos Tarifarios (Quilicura)'!$A:$A,0))</f>
        <v>55096.815558399998</v>
      </c>
      <c r="Q637" s="19" cm="1">
        <f t="array" ref="Q637">H637*_xlfn.IFS(H637&lt;=350,INDEX('Pliegos Tarifarios (Quilicura)'!$F:$F,MATCH($B637,'Pliegos Tarifarios (Quilicura)'!$A:$A,0)),H637&lt;=500,INDEX('Pliegos Tarifarios (Quilicura)'!$G:$G,MATCH($B637,'Pliegos Tarifarios (Quilicura)'!$A:$A,0)),H637&lt;=1000,INDEX('Pliegos Tarifarios (Quilicura)'!$H:$H,MATCH($B637,'Pliegos Tarifarios (Quilicura)'!$A:$A,0)),H637&lt;=5000,INDEX('Pliegos Tarifarios (Quilicura)'!$I:$I,MATCH($B637,'Pliegos Tarifarios (Quilicura)'!$A:$A,0)),H637&gt;5000,INDEX('Pliegos Tarifarios (Quilicura)'!$J:$J,MATCH($B637,'Pliegos Tarifarios (Quilicura)'!$A:$A,0)))/1.19</f>
        <v>12694.774763529413</v>
      </c>
      <c r="R637" s="19">
        <f>INDEX('Pliegos Tarifarios (Quilicura)'!$K:$K,MATCH($B637,'Pliegos Tarifarios (Quilicura)'!$A:$A,0))</f>
        <v>729.75599999999997</v>
      </c>
      <c r="S637" s="21">
        <f t="shared" si="30"/>
        <v>829360.11740032956</v>
      </c>
      <c r="T637" s="21">
        <f t="shared" si="31"/>
        <v>157578.42230606262</v>
      </c>
      <c r="U637" s="19">
        <v>0</v>
      </c>
      <c r="V637" s="21">
        <f t="shared" si="32"/>
        <v>986938.53970639221</v>
      </c>
    </row>
    <row r="638" spans="1:22" x14ac:dyDescent="0.3">
      <c r="A638" s="7" t="s">
        <v>149</v>
      </c>
      <c r="B638" s="7">
        <v>10</v>
      </c>
      <c r="C638" s="8" t="s">
        <v>186</v>
      </c>
      <c r="D638" s="7" t="s">
        <v>191</v>
      </c>
      <c r="E638" s="7" t="s">
        <v>18</v>
      </c>
      <c r="F638" s="8" t="s">
        <v>25</v>
      </c>
      <c r="G638" s="7" t="s">
        <v>16</v>
      </c>
      <c r="H638" s="9">
        <v>4565.6131999999998</v>
      </c>
      <c r="I638" s="9">
        <v>12.0648</v>
      </c>
      <c r="J638" s="9">
        <v>11.9628</v>
      </c>
      <c r="K638" s="10">
        <v>0.99154565347125523</v>
      </c>
      <c r="L638" s="9">
        <v>152.19</v>
      </c>
      <c r="M638" s="19">
        <f>H638*INDEX('Pliegos Tarifarios (Quilicura)'!$B:$B,MATCH($B638,'Pliegos Tarifarios (Quilicura)'!$A:$A,0))</f>
        <v>601578.89207159996</v>
      </c>
      <c r="N638" s="19">
        <f>I638*INDEX('Pliegos Tarifarios (Quilicura)'!$C:$C,MATCH($B638,'Pliegos Tarifarios (Quilicura)'!$A:$A,0))</f>
        <v>41909.061427200002</v>
      </c>
      <c r="O638" s="19">
        <f>J638*INDEX('Pliegos Tarifarios (Quilicura)'!$D:$D,MATCH($B638,'Pliegos Tarifarios (Quilicura)'!$A:$A,0))</f>
        <v>174006.16349399998</v>
      </c>
      <c r="P638" s="19">
        <f>H638*INDEX('Pliegos Tarifarios (Quilicura)'!$E:$E,MATCH($B638,'Pliegos Tarifarios (Quilicura)'!$A:$A,0))</f>
        <v>59462.546316799991</v>
      </c>
      <c r="Q638" s="19" cm="1">
        <f t="array" ref="Q638">H638*_xlfn.IFS(H638&lt;=350,INDEX('Pliegos Tarifarios (Quilicura)'!$F:$F,MATCH($B638,'Pliegos Tarifarios (Quilicura)'!$A:$A,0)),H638&lt;=500,INDEX('Pliegos Tarifarios (Quilicura)'!$G:$G,MATCH($B638,'Pliegos Tarifarios (Quilicura)'!$A:$A,0)),H638&lt;=1000,INDEX('Pliegos Tarifarios (Quilicura)'!$H:$H,MATCH($B638,'Pliegos Tarifarios (Quilicura)'!$A:$A,0)),H638&lt;=5000,INDEX('Pliegos Tarifarios (Quilicura)'!$I:$I,MATCH($B638,'Pliegos Tarifarios (Quilicura)'!$A:$A,0)),H638&gt;5000,INDEX('Pliegos Tarifarios (Quilicura)'!$J:$J,MATCH($B638,'Pliegos Tarifarios (Quilicura)'!$A:$A,0)))/1.19</f>
        <v>13700.676249747898</v>
      </c>
      <c r="R638" s="19">
        <f>INDEX('Pliegos Tarifarios (Quilicura)'!$K:$K,MATCH($B638,'Pliegos Tarifarios (Quilicura)'!$A:$A,0))</f>
        <v>729.75599999999997</v>
      </c>
      <c r="S638" s="21">
        <f t="shared" si="30"/>
        <v>891387.09555934777</v>
      </c>
      <c r="T638" s="21">
        <f t="shared" si="31"/>
        <v>169363.54815627608</v>
      </c>
      <c r="U638" s="19">
        <v>0</v>
      </c>
      <c r="V638" s="21">
        <f t="shared" si="32"/>
        <v>1060750.6437156238</v>
      </c>
    </row>
    <row r="639" spans="1:22" x14ac:dyDescent="0.3">
      <c r="A639" s="7" t="s">
        <v>149</v>
      </c>
      <c r="B639" s="7">
        <v>10</v>
      </c>
      <c r="C639" s="8" t="s">
        <v>186</v>
      </c>
      <c r="D639" s="7" t="s">
        <v>192</v>
      </c>
      <c r="E639" s="7" t="s">
        <v>18</v>
      </c>
      <c r="F639" s="8" t="s">
        <v>27</v>
      </c>
      <c r="G639" s="7" t="s">
        <v>16</v>
      </c>
      <c r="H639" s="9">
        <v>3044.3398999999999</v>
      </c>
      <c r="I639" s="9">
        <v>8.0475999999999992</v>
      </c>
      <c r="J639" s="9">
        <v>8.0475999999999992</v>
      </c>
      <c r="K639" s="10">
        <v>1</v>
      </c>
      <c r="L639" s="9">
        <v>101.48</v>
      </c>
      <c r="M639" s="19">
        <f>H639*INDEX('Pliegos Tarifarios (Quilicura)'!$B:$B,MATCH($B639,'Pliegos Tarifarios (Quilicura)'!$A:$A,0))</f>
        <v>401131.3582437</v>
      </c>
      <c r="N639" s="19">
        <f>I639*INDEX('Pliegos Tarifarios (Quilicura)'!$C:$C,MATCH($B639,'Pliegos Tarifarios (Quilicura)'!$A:$A,0))</f>
        <v>27954.658406399998</v>
      </c>
      <c r="O639" s="19">
        <f>J639*INDEX('Pliegos Tarifarios (Quilicura)'!$D:$D,MATCH($B639,'Pliegos Tarifarios (Quilicura)'!$A:$A,0))</f>
        <v>117057.21079799999</v>
      </c>
      <c r="P639" s="19">
        <f>H639*INDEX('Pliegos Tarifarios (Quilicura)'!$E:$E,MATCH($B639,'Pliegos Tarifarios (Quilicura)'!$A:$A,0))</f>
        <v>39649.4828576</v>
      </c>
      <c r="Q639" s="19" cm="1">
        <f t="array" ref="Q639">H639*_xlfn.IFS(H639&lt;=350,INDEX('Pliegos Tarifarios (Quilicura)'!$F:$F,MATCH($B639,'Pliegos Tarifarios (Quilicura)'!$A:$A,0)),H639&lt;=500,INDEX('Pliegos Tarifarios (Quilicura)'!$G:$G,MATCH($B639,'Pliegos Tarifarios (Quilicura)'!$A:$A,0)),H639&lt;=1000,INDEX('Pliegos Tarifarios (Quilicura)'!$H:$H,MATCH($B639,'Pliegos Tarifarios (Quilicura)'!$A:$A,0)),H639&lt;=5000,INDEX('Pliegos Tarifarios (Quilicura)'!$I:$I,MATCH($B639,'Pliegos Tarifarios (Quilicura)'!$A:$A,0)),H639&gt;5000,INDEX('Pliegos Tarifarios (Quilicura)'!$J:$J,MATCH($B639,'Pliegos Tarifarios (Quilicura)'!$A:$A,0)))/1.19</f>
        <v>9135.5779688235289</v>
      </c>
      <c r="R639" s="19">
        <f>INDEX('Pliegos Tarifarios (Quilicura)'!$K:$K,MATCH($B639,'Pliegos Tarifarios (Quilicura)'!$A:$A,0))</f>
        <v>729.75599999999997</v>
      </c>
      <c r="S639" s="21">
        <f t="shared" si="30"/>
        <v>595658.04427452351</v>
      </c>
      <c r="T639" s="21">
        <f t="shared" si="31"/>
        <v>113175.02841215947</v>
      </c>
      <c r="U639" s="19">
        <v>0</v>
      </c>
      <c r="V639" s="21">
        <f t="shared" si="32"/>
        <v>708833.07268668292</v>
      </c>
    </row>
    <row r="640" spans="1:22" x14ac:dyDescent="0.3">
      <c r="A640" s="7" t="s">
        <v>149</v>
      </c>
      <c r="B640" s="7">
        <v>10</v>
      </c>
      <c r="C640" s="8" t="s">
        <v>186</v>
      </c>
      <c r="D640" s="7" t="s">
        <v>193</v>
      </c>
      <c r="E640" s="7" t="s">
        <v>18</v>
      </c>
      <c r="F640" s="8" t="s">
        <v>29</v>
      </c>
      <c r="G640" s="7" t="s">
        <v>30</v>
      </c>
      <c r="H640" s="9">
        <v>1013.6929</v>
      </c>
      <c r="I640" s="9">
        <v>2.6715</v>
      </c>
      <c r="J640" s="9">
        <v>2.6715</v>
      </c>
      <c r="K640" s="10">
        <v>1</v>
      </c>
      <c r="L640" s="9">
        <v>33.79</v>
      </c>
      <c r="M640" s="19">
        <f>H640*INDEX('Pliegos Tarifarios (Quilicura)'!$B:$B,MATCH($B640,'Pliegos Tarifarios (Quilicura)'!$A:$A,0))</f>
        <v>133567.21758270002</v>
      </c>
      <c r="N640" s="19">
        <f>I640*INDEX('Pliegos Tarifarios (Quilicura)'!$C:$C,MATCH($B640,'Pliegos Tarifarios (Quilicura)'!$A:$A,0))</f>
        <v>9279.893376</v>
      </c>
      <c r="O640" s="19">
        <f>J640*INDEX('Pliegos Tarifarios (Quilicura)'!$D:$D,MATCH($B640,'Pliegos Tarifarios (Quilicura)'!$A:$A,0))</f>
        <v>38858.583757499997</v>
      </c>
      <c r="P640" s="19">
        <f>H640*INDEX('Pliegos Tarifarios (Quilicura)'!$E:$E,MATCH($B640,'Pliegos Tarifarios (Quilicura)'!$A:$A,0))</f>
        <v>13202.336329599999</v>
      </c>
      <c r="Q640" s="19" cm="1">
        <f t="array" ref="Q640">H640*_xlfn.IFS(H640&lt;=350,INDEX('Pliegos Tarifarios (Quilicura)'!$F:$F,MATCH($B640,'Pliegos Tarifarios (Quilicura)'!$A:$A,0)),H640&lt;=500,INDEX('Pliegos Tarifarios (Quilicura)'!$G:$G,MATCH($B640,'Pliegos Tarifarios (Quilicura)'!$A:$A,0)),H640&lt;=1000,INDEX('Pliegos Tarifarios (Quilicura)'!$H:$H,MATCH($B640,'Pliegos Tarifarios (Quilicura)'!$A:$A,0)),H640&lt;=5000,INDEX('Pliegos Tarifarios (Quilicura)'!$I:$I,MATCH($B640,'Pliegos Tarifarios (Quilicura)'!$A:$A,0)),H640&gt;5000,INDEX('Pliegos Tarifarios (Quilicura)'!$J:$J,MATCH($B640,'Pliegos Tarifarios (Quilicura)'!$A:$A,0)))/1.19</f>
        <v>3041.9305427731092</v>
      </c>
      <c r="R640" s="19">
        <f>INDEX('Pliegos Tarifarios (Quilicura)'!$K:$K,MATCH($B640,'Pliegos Tarifarios (Quilicura)'!$A:$A,0))</f>
        <v>729.75599999999997</v>
      </c>
      <c r="S640" s="21">
        <f>SUM(M640:R640)</f>
        <v>198679.71758857308</v>
      </c>
      <c r="T640" s="21">
        <f>S640*0.19</f>
        <v>37749.146341828884</v>
      </c>
      <c r="U640" s="19">
        <v>0</v>
      </c>
      <c r="V640" s="21">
        <f>SUM(S640:T640)</f>
        <v>236428.86393040197</v>
      </c>
    </row>
    <row r="641" spans="1:22" x14ac:dyDescent="0.3">
      <c r="A641" s="7" t="s">
        <v>149</v>
      </c>
      <c r="B641" s="7">
        <v>10</v>
      </c>
      <c r="C641" s="8" t="s">
        <v>186</v>
      </c>
      <c r="D641" s="7" t="s">
        <v>194</v>
      </c>
      <c r="E641" s="7" t="s">
        <v>18</v>
      </c>
      <c r="F641" s="8" t="s">
        <v>32</v>
      </c>
      <c r="G641" s="7" t="s">
        <v>16</v>
      </c>
      <c r="H641" s="9">
        <v>3038.5295000000001</v>
      </c>
      <c r="I641" s="9">
        <v>8.0757999999999992</v>
      </c>
      <c r="J641" s="9">
        <v>8.0439000000000007</v>
      </c>
      <c r="K641" s="10">
        <v>0.99604992694222261</v>
      </c>
      <c r="L641" s="9">
        <v>101.28</v>
      </c>
      <c r="M641" s="19">
        <f>H641*INDEX('Pliegos Tarifarios (Quilicura)'!$B:$B,MATCH($B641,'Pliegos Tarifarios (Quilicura)'!$A:$A,0))</f>
        <v>400365.76250850002</v>
      </c>
      <c r="N641" s="19">
        <f>I641*INDEX('Pliegos Tarifarios (Quilicura)'!$C:$C,MATCH($B641,'Pliegos Tarifarios (Quilicura)'!$A:$A,0))</f>
        <v>28052.6157312</v>
      </c>
      <c r="O641" s="19">
        <f>J641*INDEX('Pliegos Tarifarios (Quilicura)'!$D:$D,MATCH($B641,'Pliegos Tarifarios (Quilicura)'!$A:$A,0))</f>
        <v>117003.39205950001</v>
      </c>
      <c r="P641" s="19">
        <f>H641*INDEX('Pliegos Tarifarios (Quilicura)'!$E:$E,MATCH($B641,'Pliegos Tarifarios (Quilicura)'!$A:$A,0))</f>
        <v>39573.808208000002</v>
      </c>
      <c r="Q641" s="19" cm="1">
        <f t="array" ref="Q641">H641*_xlfn.IFS(H641&lt;=350,INDEX('Pliegos Tarifarios (Quilicura)'!$F:$F,MATCH($B641,'Pliegos Tarifarios (Quilicura)'!$A:$A,0)),H641&lt;=500,INDEX('Pliegos Tarifarios (Quilicura)'!$G:$G,MATCH($B641,'Pliegos Tarifarios (Quilicura)'!$A:$A,0)),H641&lt;=1000,INDEX('Pliegos Tarifarios (Quilicura)'!$H:$H,MATCH($B641,'Pliegos Tarifarios (Quilicura)'!$A:$A,0)),H641&lt;=5000,INDEX('Pliegos Tarifarios (Quilicura)'!$I:$I,MATCH($B641,'Pliegos Tarifarios (Quilicura)'!$A:$A,0)),H641&gt;5000,INDEX('Pliegos Tarifarios (Quilicura)'!$J:$J,MATCH($B641,'Pliegos Tarifarios (Quilicura)'!$A:$A,0)))/1.19</f>
        <v>9118.1418861344537</v>
      </c>
      <c r="R641" s="19">
        <f>INDEX('Pliegos Tarifarios (Quilicura)'!$K:$K,MATCH($B641,'Pliegos Tarifarios (Quilicura)'!$A:$A,0))</f>
        <v>729.75599999999997</v>
      </c>
      <c r="S641" s="21">
        <f t="shared" ref="S641:S704" si="33">SUM(M641:R641)</f>
        <v>594843.47639333445</v>
      </c>
      <c r="T641" s="21">
        <f t="shared" ref="T641:T704" si="34">S641*0.19</f>
        <v>113020.26051473354</v>
      </c>
      <c r="U641" s="19">
        <v>0</v>
      </c>
      <c r="V641" s="21">
        <f t="shared" ref="V641:V704" si="35">SUM(S641:T641)</f>
        <v>707863.73690806795</v>
      </c>
    </row>
    <row r="642" spans="1:22" x14ac:dyDescent="0.3">
      <c r="A642" s="7" t="s">
        <v>149</v>
      </c>
      <c r="B642" s="7">
        <v>10</v>
      </c>
      <c r="C642" s="8" t="s">
        <v>186</v>
      </c>
      <c r="D642" s="7" t="s">
        <v>195</v>
      </c>
      <c r="E642" s="7" t="s">
        <v>34</v>
      </c>
      <c r="F642" s="8" t="s">
        <v>35</v>
      </c>
      <c r="G642" s="7" t="s">
        <v>30</v>
      </c>
      <c r="H642" s="9">
        <v>1268.4525000000001</v>
      </c>
      <c r="I642" s="9">
        <v>3.3346</v>
      </c>
      <c r="J642" s="9">
        <v>3.3081</v>
      </c>
      <c r="K642" s="10">
        <v>0.99205301985245609</v>
      </c>
      <c r="L642" s="9">
        <v>42.28</v>
      </c>
      <c r="M642" s="19">
        <f>H642*INDEX('Pliegos Tarifarios (Quilicura)'!$B:$B,MATCH($B642,'Pliegos Tarifarios (Quilicura)'!$A:$A,0))</f>
        <v>167135.10675750003</v>
      </c>
      <c r="N642" s="19">
        <f>I642*INDEX('Pliegos Tarifarios (Quilicura)'!$C:$C,MATCH($B642,'Pliegos Tarifarios (Quilicura)'!$A:$A,0))</f>
        <v>11583.2799744</v>
      </c>
      <c r="O642" s="19">
        <f>J642*INDEX('Pliegos Tarifarios (Quilicura)'!$D:$D,MATCH($B642,'Pliegos Tarifarios (Quilicura)'!$A:$A,0))</f>
        <v>48118.315900499998</v>
      </c>
      <c r="P642" s="19">
        <f>H642*INDEX('Pliegos Tarifarios (Quilicura)'!$E:$E,MATCH($B642,'Pliegos Tarifarios (Quilicura)'!$A:$A,0))</f>
        <v>16520.325359999999</v>
      </c>
      <c r="Q642" s="19" cm="1">
        <f t="array" ref="Q642">H642*_xlfn.IFS(H642&lt;=350,INDEX('Pliegos Tarifarios (Quilicura)'!$F:$F,MATCH($B642,'Pliegos Tarifarios (Quilicura)'!$A:$A,0)),H642&lt;=500,INDEX('Pliegos Tarifarios (Quilicura)'!$G:$G,MATCH($B642,'Pliegos Tarifarios (Quilicura)'!$A:$A,0)),H642&lt;=1000,INDEX('Pliegos Tarifarios (Quilicura)'!$H:$H,MATCH($B642,'Pliegos Tarifarios (Quilicura)'!$A:$A,0)),H642&lt;=5000,INDEX('Pliegos Tarifarios (Quilicura)'!$I:$I,MATCH($B642,'Pliegos Tarifarios (Quilicura)'!$A:$A,0)),H642&gt;5000,INDEX('Pliegos Tarifarios (Quilicura)'!$J:$J,MATCH($B642,'Pliegos Tarifarios (Quilicura)'!$A:$A,0)))/1.19</f>
        <v>3806.4234264705883</v>
      </c>
      <c r="R642" s="19">
        <f>INDEX('Pliegos Tarifarios (Quilicura)'!$K:$K,MATCH($B642,'Pliegos Tarifarios (Quilicura)'!$A:$A,0))</f>
        <v>729.75599999999997</v>
      </c>
      <c r="S642" s="21">
        <f t="shared" si="33"/>
        <v>247893.20741887059</v>
      </c>
      <c r="T642" s="21">
        <f t="shared" si="34"/>
        <v>47099.709409585412</v>
      </c>
      <c r="U642" s="19">
        <v>0</v>
      </c>
      <c r="V642" s="21">
        <f t="shared" si="35"/>
        <v>294992.91682845599</v>
      </c>
    </row>
    <row r="643" spans="1:22" x14ac:dyDescent="0.3">
      <c r="A643" s="7" t="s">
        <v>149</v>
      </c>
      <c r="B643" s="7">
        <v>10</v>
      </c>
      <c r="C643" s="8" t="s">
        <v>186</v>
      </c>
      <c r="D643" s="7" t="s">
        <v>196</v>
      </c>
      <c r="E643" s="7" t="s">
        <v>34</v>
      </c>
      <c r="F643" s="8" t="s">
        <v>37</v>
      </c>
      <c r="G643" s="7" t="s">
        <v>30</v>
      </c>
      <c r="H643" s="9">
        <v>1011.8823</v>
      </c>
      <c r="I643" s="9">
        <v>2.6962000000000002</v>
      </c>
      <c r="J643" s="9">
        <v>2.6886999999999999</v>
      </c>
      <c r="K643" s="10">
        <v>0.9972183072472367</v>
      </c>
      <c r="L643" s="9">
        <v>33.729999999999997</v>
      </c>
      <c r="M643" s="19">
        <f>H643*INDEX('Pliegos Tarifarios (Quilicura)'!$B:$B,MATCH($B643,'Pliegos Tarifarios (Quilicura)'!$A:$A,0))</f>
        <v>133328.64749490001</v>
      </c>
      <c r="N643" s="19">
        <f>I643*INDEX('Pliegos Tarifarios (Quilicura)'!$C:$C,MATCH($B643,'Pliegos Tarifarios (Quilicura)'!$A:$A,0))</f>
        <v>9365.6928768000016</v>
      </c>
      <c r="O643" s="19">
        <f>J643*INDEX('Pliegos Tarifarios (Quilicura)'!$D:$D,MATCH($B643,'Pliegos Tarifarios (Quilicura)'!$A:$A,0))</f>
        <v>39108.768163499997</v>
      </c>
      <c r="P643" s="19">
        <f>H643*INDEX('Pliegos Tarifarios (Quilicura)'!$E:$E,MATCH($B643,'Pliegos Tarifarios (Quilicura)'!$A:$A,0))</f>
        <v>13178.755075199999</v>
      </c>
      <c r="Q643" s="19" cm="1">
        <f t="array" ref="Q643">H643*_xlfn.IFS(H643&lt;=350,INDEX('Pliegos Tarifarios (Quilicura)'!$F:$F,MATCH($B643,'Pliegos Tarifarios (Quilicura)'!$A:$A,0)),H643&lt;=500,INDEX('Pliegos Tarifarios (Quilicura)'!$G:$G,MATCH($B643,'Pliegos Tarifarios (Quilicura)'!$A:$A,0)),H643&lt;=1000,INDEX('Pliegos Tarifarios (Quilicura)'!$H:$H,MATCH($B643,'Pliegos Tarifarios (Quilicura)'!$A:$A,0)),H643&lt;=5000,INDEX('Pliegos Tarifarios (Quilicura)'!$I:$I,MATCH($B643,'Pliegos Tarifarios (Quilicura)'!$A:$A,0)),H643&gt;5000,INDEX('Pliegos Tarifarios (Quilicura)'!$J:$J,MATCH($B643,'Pliegos Tarifarios (Quilicura)'!$A:$A,0)))/1.19</f>
        <v>3036.4972212605039</v>
      </c>
      <c r="R643" s="19">
        <f>INDEX('Pliegos Tarifarios (Quilicura)'!$K:$K,MATCH($B643,'Pliegos Tarifarios (Quilicura)'!$A:$A,0))</f>
        <v>729.75599999999997</v>
      </c>
      <c r="S643" s="21">
        <f t="shared" si="33"/>
        <v>198748.1168316605</v>
      </c>
      <c r="T643" s="21">
        <f t="shared" si="34"/>
        <v>37762.142198015499</v>
      </c>
      <c r="U643" s="19">
        <v>0</v>
      </c>
      <c r="V643" s="21">
        <f t="shared" si="35"/>
        <v>236510.259029676</v>
      </c>
    </row>
    <row r="644" spans="1:22" x14ac:dyDescent="0.3">
      <c r="A644" s="7" t="s">
        <v>149</v>
      </c>
      <c r="B644" s="7">
        <v>10</v>
      </c>
      <c r="C644" s="8" t="s">
        <v>186</v>
      </c>
      <c r="D644" s="7" t="s">
        <v>197</v>
      </c>
      <c r="E644" s="7" t="s">
        <v>34</v>
      </c>
      <c r="F644" s="8" t="s">
        <v>39</v>
      </c>
      <c r="G644" s="7" t="s">
        <v>30</v>
      </c>
      <c r="H644" s="9">
        <v>1015.9973</v>
      </c>
      <c r="I644" s="9">
        <v>2.7816999999999998</v>
      </c>
      <c r="J644" s="9">
        <v>2.7816999999999998</v>
      </c>
      <c r="K644" s="10">
        <v>1</v>
      </c>
      <c r="L644" s="9">
        <v>33.869999999999997</v>
      </c>
      <c r="M644" s="19">
        <f>H644*INDEX('Pliegos Tarifarios (Quilicura)'!$B:$B,MATCH($B644,'Pliegos Tarifarios (Quilicura)'!$A:$A,0))</f>
        <v>133870.85223990001</v>
      </c>
      <c r="N644" s="19">
        <f>I644*INDEX('Pliegos Tarifarios (Quilicura)'!$C:$C,MATCH($B644,'Pliegos Tarifarios (Quilicura)'!$A:$A,0))</f>
        <v>9662.6911488000005</v>
      </c>
      <c r="O644" s="19">
        <f>J644*INDEX('Pliegos Tarifarios (Quilicura)'!$D:$D,MATCH($B644,'Pliegos Tarifarios (Quilicura)'!$A:$A,0))</f>
        <v>40461.509428499994</v>
      </c>
      <c r="P644" s="19">
        <f>H644*INDEX('Pliegos Tarifarios (Quilicura)'!$E:$E,MATCH($B644,'Pliegos Tarifarios (Quilicura)'!$A:$A,0))</f>
        <v>13232.348835199999</v>
      </c>
      <c r="Q644" s="19" cm="1">
        <f t="array" ref="Q644">H644*_xlfn.IFS(H644&lt;=350,INDEX('Pliegos Tarifarios (Quilicura)'!$F:$F,MATCH($B644,'Pliegos Tarifarios (Quilicura)'!$A:$A,0)),H644&lt;=500,INDEX('Pliegos Tarifarios (Quilicura)'!$G:$G,MATCH($B644,'Pliegos Tarifarios (Quilicura)'!$A:$A,0)),H644&lt;=1000,INDEX('Pliegos Tarifarios (Quilicura)'!$H:$H,MATCH($B644,'Pliegos Tarifarios (Quilicura)'!$A:$A,0)),H644&lt;=5000,INDEX('Pliegos Tarifarios (Quilicura)'!$I:$I,MATCH($B644,'Pliegos Tarifarios (Quilicura)'!$A:$A,0)),H644&gt;5000,INDEX('Pliegos Tarifarios (Quilicura)'!$J:$J,MATCH($B644,'Pliegos Tarifarios (Quilicura)'!$A:$A,0)))/1.19</f>
        <v>3048.8456792436973</v>
      </c>
      <c r="R644" s="19">
        <f>INDEX('Pliegos Tarifarios (Quilicura)'!$K:$K,MATCH($B644,'Pliegos Tarifarios (Quilicura)'!$A:$A,0))</f>
        <v>729.75599999999997</v>
      </c>
      <c r="S644" s="21">
        <f t="shared" si="33"/>
        <v>201006.00333164367</v>
      </c>
      <c r="T644" s="21">
        <f t="shared" si="34"/>
        <v>38191.140633012299</v>
      </c>
      <c r="U644" s="19">
        <v>0</v>
      </c>
      <c r="V644" s="21">
        <f t="shared" si="35"/>
        <v>239197.14396465599</v>
      </c>
    </row>
    <row r="645" spans="1:22" x14ac:dyDescent="0.3">
      <c r="A645" s="7" t="s">
        <v>149</v>
      </c>
      <c r="B645" s="7">
        <v>10</v>
      </c>
      <c r="C645" s="8" t="s">
        <v>186</v>
      </c>
      <c r="D645" s="7" t="s">
        <v>198</v>
      </c>
      <c r="E645" s="7" t="s">
        <v>34</v>
      </c>
      <c r="F645" s="8" t="s">
        <v>41</v>
      </c>
      <c r="G645" s="7" t="s">
        <v>30</v>
      </c>
      <c r="H645" s="9">
        <v>761.47810000000004</v>
      </c>
      <c r="I645" s="9">
        <v>2.0636000000000001</v>
      </c>
      <c r="J645" s="9">
        <v>2.0579000000000001</v>
      </c>
      <c r="K645" s="10">
        <v>0.9972378367900756</v>
      </c>
      <c r="L645" s="9">
        <v>25.38</v>
      </c>
      <c r="M645" s="19">
        <f>H645*INDEX('Pliegos Tarifarios (Quilicura)'!$B:$B,MATCH($B645,'Pliegos Tarifarios (Quilicura)'!$A:$A,0))</f>
        <v>100334.6388903</v>
      </c>
      <c r="N645" s="19">
        <f>I645*INDEX('Pliegos Tarifarios (Quilicura)'!$C:$C,MATCH($B645,'Pliegos Tarifarios (Quilicura)'!$A:$A,0))</f>
        <v>7168.2530304000011</v>
      </c>
      <c r="O645" s="19">
        <f>J645*INDEX('Pliegos Tarifarios (Quilicura)'!$D:$D,MATCH($B645,'Pliegos Tarifarios (Quilicura)'!$A:$A,0))</f>
        <v>29933.400529499999</v>
      </c>
      <c r="P645" s="19">
        <f>H645*INDEX('Pliegos Tarifarios (Quilicura)'!$E:$E,MATCH($B645,'Pliegos Tarifarios (Quilicura)'!$A:$A,0))</f>
        <v>9917.4907743999993</v>
      </c>
      <c r="Q645" s="19" cm="1">
        <f t="array" ref="Q645">H645*_xlfn.IFS(H645&lt;=350,INDEX('Pliegos Tarifarios (Quilicura)'!$F:$F,MATCH($B645,'Pliegos Tarifarios (Quilicura)'!$A:$A,0)),H645&lt;=500,INDEX('Pliegos Tarifarios (Quilicura)'!$G:$G,MATCH($B645,'Pliegos Tarifarios (Quilicura)'!$A:$A,0)),H645&lt;=1000,INDEX('Pliegos Tarifarios (Quilicura)'!$H:$H,MATCH($B645,'Pliegos Tarifarios (Quilicura)'!$A:$A,0)),H645&lt;=5000,INDEX('Pliegos Tarifarios (Quilicura)'!$I:$I,MATCH($B645,'Pliegos Tarifarios (Quilicura)'!$A:$A,0)),H645&gt;5000,INDEX('Pliegos Tarifarios (Quilicura)'!$J:$J,MATCH($B645,'Pliegos Tarifarios (Quilicura)'!$A:$A,0)))/1.19</f>
        <v>1785.9540984033617</v>
      </c>
      <c r="R645" s="19">
        <f>INDEX('Pliegos Tarifarios (Quilicura)'!$K:$K,MATCH($B645,'Pliegos Tarifarios (Quilicura)'!$A:$A,0))</f>
        <v>729.75599999999997</v>
      </c>
      <c r="S645" s="21">
        <f t="shared" si="33"/>
        <v>149869.49332300338</v>
      </c>
      <c r="T645" s="21">
        <f t="shared" si="34"/>
        <v>28475.203731370642</v>
      </c>
      <c r="U645" s="19">
        <v>0</v>
      </c>
      <c r="V645" s="21">
        <f t="shared" si="35"/>
        <v>178344.69705437403</v>
      </c>
    </row>
    <row r="646" spans="1:22" x14ac:dyDescent="0.3">
      <c r="A646" s="7" t="s">
        <v>149</v>
      </c>
      <c r="B646" s="7">
        <v>10</v>
      </c>
      <c r="C646" s="8" t="s">
        <v>186</v>
      </c>
      <c r="D646" s="7" t="s">
        <v>199</v>
      </c>
      <c r="E646" s="7" t="s">
        <v>34</v>
      </c>
      <c r="F646" s="8" t="s">
        <v>43</v>
      </c>
      <c r="G646" s="7" t="s">
        <v>30</v>
      </c>
      <c r="H646" s="9">
        <v>760.27719999999999</v>
      </c>
      <c r="I646" s="9">
        <v>2.0097999999999998</v>
      </c>
      <c r="J646" s="9">
        <v>1.9819</v>
      </c>
      <c r="K646" s="10">
        <v>0.986118021693701</v>
      </c>
      <c r="L646" s="9">
        <v>25.34</v>
      </c>
      <c r="M646" s="19">
        <f>H646*INDEX('Pliegos Tarifarios (Quilicura)'!$B:$B,MATCH($B646,'Pliegos Tarifarios (Quilicura)'!$A:$A,0))</f>
        <v>100176.4047036</v>
      </c>
      <c r="N646" s="19">
        <f>I646*INDEX('Pliegos Tarifarios (Quilicura)'!$C:$C,MATCH($B646,'Pliegos Tarifarios (Quilicura)'!$A:$A,0))</f>
        <v>6981.3699071999999</v>
      </c>
      <c r="O646" s="19">
        <f>J646*INDEX('Pliegos Tarifarios (Quilicura)'!$D:$D,MATCH($B646,'Pliegos Tarifarios (Quilicura)'!$A:$A,0))</f>
        <v>28827.934549499998</v>
      </c>
      <c r="P646" s="19">
        <f>H646*INDEX('Pliegos Tarifarios (Quilicura)'!$E:$E,MATCH($B646,'Pliegos Tarifarios (Quilicura)'!$A:$A,0))</f>
        <v>9901.850252799999</v>
      </c>
      <c r="Q646" s="19" cm="1">
        <f t="array" ref="Q646">H646*_xlfn.IFS(H646&lt;=350,INDEX('Pliegos Tarifarios (Quilicura)'!$F:$F,MATCH($B646,'Pliegos Tarifarios (Quilicura)'!$A:$A,0)),H646&lt;=500,INDEX('Pliegos Tarifarios (Quilicura)'!$G:$G,MATCH($B646,'Pliegos Tarifarios (Quilicura)'!$A:$A,0)),H646&lt;=1000,INDEX('Pliegos Tarifarios (Quilicura)'!$H:$H,MATCH($B646,'Pliegos Tarifarios (Quilicura)'!$A:$A,0)),H646&lt;=5000,INDEX('Pliegos Tarifarios (Quilicura)'!$I:$I,MATCH($B646,'Pliegos Tarifarios (Quilicura)'!$A:$A,0)),H646&gt;5000,INDEX('Pliegos Tarifarios (Quilicura)'!$J:$J,MATCH($B646,'Pliegos Tarifarios (Quilicura)'!$A:$A,0)))/1.19</f>
        <v>1783.1375337815127</v>
      </c>
      <c r="R646" s="19">
        <f>INDEX('Pliegos Tarifarios (Quilicura)'!$K:$K,MATCH($B646,'Pliegos Tarifarios (Quilicura)'!$A:$A,0))</f>
        <v>729.75599999999997</v>
      </c>
      <c r="S646" s="21">
        <f t="shared" si="33"/>
        <v>148400.45294688153</v>
      </c>
      <c r="T646" s="21">
        <f t="shared" si="34"/>
        <v>28196.086059907491</v>
      </c>
      <c r="U646" s="19">
        <v>0</v>
      </c>
      <c r="V646" s="21">
        <f t="shared" si="35"/>
        <v>176596.53900678901</v>
      </c>
    </row>
    <row r="647" spans="1:22" x14ac:dyDescent="0.3">
      <c r="A647" s="7" t="s">
        <v>149</v>
      </c>
      <c r="B647" s="7">
        <v>10</v>
      </c>
      <c r="C647" s="8" t="s">
        <v>186</v>
      </c>
      <c r="D647" s="7" t="s">
        <v>200</v>
      </c>
      <c r="E647" s="7" t="s">
        <v>34</v>
      </c>
      <c r="F647" s="8" t="s">
        <v>45</v>
      </c>
      <c r="G647" s="7" t="s">
        <v>30</v>
      </c>
      <c r="H647" s="9">
        <v>762.18679999999995</v>
      </c>
      <c r="I647" s="9">
        <v>2.0167999999999999</v>
      </c>
      <c r="J647" s="9">
        <v>2.0167999999999999</v>
      </c>
      <c r="K647" s="10">
        <v>1</v>
      </c>
      <c r="L647" s="9">
        <v>25.41</v>
      </c>
      <c r="M647" s="19">
        <f>H647*INDEX('Pliegos Tarifarios (Quilicura)'!$B:$B,MATCH($B647,'Pliegos Tarifarios (Quilicura)'!$A:$A,0))</f>
        <v>100428.0193284</v>
      </c>
      <c r="N647" s="19">
        <f>I647*INDEX('Pliegos Tarifarios (Quilicura)'!$C:$C,MATCH($B647,'Pliegos Tarifarios (Quilicura)'!$A:$A,0))</f>
        <v>7005.6855551999997</v>
      </c>
      <c r="O647" s="19">
        <f>J647*INDEX('Pliegos Tarifarios (Quilicura)'!$D:$D,MATCH($B647,'Pliegos Tarifarios (Quilicura)'!$A:$A,0))</f>
        <v>29335.576163999998</v>
      </c>
      <c r="P647" s="19">
        <f>H647*INDEX('Pliegos Tarifarios (Quilicura)'!$E:$E,MATCH($B647,'Pliegos Tarifarios (Quilicura)'!$A:$A,0))</f>
        <v>9926.7208831999978</v>
      </c>
      <c r="Q647" s="19" cm="1">
        <f t="array" ref="Q647">H647*_xlfn.IFS(H647&lt;=350,INDEX('Pliegos Tarifarios (Quilicura)'!$F:$F,MATCH($B647,'Pliegos Tarifarios (Quilicura)'!$A:$A,0)),H647&lt;=500,INDEX('Pliegos Tarifarios (Quilicura)'!$G:$G,MATCH($B647,'Pliegos Tarifarios (Quilicura)'!$A:$A,0)),H647&lt;=1000,INDEX('Pliegos Tarifarios (Quilicura)'!$H:$H,MATCH($B647,'Pliegos Tarifarios (Quilicura)'!$A:$A,0)),H647&lt;=5000,INDEX('Pliegos Tarifarios (Quilicura)'!$I:$I,MATCH($B647,'Pliegos Tarifarios (Quilicura)'!$A:$A,0)),H647&gt;5000,INDEX('Pliegos Tarifarios (Quilicura)'!$J:$J,MATCH($B647,'Pliegos Tarifarios (Quilicura)'!$A:$A,0)))/1.19</f>
        <v>1787.61626789916</v>
      </c>
      <c r="R647" s="19">
        <f>INDEX('Pliegos Tarifarios (Quilicura)'!$K:$K,MATCH($B647,'Pliegos Tarifarios (Quilicura)'!$A:$A,0))</f>
        <v>729.75599999999997</v>
      </c>
      <c r="S647" s="21">
        <f t="shared" si="33"/>
        <v>149213.37419869917</v>
      </c>
      <c r="T647" s="21">
        <f t="shared" si="34"/>
        <v>28350.541097752841</v>
      </c>
      <c r="U647" s="19">
        <v>0</v>
      </c>
      <c r="V647" s="21">
        <f t="shared" si="35"/>
        <v>177563.915296452</v>
      </c>
    </row>
    <row r="648" spans="1:22" x14ac:dyDescent="0.3">
      <c r="A648" s="7" t="s">
        <v>149</v>
      </c>
      <c r="B648" s="7">
        <v>10</v>
      </c>
      <c r="C648" s="8" t="s">
        <v>186</v>
      </c>
      <c r="D648" s="7" t="s">
        <v>201</v>
      </c>
      <c r="E648" s="7" t="s">
        <v>47</v>
      </c>
      <c r="F648" s="8" t="s">
        <v>48</v>
      </c>
      <c r="G648" s="7" t="s">
        <v>30</v>
      </c>
      <c r="H648" s="9">
        <v>760.71090000000004</v>
      </c>
      <c r="I648" s="9">
        <v>2.0533000000000001</v>
      </c>
      <c r="J648" s="9">
        <v>1.9843</v>
      </c>
      <c r="K648" s="10">
        <v>0.96639555836945401</v>
      </c>
      <c r="L648" s="9">
        <v>25.36</v>
      </c>
      <c r="M648" s="19">
        <f>H648*INDEX('Pliegos Tarifarios (Quilicura)'!$B:$B,MATCH($B648,'Pliegos Tarifarios (Quilicura)'!$A:$A,0))</f>
        <v>100233.55031670001</v>
      </c>
      <c r="N648" s="19">
        <f>I648*INDEX('Pliegos Tarifarios (Quilicura)'!$C:$C,MATCH($B648,'Pliegos Tarifarios (Quilicura)'!$A:$A,0))</f>
        <v>7132.4742912000011</v>
      </c>
      <c r="O648" s="19">
        <f>J648*INDEX('Pliegos Tarifarios (Quilicura)'!$D:$D,MATCH($B648,'Pliegos Tarifarios (Quilicura)'!$A:$A,0))</f>
        <v>28862.844001499998</v>
      </c>
      <c r="P648" s="19">
        <f>H648*INDEX('Pliegos Tarifarios (Quilicura)'!$E:$E,MATCH($B648,'Pliegos Tarifarios (Quilicura)'!$A:$A,0))</f>
        <v>9907.4987615999999</v>
      </c>
      <c r="Q648" s="19" cm="1">
        <f t="array" ref="Q648">H648*_xlfn.IFS(H648&lt;=350,INDEX('Pliegos Tarifarios (Quilicura)'!$F:$F,MATCH($B648,'Pliegos Tarifarios (Quilicura)'!$A:$A,0)),H648&lt;=500,INDEX('Pliegos Tarifarios (Quilicura)'!$G:$G,MATCH($B648,'Pliegos Tarifarios (Quilicura)'!$A:$A,0)),H648&lt;=1000,INDEX('Pliegos Tarifarios (Quilicura)'!$H:$H,MATCH($B648,'Pliegos Tarifarios (Quilicura)'!$A:$A,0)),H648&lt;=5000,INDEX('Pliegos Tarifarios (Quilicura)'!$I:$I,MATCH($B648,'Pliegos Tarifarios (Quilicura)'!$A:$A,0)),H648&gt;5000,INDEX('Pliegos Tarifarios (Quilicura)'!$J:$J,MATCH($B648,'Pliegos Tarifarios (Quilicura)'!$A:$A,0)))/1.19</f>
        <v>1784.1547242857146</v>
      </c>
      <c r="R648" s="19">
        <f>INDEX('Pliegos Tarifarios (Quilicura)'!$K:$K,MATCH($B648,'Pliegos Tarifarios (Quilicura)'!$A:$A,0))</f>
        <v>729.75599999999997</v>
      </c>
      <c r="S648" s="21">
        <f t="shared" si="33"/>
        <v>148650.27809528573</v>
      </c>
      <c r="T648" s="21">
        <f t="shared" si="34"/>
        <v>28243.55283810429</v>
      </c>
      <c r="U648" s="19">
        <v>0</v>
      </c>
      <c r="V648" s="21">
        <f t="shared" si="35"/>
        <v>176893.83093339001</v>
      </c>
    </row>
    <row r="649" spans="1:22" x14ac:dyDescent="0.3">
      <c r="A649" s="7" t="s">
        <v>149</v>
      </c>
      <c r="B649" s="7">
        <v>10</v>
      </c>
      <c r="C649" s="8" t="s">
        <v>186</v>
      </c>
      <c r="D649" s="7" t="s">
        <v>202</v>
      </c>
      <c r="E649" s="7" t="s">
        <v>47</v>
      </c>
      <c r="F649" s="8" t="s">
        <v>50</v>
      </c>
      <c r="G649" s="7" t="s">
        <v>30</v>
      </c>
      <c r="H649" s="9">
        <v>761.99199999999996</v>
      </c>
      <c r="I649" s="9">
        <v>1.9979</v>
      </c>
      <c r="J649" s="9">
        <v>1.9692000000000001</v>
      </c>
      <c r="K649" s="10">
        <v>0.9856349166624957</v>
      </c>
      <c r="L649" s="9">
        <v>25.4</v>
      </c>
      <c r="M649" s="19">
        <f>H649*INDEX('Pliegos Tarifarios (Quilicura)'!$B:$B,MATCH($B649,'Pliegos Tarifarios (Quilicura)'!$A:$A,0))</f>
        <v>100402.35189599999</v>
      </c>
      <c r="N649" s="19">
        <f>I649*INDEX('Pliegos Tarifarios (Quilicura)'!$C:$C,MATCH($B649,'Pliegos Tarifarios (Quilicura)'!$A:$A,0))</f>
        <v>6940.0333056000009</v>
      </c>
      <c r="O649" s="19">
        <f>J649*INDEX('Pliegos Tarifarios (Quilicura)'!$D:$D,MATCH($B649,'Pliegos Tarifarios (Quilicura)'!$A:$A,0))</f>
        <v>28643.205365999998</v>
      </c>
      <c r="P649" s="19">
        <f>H649*INDEX('Pliegos Tarifarios (Quilicura)'!$E:$E,MATCH($B649,'Pliegos Tarifarios (Quilicura)'!$A:$A,0))</f>
        <v>9924.183807999998</v>
      </c>
      <c r="Q649" s="19" cm="1">
        <f t="array" ref="Q649">H649*_xlfn.IFS(H649&lt;=350,INDEX('Pliegos Tarifarios (Quilicura)'!$F:$F,MATCH($B649,'Pliegos Tarifarios (Quilicura)'!$A:$A,0)),H649&lt;=500,INDEX('Pliegos Tarifarios (Quilicura)'!$G:$G,MATCH($B649,'Pliegos Tarifarios (Quilicura)'!$A:$A,0)),H649&lt;=1000,INDEX('Pliegos Tarifarios (Quilicura)'!$H:$H,MATCH($B649,'Pliegos Tarifarios (Quilicura)'!$A:$A,0)),H649&lt;=5000,INDEX('Pliegos Tarifarios (Quilicura)'!$I:$I,MATCH($B649,'Pliegos Tarifarios (Quilicura)'!$A:$A,0)),H649&gt;5000,INDEX('Pliegos Tarifarios (Quilicura)'!$J:$J,MATCH($B649,'Pliegos Tarifarios (Quilicura)'!$A:$A,0)))/1.19</f>
        <v>1787.1593882352943</v>
      </c>
      <c r="R649" s="19">
        <f>INDEX('Pliegos Tarifarios (Quilicura)'!$K:$K,MATCH($B649,'Pliegos Tarifarios (Quilicura)'!$A:$A,0))</f>
        <v>729.75599999999997</v>
      </c>
      <c r="S649" s="21">
        <f t="shared" si="33"/>
        <v>148426.68976383528</v>
      </c>
      <c r="T649" s="21">
        <f t="shared" si="34"/>
        <v>28201.071055128705</v>
      </c>
      <c r="U649" s="19">
        <v>0</v>
      </c>
      <c r="V649" s="21">
        <f t="shared" si="35"/>
        <v>176627.76081896399</v>
      </c>
    </row>
    <row r="650" spans="1:22" x14ac:dyDescent="0.3">
      <c r="A650" s="7" t="s">
        <v>149</v>
      </c>
      <c r="B650" s="7">
        <v>10</v>
      </c>
      <c r="C650" s="8" t="s">
        <v>186</v>
      </c>
      <c r="D650" s="7" t="s">
        <v>203</v>
      </c>
      <c r="E650" s="7" t="s">
        <v>52</v>
      </c>
      <c r="F650" s="8" t="s">
        <v>53</v>
      </c>
      <c r="G650" s="7" t="s">
        <v>30</v>
      </c>
      <c r="H650" s="9">
        <v>761.34</v>
      </c>
      <c r="I650" s="9">
        <v>2.0446</v>
      </c>
      <c r="J650" s="9">
        <v>2.044</v>
      </c>
      <c r="K650" s="10">
        <v>0.99970654406729931</v>
      </c>
      <c r="L650" s="9">
        <v>25.38</v>
      </c>
      <c r="M650" s="19">
        <f>H650*INDEX('Pliegos Tarifarios (Quilicura)'!$B:$B,MATCH($B650,'Pliegos Tarifarios (Quilicura)'!$A:$A,0))</f>
        <v>100316.44242000001</v>
      </c>
      <c r="N650" s="19">
        <f>I650*INDEX('Pliegos Tarifarios (Quilicura)'!$C:$C,MATCH($B650,'Pliegos Tarifarios (Quilicura)'!$A:$A,0))</f>
        <v>7102.2534144000001</v>
      </c>
      <c r="O650" s="19">
        <f>J650*INDEX('Pliegos Tarifarios (Quilicura)'!$D:$D,MATCH($B650,'Pliegos Tarifarios (Quilicura)'!$A:$A,0))</f>
        <v>29731.216619999999</v>
      </c>
      <c r="P650" s="19">
        <f>H650*INDEX('Pliegos Tarifarios (Quilicura)'!$E:$E,MATCH($B650,'Pliegos Tarifarios (Quilicura)'!$A:$A,0))</f>
        <v>9915.6921600000005</v>
      </c>
      <c r="Q650" s="19" cm="1">
        <f t="array" ref="Q650">H650*_xlfn.IFS(H650&lt;=350,INDEX('Pliegos Tarifarios (Quilicura)'!$F:$F,MATCH($B650,'Pliegos Tarifarios (Quilicura)'!$A:$A,0)),H650&lt;=500,INDEX('Pliegos Tarifarios (Quilicura)'!$G:$G,MATCH($B650,'Pliegos Tarifarios (Quilicura)'!$A:$A,0)),H650&lt;=1000,INDEX('Pliegos Tarifarios (Quilicura)'!$H:$H,MATCH($B650,'Pliegos Tarifarios (Quilicura)'!$A:$A,0)),H650&lt;=5000,INDEX('Pliegos Tarifarios (Quilicura)'!$I:$I,MATCH($B650,'Pliegos Tarifarios (Quilicura)'!$A:$A,0)),H650&gt;5000,INDEX('Pliegos Tarifarios (Quilicura)'!$J:$J,MATCH($B650,'Pliegos Tarifarios (Quilicura)'!$A:$A,0)))/1.19</f>
        <v>1785.6302016806726</v>
      </c>
      <c r="R650" s="19">
        <f>INDEX('Pliegos Tarifarios (Quilicura)'!$K:$K,MATCH($B650,'Pliegos Tarifarios (Quilicura)'!$A:$A,0))</f>
        <v>729.75599999999997</v>
      </c>
      <c r="S650" s="21">
        <f t="shared" si="33"/>
        <v>149580.99081608068</v>
      </c>
      <c r="T650" s="21">
        <f t="shared" si="34"/>
        <v>28420.388255055328</v>
      </c>
      <c r="U650" s="19">
        <v>0</v>
      </c>
      <c r="V650" s="21">
        <f t="shared" si="35"/>
        <v>178001.37907113601</v>
      </c>
    </row>
    <row r="651" spans="1:22" x14ac:dyDescent="0.3">
      <c r="A651" s="7" t="s">
        <v>149</v>
      </c>
      <c r="B651" s="7">
        <v>10</v>
      </c>
      <c r="C651" s="8" t="s">
        <v>186</v>
      </c>
      <c r="D651" s="7" t="s">
        <v>204</v>
      </c>
      <c r="E651" s="7" t="s">
        <v>55</v>
      </c>
      <c r="F651" s="8" t="s">
        <v>56</v>
      </c>
      <c r="G651" s="7" t="s">
        <v>30</v>
      </c>
      <c r="H651" s="9">
        <v>508.303</v>
      </c>
      <c r="I651" s="9">
        <v>1.3495999999999999</v>
      </c>
      <c r="J651" s="9">
        <v>1.3116000000000001</v>
      </c>
      <c r="K651" s="10">
        <v>0.97184350918790763</v>
      </c>
      <c r="L651" s="9">
        <v>16.940000000000001</v>
      </c>
      <c r="M651" s="19">
        <f>H651*INDEX('Pliegos Tarifarios (Quilicura)'!$B:$B,MATCH($B651,'Pliegos Tarifarios (Quilicura)'!$A:$A,0))</f>
        <v>66975.528189000004</v>
      </c>
      <c r="N651" s="19">
        <f>I651*INDEX('Pliegos Tarifarios (Quilicura)'!$C:$C,MATCH($B651,'Pliegos Tarifarios (Quilicura)'!$A:$A,0))</f>
        <v>4688.0569343999996</v>
      </c>
      <c r="O651" s="19">
        <f>J651*INDEX('Pliegos Tarifarios (Quilicura)'!$D:$D,MATCH($B651,'Pliegos Tarifarios (Quilicura)'!$A:$A,0))</f>
        <v>19078.015518</v>
      </c>
      <c r="P651" s="19">
        <f>H651*INDEX('Pliegos Tarifarios (Quilicura)'!$E:$E,MATCH($B651,'Pliegos Tarifarios (Quilicura)'!$A:$A,0))</f>
        <v>6620.1382719999992</v>
      </c>
      <c r="Q651" s="19" cm="1">
        <f t="array" ref="Q651">H651*_xlfn.IFS(H651&lt;=350,INDEX('Pliegos Tarifarios (Quilicura)'!$F:$F,MATCH($B651,'Pliegos Tarifarios (Quilicura)'!$A:$A,0)),H651&lt;=500,INDEX('Pliegos Tarifarios (Quilicura)'!$G:$G,MATCH($B651,'Pliegos Tarifarios (Quilicura)'!$A:$A,0)),H651&lt;=1000,INDEX('Pliegos Tarifarios (Quilicura)'!$H:$H,MATCH($B651,'Pliegos Tarifarios (Quilicura)'!$A:$A,0)),H651&lt;=5000,INDEX('Pliegos Tarifarios (Quilicura)'!$I:$I,MATCH($B651,'Pliegos Tarifarios (Quilicura)'!$A:$A,0)),H651&gt;5000,INDEX('Pliegos Tarifarios (Quilicura)'!$J:$J,MATCH($B651,'Pliegos Tarifarios (Quilicura)'!$A:$A,0)))/1.19</f>
        <v>1192.1627504201683</v>
      </c>
      <c r="R651" s="19">
        <f>INDEX('Pliegos Tarifarios (Quilicura)'!$K:$K,MATCH($B651,'Pliegos Tarifarios (Quilicura)'!$A:$A,0))</f>
        <v>729.75599999999997</v>
      </c>
      <c r="S651" s="21">
        <f t="shared" si="33"/>
        <v>99283.657663820166</v>
      </c>
      <c r="T651" s="21">
        <f t="shared" si="34"/>
        <v>18863.894956125831</v>
      </c>
      <c r="U651" s="19">
        <v>0</v>
      </c>
      <c r="V651" s="21">
        <f t="shared" si="35"/>
        <v>118147.552619946</v>
      </c>
    </row>
    <row r="652" spans="1:22" x14ac:dyDescent="0.3">
      <c r="A652" s="7" t="s">
        <v>149</v>
      </c>
      <c r="B652" s="7">
        <v>10</v>
      </c>
      <c r="C652" s="8" t="s">
        <v>186</v>
      </c>
      <c r="D652" s="7" t="s">
        <v>205</v>
      </c>
      <c r="E652" s="7" t="s">
        <v>58</v>
      </c>
      <c r="F652" s="8" t="s">
        <v>59</v>
      </c>
      <c r="G652" s="7" t="s">
        <v>30</v>
      </c>
      <c r="H652" s="9">
        <v>507.017</v>
      </c>
      <c r="I652" s="9">
        <v>1.3396999999999999</v>
      </c>
      <c r="J652" s="9">
        <v>1.3366</v>
      </c>
      <c r="K652" s="10">
        <v>0.99768604911547365</v>
      </c>
      <c r="L652" s="9">
        <v>16.899999999999999</v>
      </c>
      <c r="M652" s="19">
        <f>H652*INDEX('Pliegos Tarifarios (Quilicura)'!$B:$B,MATCH($B652,'Pliegos Tarifarios (Quilicura)'!$A:$A,0))</f>
        <v>66806.080971000003</v>
      </c>
      <c r="N652" s="19">
        <f>I652*INDEX('Pliegos Tarifarios (Quilicura)'!$C:$C,MATCH($B652,'Pliegos Tarifarios (Quilicura)'!$A:$A,0))</f>
        <v>4653.6676607999998</v>
      </c>
      <c r="O652" s="19">
        <f>J652*INDEX('Pliegos Tarifarios (Quilicura)'!$D:$D,MATCH($B652,'Pliegos Tarifarios (Quilicura)'!$A:$A,0))</f>
        <v>19441.655642999998</v>
      </c>
      <c r="P652" s="19">
        <f>H652*INDEX('Pliegos Tarifarios (Quilicura)'!$E:$E,MATCH($B652,'Pliegos Tarifarios (Quilicura)'!$A:$A,0))</f>
        <v>6603.3894079999991</v>
      </c>
      <c r="Q652" s="19" cm="1">
        <f t="array" ref="Q652">H652*_xlfn.IFS(H652&lt;=350,INDEX('Pliegos Tarifarios (Quilicura)'!$F:$F,MATCH($B652,'Pliegos Tarifarios (Quilicura)'!$A:$A,0)),H652&lt;=500,INDEX('Pliegos Tarifarios (Quilicura)'!$G:$G,MATCH($B652,'Pliegos Tarifarios (Quilicura)'!$A:$A,0)),H652&lt;=1000,INDEX('Pliegos Tarifarios (Quilicura)'!$H:$H,MATCH($B652,'Pliegos Tarifarios (Quilicura)'!$A:$A,0)),H652&lt;=5000,INDEX('Pliegos Tarifarios (Quilicura)'!$I:$I,MATCH($B652,'Pliegos Tarifarios (Quilicura)'!$A:$A,0)),H652&gt;5000,INDEX('Pliegos Tarifarios (Quilicura)'!$J:$J,MATCH($B652,'Pliegos Tarifarios (Quilicura)'!$A:$A,0)))/1.19</f>
        <v>1189.1465941176473</v>
      </c>
      <c r="R652" s="19">
        <f>INDEX('Pliegos Tarifarios (Quilicura)'!$K:$K,MATCH($B652,'Pliegos Tarifarios (Quilicura)'!$A:$A,0))</f>
        <v>729.75599999999997</v>
      </c>
      <c r="S652" s="21">
        <f t="shared" si="33"/>
        <v>99423.696276917646</v>
      </c>
      <c r="T652" s="21">
        <f t="shared" si="34"/>
        <v>18890.502292614354</v>
      </c>
      <c r="U652" s="19">
        <v>0</v>
      </c>
      <c r="V652" s="21">
        <f t="shared" si="35"/>
        <v>118314.198569532</v>
      </c>
    </row>
    <row r="653" spans="1:22" x14ac:dyDescent="0.3">
      <c r="A653" s="7" t="s">
        <v>149</v>
      </c>
      <c r="B653" s="7">
        <v>10</v>
      </c>
      <c r="C653" s="8" t="s">
        <v>186</v>
      </c>
      <c r="D653" s="7" t="s">
        <v>206</v>
      </c>
      <c r="E653" s="7" t="s">
        <v>61</v>
      </c>
      <c r="F653" s="8" t="s">
        <v>62</v>
      </c>
      <c r="G653" s="7" t="s">
        <v>30</v>
      </c>
      <c r="H653" s="9">
        <v>507.03230000000002</v>
      </c>
      <c r="I653" s="9">
        <v>1.3532</v>
      </c>
      <c r="J653" s="9">
        <v>1.3303</v>
      </c>
      <c r="K653" s="10">
        <v>0.98307715045817323</v>
      </c>
      <c r="L653" s="9">
        <v>16.899999999999999</v>
      </c>
      <c r="M653" s="19">
        <f>H653*INDEX('Pliegos Tarifarios (Quilicura)'!$B:$B,MATCH($B653,'Pliegos Tarifarios (Quilicura)'!$A:$A,0))</f>
        <v>66808.096944900011</v>
      </c>
      <c r="N653" s="19">
        <f>I653*INDEX('Pliegos Tarifarios (Quilicura)'!$C:$C,MATCH($B653,'Pliegos Tarifarios (Quilicura)'!$A:$A,0))</f>
        <v>4700.5621247999998</v>
      </c>
      <c r="O653" s="19">
        <f>J653*INDEX('Pliegos Tarifarios (Quilicura)'!$D:$D,MATCH($B653,'Pliegos Tarifarios (Quilicura)'!$A:$A,0))</f>
        <v>19350.018331499999</v>
      </c>
      <c r="P653" s="19">
        <f>H653*INDEX('Pliegos Tarifarios (Quilicura)'!$E:$E,MATCH($B653,'Pliegos Tarifarios (Quilicura)'!$A:$A,0))</f>
        <v>6603.5886751999997</v>
      </c>
      <c r="Q653" s="19" cm="1">
        <f t="array" ref="Q653">H653*_xlfn.IFS(H653&lt;=350,INDEX('Pliegos Tarifarios (Quilicura)'!$F:$F,MATCH($B653,'Pliegos Tarifarios (Quilicura)'!$A:$A,0)),H653&lt;=500,INDEX('Pliegos Tarifarios (Quilicura)'!$G:$G,MATCH($B653,'Pliegos Tarifarios (Quilicura)'!$A:$A,0)),H653&lt;=1000,INDEX('Pliegos Tarifarios (Quilicura)'!$H:$H,MATCH($B653,'Pliegos Tarifarios (Quilicura)'!$A:$A,0)),H653&lt;=5000,INDEX('Pliegos Tarifarios (Quilicura)'!$I:$I,MATCH($B653,'Pliegos Tarifarios (Quilicura)'!$A:$A,0)),H653&gt;5000,INDEX('Pliegos Tarifarios (Quilicura)'!$J:$J,MATCH($B653,'Pliegos Tarifarios (Quilicura)'!$A:$A,0)))/1.19</f>
        <v>1189.1824784033615</v>
      </c>
      <c r="R653" s="19">
        <f>INDEX('Pliegos Tarifarios (Quilicura)'!$K:$K,MATCH($B653,'Pliegos Tarifarios (Quilicura)'!$A:$A,0))</f>
        <v>729.75599999999997</v>
      </c>
      <c r="S653" s="21">
        <f t="shared" si="33"/>
        <v>99381.204554803364</v>
      </c>
      <c r="T653" s="21">
        <f t="shared" si="34"/>
        <v>18882.428865412639</v>
      </c>
      <c r="U653" s="19">
        <v>0</v>
      </c>
      <c r="V653" s="21">
        <f t="shared" si="35"/>
        <v>118263.63342021601</v>
      </c>
    </row>
    <row r="654" spans="1:22" x14ac:dyDescent="0.3">
      <c r="A654" s="7" t="s">
        <v>149</v>
      </c>
      <c r="B654" s="7">
        <v>10</v>
      </c>
      <c r="C654" s="8" t="s">
        <v>186</v>
      </c>
      <c r="D654" s="7" t="s">
        <v>207</v>
      </c>
      <c r="E654" s="7" t="s">
        <v>34</v>
      </c>
      <c r="F654" s="8" t="s">
        <v>64</v>
      </c>
      <c r="G654" s="7" t="s">
        <v>30</v>
      </c>
      <c r="H654" s="9">
        <v>1012.3215</v>
      </c>
      <c r="I654" s="9">
        <v>2.7488000000000001</v>
      </c>
      <c r="J654" s="9">
        <v>2.6987999999999999</v>
      </c>
      <c r="K654" s="10">
        <v>0.98181024447031418</v>
      </c>
      <c r="L654" s="9">
        <v>33.74</v>
      </c>
      <c r="M654" s="19">
        <f>H654*INDEX('Pliegos Tarifarios (Quilicura)'!$B:$B,MATCH($B654,'Pliegos Tarifarios (Quilicura)'!$A:$A,0))</f>
        <v>133386.51780450001</v>
      </c>
      <c r="N654" s="19">
        <f>I654*INDEX('Pliegos Tarifarios (Quilicura)'!$C:$C,MATCH($B654,'Pliegos Tarifarios (Quilicura)'!$A:$A,0))</f>
        <v>9548.4076032000012</v>
      </c>
      <c r="O654" s="19">
        <f>J654*INDEX('Pliegos Tarifarios (Quilicura)'!$D:$D,MATCH($B654,'Pliegos Tarifarios (Quilicura)'!$A:$A,0))</f>
        <v>39255.678774</v>
      </c>
      <c r="P654" s="19">
        <f>H654*INDEX('Pliegos Tarifarios (Quilicura)'!$E:$E,MATCH($B654,'Pliegos Tarifarios (Quilicura)'!$A:$A,0))</f>
        <v>13184.475215999999</v>
      </c>
      <c r="Q654" s="19" cm="1">
        <f t="array" ref="Q654">H654*_xlfn.IFS(H654&lt;=350,INDEX('Pliegos Tarifarios (Quilicura)'!$F:$F,MATCH($B654,'Pliegos Tarifarios (Quilicura)'!$A:$A,0)),H654&lt;=500,INDEX('Pliegos Tarifarios (Quilicura)'!$G:$G,MATCH($B654,'Pliegos Tarifarios (Quilicura)'!$A:$A,0)),H654&lt;=1000,INDEX('Pliegos Tarifarios (Quilicura)'!$H:$H,MATCH($B654,'Pliegos Tarifarios (Quilicura)'!$A:$A,0)),H654&lt;=5000,INDEX('Pliegos Tarifarios (Quilicura)'!$I:$I,MATCH($B654,'Pliegos Tarifarios (Quilicura)'!$A:$A,0)),H654&gt;5000,INDEX('Pliegos Tarifarios (Quilicura)'!$J:$J,MATCH($B654,'Pliegos Tarifarios (Quilicura)'!$A:$A,0)))/1.19</f>
        <v>3037.8151903361345</v>
      </c>
      <c r="R654" s="19">
        <f>INDEX('Pliegos Tarifarios (Quilicura)'!$K:$K,MATCH($B654,'Pliegos Tarifarios (Quilicura)'!$A:$A,0))</f>
        <v>729.75599999999997</v>
      </c>
      <c r="S654" s="21">
        <f t="shared" si="33"/>
        <v>199142.65058803614</v>
      </c>
      <c r="T654" s="21">
        <f t="shared" si="34"/>
        <v>37837.103611726867</v>
      </c>
      <c r="U654" s="19">
        <v>0</v>
      </c>
      <c r="V654" s="21">
        <f t="shared" si="35"/>
        <v>236979.754199763</v>
      </c>
    </row>
    <row r="655" spans="1:22" x14ac:dyDescent="0.3">
      <c r="A655" s="7" t="s">
        <v>149</v>
      </c>
      <c r="B655" s="7">
        <v>10</v>
      </c>
      <c r="C655" s="8" t="s">
        <v>186</v>
      </c>
      <c r="D655" s="7" t="s">
        <v>208</v>
      </c>
      <c r="E655" s="7" t="s">
        <v>34</v>
      </c>
      <c r="F655" s="8" t="s">
        <v>66</v>
      </c>
      <c r="G655" s="7" t="s">
        <v>30</v>
      </c>
      <c r="H655" s="9">
        <v>1014.2322</v>
      </c>
      <c r="I655" s="9">
        <v>2.7181999999999999</v>
      </c>
      <c r="J655" s="9">
        <v>2.6425000000000001</v>
      </c>
      <c r="K655" s="10">
        <v>0.9721506879552646</v>
      </c>
      <c r="L655" s="9">
        <v>33.81</v>
      </c>
      <c r="M655" s="19">
        <f>H655*INDEX('Pliegos Tarifarios (Quilicura)'!$B:$B,MATCH($B655,'Pliegos Tarifarios (Quilicura)'!$A:$A,0))</f>
        <v>133638.27736860001</v>
      </c>
      <c r="N655" s="19">
        <f>I655*INDEX('Pliegos Tarifarios (Quilicura)'!$C:$C,MATCH($B655,'Pliegos Tarifarios (Quilicura)'!$A:$A,0))</f>
        <v>9442.1134848000002</v>
      </c>
      <c r="O655" s="19">
        <f>J655*INDEX('Pliegos Tarifarios (Quilicura)'!$D:$D,MATCH($B655,'Pliegos Tarifarios (Quilicura)'!$A:$A,0))</f>
        <v>38436.761212500001</v>
      </c>
      <c r="P655" s="19">
        <f>H655*INDEX('Pliegos Tarifarios (Quilicura)'!$E:$E,MATCH($B655,'Pliegos Tarifarios (Quilicura)'!$A:$A,0))</f>
        <v>13209.360172799999</v>
      </c>
      <c r="Q655" s="19" cm="1">
        <f t="array" ref="Q655">H655*_xlfn.IFS(H655&lt;=350,INDEX('Pliegos Tarifarios (Quilicura)'!$F:$F,MATCH($B655,'Pliegos Tarifarios (Quilicura)'!$A:$A,0)),H655&lt;=500,INDEX('Pliegos Tarifarios (Quilicura)'!$G:$G,MATCH($B655,'Pliegos Tarifarios (Quilicura)'!$A:$A,0)),H655&lt;=1000,INDEX('Pliegos Tarifarios (Quilicura)'!$H:$H,MATCH($B655,'Pliegos Tarifarios (Quilicura)'!$A:$A,0)),H655&lt;=5000,INDEX('Pliegos Tarifarios (Quilicura)'!$I:$I,MATCH($B655,'Pliegos Tarifarios (Quilicura)'!$A:$A,0)),H655&gt;5000,INDEX('Pliegos Tarifarios (Quilicura)'!$J:$J,MATCH($B655,'Pliegos Tarifarios (Quilicura)'!$A:$A,0)))/1.19</f>
        <v>3043.5488959663867</v>
      </c>
      <c r="R655" s="19">
        <f>INDEX('Pliegos Tarifarios (Quilicura)'!$K:$K,MATCH($B655,'Pliegos Tarifarios (Quilicura)'!$A:$A,0))</f>
        <v>729.75599999999997</v>
      </c>
      <c r="S655" s="21">
        <f t="shared" si="33"/>
        <v>198499.8171346664</v>
      </c>
      <c r="T655" s="21">
        <f t="shared" si="34"/>
        <v>37714.96525558662</v>
      </c>
      <c r="U655" s="19">
        <v>0</v>
      </c>
      <c r="V655" s="21">
        <f t="shared" si="35"/>
        <v>236214.78239025304</v>
      </c>
    </row>
    <row r="656" spans="1:22" x14ac:dyDescent="0.3">
      <c r="A656" s="7" t="s">
        <v>149</v>
      </c>
      <c r="B656" s="7">
        <v>10</v>
      </c>
      <c r="C656" s="8" t="s">
        <v>186</v>
      </c>
      <c r="D656" s="7" t="s">
        <v>209</v>
      </c>
      <c r="E656" s="7" t="s">
        <v>34</v>
      </c>
      <c r="F656" s="8" t="s">
        <v>68</v>
      </c>
      <c r="G656" s="7" t="s">
        <v>30</v>
      </c>
      <c r="H656" s="9">
        <v>1013.505</v>
      </c>
      <c r="I656" s="9">
        <v>2.7663000000000002</v>
      </c>
      <c r="J656" s="9">
        <v>2.6673</v>
      </c>
      <c r="K656" s="10">
        <v>0.96421212449842741</v>
      </c>
      <c r="L656" s="9">
        <v>33.78</v>
      </c>
      <c r="M656" s="19">
        <f>H656*INDEX('Pliegos Tarifarios (Quilicura)'!$B:$B,MATCH($B656,'Pliegos Tarifarios (Quilicura)'!$A:$A,0))</f>
        <v>133542.45931500001</v>
      </c>
      <c r="N656" s="19">
        <f>I656*INDEX('Pliegos Tarifarios (Quilicura)'!$C:$C,MATCH($B656,'Pliegos Tarifarios (Quilicura)'!$A:$A,0))</f>
        <v>9609.1967232000006</v>
      </c>
      <c r="O656" s="19">
        <f>J656*INDEX('Pliegos Tarifarios (Quilicura)'!$D:$D,MATCH($B656,'Pliegos Tarifarios (Quilicura)'!$A:$A,0))</f>
        <v>38797.492216499995</v>
      </c>
      <c r="P656" s="19">
        <f>H656*INDEX('Pliegos Tarifarios (Quilicura)'!$E:$E,MATCH($B656,'Pliegos Tarifarios (Quilicura)'!$A:$A,0))</f>
        <v>13199.88912</v>
      </c>
      <c r="Q656" s="19" cm="1">
        <f t="array" ref="Q656">H656*_xlfn.IFS(H656&lt;=350,INDEX('Pliegos Tarifarios (Quilicura)'!$F:$F,MATCH($B656,'Pliegos Tarifarios (Quilicura)'!$A:$A,0)),H656&lt;=500,INDEX('Pliegos Tarifarios (Quilicura)'!$G:$G,MATCH($B656,'Pliegos Tarifarios (Quilicura)'!$A:$A,0)),H656&lt;=1000,INDEX('Pliegos Tarifarios (Quilicura)'!$H:$H,MATCH($B656,'Pliegos Tarifarios (Quilicura)'!$A:$A,0)),H656&lt;=5000,INDEX('Pliegos Tarifarios (Quilicura)'!$I:$I,MATCH($B656,'Pliegos Tarifarios (Quilicura)'!$A:$A,0)),H656&gt;5000,INDEX('Pliegos Tarifarios (Quilicura)'!$J:$J,MATCH($B656,'Pliegos Tarifarios (Quilicura)'!$A:$A,0)))/1.19</f>
        <v>3041.3666848739495</v>
      </c>
      <c r="R656" s="19">
        <f>INDEX('Pliegos Tarifarios (Quilicura)'!$K:$K,MATCH($B656,'Pliegos Tarifarios (Quilicura)'!$A:$A,0))</f>
        <v>729.75599999999997</v>
      </c>
      <c r="S656" s="21">
        <f t="shared" si="33"/>
        <v>198920.16005957394</v>
      </c>
      <c r="T656" s="21">
        <f t="shared" si="34"/>
        <v>37794.830411319053</v>
      </c>
      <c r="U656" s="19">
        <v>0</v>
      </c>
      <c r="V656" s="21">
        <f t="shared" si="35"/>
        <v>236714.99047089298</v>
      </c>
    </row>
    <row r="657" spans="1:22" x14ac:dyDescent="0.3">
      <c r="A657" s="7" t="s">
        <v>149</v>
      </c>
      <c r="B657" s="7">
        <v>10</v>
      </c>
      <c r="C657" s="8" t="s">
        <v>186</v>
      </c>
      <c r="D657" s="7" t="s">
        <v>210</v>
      </c>
      <c r="E657" s="7" t="s">
        <v>70</v>
      </c>
      <c r="F657" s="8" t="s">
        <v>71</v>
      </c>
      <c r="G657" s="7" t="s">
        <v>30</v>
      </c>
      <c r="H657" s="9">
        <v>1264.9505999999999</v>
      </c>
      <c r="I657" s="9">
        <v>3.3887999999999998</v>
      </c>
      <c r="J657" s="9">
        <v>3.3887999999999998</v>
      </c>
      <c r="K657" s="10">
        <v>1</v>
      </c>
      <c r="L657" s="9">
        <v>42.17</v>
      </c>
      <c r="M657" s="19">
        <f>H657*INDEX('Pliegos Tarifarios (Quilicura)'!$B:$B,MATCH($B657,'Pliegos Tarifarios (Quilicura)'!$A:$A,0))</f>
        <v>166673.68590779998</v>
      </c>
      <c r="N657" s="19">
        <f>I657*INDEX('Pliegos Tarifarios (Quilicura)'!$C:$C,MATCH($B657,'Pliegos Tarifarios (Quilicura)'!$A:$A,0))</f>
        <v>11771.552563200001</v>
      </c>
      <c r="O657" s="19">
        <f>J657*INDEX('Pliegos Tarifarios (Quilicura)'!$D:$D,MATCH($B657,'Pliegos Tarifarios (Quilicura)'!$A:$A,0))</f>
        <v>49292.146223999996</v>
      </c>
      <c r="P657" s="19">
        <f>H657*INDEX('Pliegos Tarifarios (Quilicura)'!$E:$E,MATCH($B657,'Pliegos Tarifarios (Quilicura)'!$A:$A,0))</f>
        <v>16474.716614399997</v>
      </c>
      <c r="Q657" s="19" cm="1">
        <f t="array" ref="Q657">H657*_xlfn.IFS(H657&lt;=350,INDEX('Pliegos Tarifarios (Quilicura)'!$F:$F,MATCH($B657,'Pliegos Tarifarios (Quilicura)'!$A:$A,0)),H657&lt;=500,INDEX('Pliegos Tarifarios (Quilicura)'!$G:$G,MATCH($B657,'Pliegos Tarifarios (Quilicura)'!$A:$A,0)),H657&lt;=1000,INDEX('Pliegos Tarifarios (Quilicura)'!$H:$H,MATCH($B657,'Pliegos Tarifarios (Quilicura)'!$A:$A,0)),H657&lt;=5000,INDEX('Pliegos Tarifarios (Quilicura)'!$I:$I,MATCH($B657,'Pliegos Tarifarios (Quilicura)'!$A:$A,0)),H657&gt;5000,INDEX('Pliegos Tarifarios (Quilicura)'!$J:$J,MATCH($B657,'Pliegos Tarifarios (Quilicura)'!$A:$A,0)))/1.19</f>
        <v>3795.9147836974785</v>
      </c>
      <c r="R657" s="19">
        <f>INDEX('Pliegos Tarifarios (Quilicura)'!$K:$K,MATCH($B657,'Pliegos Tarifarios (Quilicura)'!$A:$A,0))</f>
        <v>729.75599999999997</v>
      </c>
      <c r="S657" s="21">
        <f t="shared" si="33"/>
        <v>248737.77209309748</v>
      </c>
      <c r="T657" s="21">
        <f t="shared" si="34"/>
        <v>47260.176697688519</v>
      </c>
      <c r="U657" s="19">
        <v>0</v>
      </c>
      <c r="V657" s="21">
        <f t="shared" si="35"/>
        <v>295997.94879078597</v>
      </c>
    </row>
    <row r="658" spans="1:22" x14ac:dyDescent="0.3">
      <c r="A658" s="7" t="s">
        <v>149</v>
      </c>
      <c r="B658" s="7">
        <v>10</v>
      </c>
      <c r="C658" s="8" t="s">
        <v>186</v>
      </c>
      <c r="D658" s="7" t="s">
        <v>211</v>
      </c>
      <c r="E658" s="7" t="s">
        <v>73</v>
      </c>
      <c r="F658" s="8" t="s">
        <v>74</v>
      </c>
      <c r="G658" s="7" t="s">
        <v>16</v>
      </c>
      <c r="H658" s="9">
        <v>2031.9349999999999</v>
      </c>
      <c r="I658" s="9">
        <v>5.4188999999999998</v>
      </c>
      <c r="J658" s="9">
        <v>5.4046000000000003</v>
      </c>
      <c r="K658" s="10">
        <v>0.99736108804369894</v>
      </c>
      <c r="L658" s="9">
        <v>67.73</v>
      </c>
      <c r="M658" s="19">
        <f>H658*INDEX('Pliegos Tarifarios (Quilicura)'!$B:$B,MATCH($B658,'Pliegos Tarifarios (Quilicura)'!$A:$A,0))</f>
        <v>267733.85140500002</v>
      </c>
      <c r="N658" s="19">
        <f>I658*INDEX('Pliegos Tarifarios (Quilicura)'!$C:$C,MATCH($B658,'Pliegos Tarifarios (Quilicura)'!$A:$A,0))</f>
        <v>18823.437849599999</v>
      </c>
      <c r="O658" s="19">
        <f>J658*INDEX('Pliegos Tarifarios (Quilicura)'!$D:$D,MATCH($B658,'Pliegos Tarifarios (Quilicura)'!$A:$A,0))</f>
        <v>78613.176783000003</v>
      </c>
      <c r="P658" s="19">
        <f>H658*INDEX('Pliegos Tarifarios (Quilicura)'!$E:$E,MATCH($B658,'Pliegos Tarifarios (Quilicura)'!$A:$A,0))</f>
        <v>26463.921439999998</v>
      </c>
      <c r="Q658" s="19" cm="1">
        <f t="array" ref="Q658">H658*_xlfn.IFS(H658&lt;=350,INDEX('Pliegos Tarifarios (Quilicura)'!$F:$F,MATCH($B658,'Pliegos Tarifarios (Quilicura)'!$A:$A,0)),H658&lt;=500,INDEX('Pliegos Tarifarios (Quilicura)'!$G:$G,MATCH($B658,'Pliegos Tarifarios (Quilicura)'!$A:$A,0)),H658&lt;=1000,INDEX('Pliegos Tarifarios (Quilicura)'!$H:$H,MATCH($B658,'Pliegos Tarifarios (Quilicura)'!$A:$A,0)),H658&lt;=5000,INDEX('Pliegos Tarifarios (Quilicura)'!$I:$I,MATCH($B658,'Pliegos Tarifarios (Quilicura)'!$A:$A,0)),H658&gt;5000,INDEX('Pliegos Tarifarios (Quilicura)'!$J:$J,MATCH($B658,'Pliegos Tarifarios (Quilicura)'!$A:$A,0)))/1.19</f>
        <v>6097.5125084033607</v>
      </c>
      <c r="R658" s="19">
        <f>INDEX('Pliegos Tarifarios (Quilicura)'!$K:$K,MATCH($B658,'Pliegos Tarifarios (Quilicura)'!$A:$A,0))</f>
        <v>729.75599999999997</v>
      </c>
      <c r="S658" s="21">
        <f t="shared" si="33"/>
        <v>398461.65598600334</v>
      </c>
      <c r="T658" s="21">
        <f t="shared" si="34"/>
        <v>75707.714637340643</v>
      </c>
      <c r="U658" s="19">
        <v>0</v>
      </c>
      <c r="V658" s="21">
        <f t="shared" si="35"/>
        <v>474169.37062334397</v>
      </c>
    </row>
    <row r="659" spans="1:22" x14ac:dyDescent="0.3">
      <c r="A659" s="7" t="s">
        <v>149</v>
      </c>
      <c r="B659" s="7">
        <v>10</v>
      </c>
      <c r="C659" s="8" t="s">
        <v>186</v>
      </c>
      <c r="D659" s="7" t="s">
        <v>212</v>
      </c>
      <c r="E659" s="7" t="s">
        <v>73</v>
      </c>
      <c r="F659" s="8" t="s">
        <v>76</v>
      </c>
      <c r="G659" s="7" t="s">
        <v>16</v>
      </c>
      <c r="H659" s="9">
        <v>1521.6190999999999</v>
      </c>
      <c r="I659" s="9">
        <v>4.0345000000000004</v>
      </c>
      <c r="J659" s="9">
        <v>3.9748999999999999</v>
      </c>
      <c r="K659" s="10">
        <v>0.98522741355806154</v>
      </c>
      <c r="L659" s="9">
        <v>50.72</v>
      </c>
      <c r="M659" s="19">
        <f>H659*INDEX('Pliegos Tarifarios (Quilicura)'!$B:$B,MATCH($B659,'Pliegos Tarifarios (Quilicura)'!$A:$A,0))</f>
        <v>200493.0974733</v>
      </c>
      <c r="N659" s="19">
        <f>I659*INDEX('Pliegos Tarifarios (Quilicura)'!$C:$C,MATCH($B659,'Pliegos Tarifarios (Quilicura)'!$A:$A,0))</f>
        <v>14014.497408000003</v>
      </c>
      <c r="O659" s="19">
        <f>J659*INDEX('Pliegos Tarifarios (Quilicura)'!$D:$D,MATCH($B659,'Pliegos Tarifarios (Quilicura)'!$A:$A,0))</f>
        <v>57817.325314499998</v>
      </c>
      <c r="P659" s="19">
        <f>H659*INDEX('Pliegos Tarifarios (Quilicura)'!$E:$E,MATCH($B659,'Pliegos Tarifarios (Quilicura)'!$A:$A,0))</f>
        <v>19817.567158399997</v>
      </c>
      <c r="Q659" s="19" cm="1">
        <f t="array" ref="Q659">H659*_xlfn.IFS(H659&lt;=350,INDEX('Pliegos Tarifarios (Quilicura)'!$F:$F,MATCH($B659,'Pliegos Tarifarios (Quilicura)'!$A:$A,0)),H659&lt;=500,INDEX('Pliegos Tarifarios (Quilicura)'!$G:$G,MATCH($B659,'Pliegos Tarifarios (Quilicura)'!$A:$A,0)),H659&lt;=1000,INDEX('Pliegos Tarifarios (Quilicura)'!$H:$H,MATCH($B659,'Pliegos Tarifarios (Quilicura)'!$A:$A,0)),H659&lt;=5000,INDEX('Pliegos Tarifarios (Quilicura)'!$I:$I,MATCH($B659,'Pliegos Tarifarios (Quilicura)'!$A:$A,0)),H659&gt;5000,INDEX('Pliegos Tarifarios (Quilicura)'!$J:$J,MATCH($B659,'Pliegos Tarifarios (Quilicura)'!$A:$A,0)))/1.19</f>
        <v>4566.1359715126046</v>
      </c>
      <c r="R659" s="19">
        <f>INDEX('Pliegos Tarifarios (Quilicura)'!$K:$K,MATCH($B659,'Pliegos Tarifarios (Quilicura)'!$A:$A,0))</f>
        <v>729.75599999999997</v>
      </c>
      <c r="S659" s="21">
        <f t="shared" si="33"/>
        <v>297438.37932571262</v>
      </c>
      <c r="T659" s="21">
        <f t="shared" si="34"/>
        <v>56513.2920718854</v>
      </c>
      <c r="U659" s="19">
        <v>0</v>
      </c>
      <c r="V659" s="21">
        <f t="shared" si="35"/>
        <v>353951.67139759799</v>
      </c>
    </row>
    <row r="660" spans="1:22" x14ac:dyDescent="0.3">
      <c r="A660" s="7" t="s">
        <v>149</v>
      </c>
      <c r="B660" s="7">
        <v>10</v>
      </c>
      <c r="C660" s="8" t="s">
        <v>186</v>
      </c>
      <c r="D660" s="7" t="s">
        <v>213</v>
      </c>
      <c r="E660" s="7" t="s">
        <v>78</v>
      </c>
      <c r="F660" s="8" t="s">
        <v>79</v>
      </c>
      <c r="G660" s="7" t="s">
        <v>16</v>
      </c>
      <c r="H660" s="9">
        <v>1270.8664000000001</v>
      </c>
      <c r="I660" s="9">
        <v>3.3117999999999999</v>
      </c>
      <c r="J660" s="9">
        <v>3.2932999999999999</v>
      </c>
      <c r="K660" s="10">
        <v>0.9944139138836886</v>
      </c>
      <c r="L660" s="9">
        <v>42.36</v>
      </c>
      <c r="M660" s="19">
        <f>H660*INDEX('Pliegos Tarifarios (Quilicura)'!$B:$B,MATCH($B660,'Pliegos Tarifarios (Quilicura)'!$A:$A,0))</f>
        <v>167453.16946320003</v>
      </c>
      <c r="N660" s="19">
        <f>I660*INDEX('Pliegos Tarifarios (Quilicura)'!$C:$C,MATCH($B660,'Pliegos Tarifarios (Quilicura)'!$A:$A,0))</f>
        <v>11504.0804352</v>
      </c>
      <c r="O660" s="19">
        <f>J660*INDEX('Pliegos Tarifarios (Quilicura)'!$D:$D,MATCH($B660,'Pliegos Tarifarios (Quilicura)'!$A:$A,0))</f>
        <v>47903.040946499998</v>
      </c>
      <c r="P660" s="19">
        <f>H660*INDEX('Pliegos Tarifarios (Quilicura)'!$E:$E,MATCH($B660,'Pliegos Tarifarios (Quilicura)'!$A:$A,0))</f>
        <v>16551.763993600001</v>
      </c>
      <c r="Q660" s="19" cm="1">
        <f t="array" ref="Q660">H660*_xlfn.IFS(H660&lt;=350,INDEX('Pliegos Tarifarios (Quilicura)'!$F:$F,MATCH($B660,'Pliegos Tarifarios (Quilicura)'!$A:$A,0)),H660&lt;=500,INDEX('Pliegos Tarifarios (Quilicura)'!$G:$G,MATCH($B660,'Pliegos Tarifarios (Quilicura)'!$A:$A,0)),H660&lt;=1000,INDEX('Pliegos Tarifarios (Quilicura)'!$H:$H,MATCH($B660,'Pliegos Tarifarios (Quilicura)'!$A:$A,0)),H660&lt;=5000,INDEX('Pliegos Tarifarios (Quilicura)'!$I:$I,MATCH($B660,'Pliegos Tarifarios (Quilicura)'!$A:$A,0)),H660&gt;5000,INDEX('Pliegos Tarifarios (Quilicura)'!$J:$J,MATCH($B660,'Pliegos Tarifarios (Quilicura)'!$A:$A,0)))/1.19</f>
        <v>3813.6671549579837</v>
      </c>
      <c r="R660" s="19">
        <f>INDEX('Pliegos Tarifarios (Quilicura)'!$K:$K,MATCH($B660,'Pliegos Tarifarios (Quilicura)'!$A:$A,0))</f>
        <v>729.75599999999997</v>
      </c>
      <c r="S660" s="21">
        <f t="shared" si="33"/>
        <v>247955.47799345801</v>
      </c>
      <c r="T660" s="21">
        <f t="shared" si="34"/>
        <v>47111.540818757021</v>
      </c>
      <c r="U660" s="19">
        <v>0</v>
      </c>
      <c r="V660" s="21">
        <f t="shared" si="35"/>
        <v>295067.01881221501</v>
      </c>
    </row>
    <row r="661" spans="1:22" x14ac:dyDescent="0.3">
      <c r="A661" s="7" t="s">
        <v>149</v>
      </c>
      <c r="B661" s="7">
        <v>10</v>
      </c>
      <c r="C661" s="8" t="s">
        <v>186</v>
      </c>
      <c r="D661" s="7" t="s">
        <v>214</v>
      </c>
      <c r="E661" s="7" t="s">
        <v>78</v>
      </c>
      <c r="F661" s="8" t="s">
        <v>81</v>
      </c>
      <c r="G661" s="7" t="s">
        <v>16</v>
      </c>
      <c r="H661" s="9">
        <v>844.91740000000004</v>
      </c>
      <c r="I661" s="9">
        <v>2.2492000000000001</v>
      </c>
      <c r="J661" s="9">
        <v>2.1905000000000001</v>
      </c>
      <c r="K661" s="10">
        <v>0.97390183176240441</v>
      </c>
      <c r="L661" s="9">
        <v>28.16</v>
      </c>
      <c r="M661" s="19">
        <f>H661*INDEX('Pliegos Tarifarios (Quilicura)'!$B:$B,MATCH($B661,'Pliegos Tarifarios (Quilicura)'!$A:$A,0))</f>
        <v>111328.85137620001</v>
      </c>
      <c r="N661" s="19">
        <f>I661*INDEX('Pliegos Tarifarios (Quilicura)'!$C:$C,MATCH($B661,'Pliegos Tarifarios (Quilicura)'!$A:$A,0))</f>
        <v>7812.9650688000011</v>
      </c>
      <c r="O661" s="19">
        <f>J661*INDEX('Pliegos Tarifarios (Quilicura)'!$D:$D,MATCH($B661,'Pliegos Tarifarios (Quilicura)'!$A:$A,0))</f>
        <v>31862.147752500001</v>
      </c>
      <c r="P661" s="19">
        <f>H661*INDEX('Pliegos Tarifarios (Quilicura)'!$E:$E,MATCH($B661,'Pliegos Tarifarios (Quilicura)'!$A:$A,0))</f>
        <v>11004.2042176</v>
      </c>
      <c r="Q661" s="19" cm="1">
        <f t="array" ref="Q661">H661*_xlfn.IFS(H661&lt;=350,INDEX('Pliegos Tarifarios (Quilicura)'!$F:$F,MATCH($B661,'Pliegos Tarifarios (Quilicura)'!$A:$A,0)),H661&lt;=500,INDEX('Pliegos Tarifarios (Quilicura)'!$G:$G,MATCH($B661,'Pliegos Tarifarios (Quilicura)'!$A:$A,0)),H661&lt;=1000,INDEX('Pliegos Tarifarios (Quilicura)'!$H:$H,MATCH($B661,'Pliegos Tarifarios (Quilicura)'!$A:$A,0)),H661&lt;=5000,INDEX('Pliegos Tarifarios (Quilicura)'!$I:$I,MATCH($B661,'Pliegos Tarifarios (Quilicura)'!$A:$A,0)),H661&gt;5000,INDEX('Pliegos Tarifarios (Quilicura)'!$J:$J,MATCH($B661,'Pliegos Tarifarios (Quilicura)'!$A:$A,0)))/1.19</f>
        <v>1981.6508095798324</v>
      </c>
      <c r="R661" s="19">
        <f>INDEX('Pliegos Tarifarios (Quilicura)'!$K:$K,MATCH($B661,'Pliegos Tarifarios (Quilicura)'!$A:$A,0))</f>
        <v>729.75599999999997</v>
      </c>
      <c r="S661" s="21">
        <f t="shared" si="33"/>
        <v>164719.57522467981</v>
      </c>
      <c r="T661" s="21">
        <f t="shared" si="34"/>
        <v>31296.719292689162</v>
      </c>
      <c r="U661" s="19">
        <v>0</v>
      </c>
      <c r="V661" s="21">
        <f t="shared" si="35"/>
        <v>196016.29451736898</v>
      </c>
    </row>
    <row r="662" spans="1:22" x14ac:dyDescent="0.3">
      <c r="A662" s="7" t="s">
        <v>149</v>
      </c>
      <c r="B662" s="7">
        <v>10</v>
      </c>
      <c r="C662" s="8" t="s">
        <v>186</v>
      </c>
      <c r="D662" s="7" t="s">
        <v>215</v>
      </c>
      <c r="E662" s="7" t="s">
        <v>78</v>
      </c>
      <c r="F662" s="8" t="s">
        <v>83</v>
      </c>
      <c r="G662" s="7" t="s">
        <v>16</v>
      </c>
      <c r="H662" s="9">
        <v>844.59649999999999</v>
      </c>
      <c r="I662" s="9">
        <v>2.2326999999999999</v>
      </c>
      <c r="J662" s="9">
        <v>2.2010000000000001</v>
      </c>
      <c r="K662" s="10">
        <v>0.98580194383481889</v>
      </c>
      <c r="L662" s="9">
        <v>28.15</v>
      </c>
      <c r="M662" s="19">
        <f>H662*INDEX('Pliegos Tarifarios (Quilicura)'!$B:$B,MATCH($B662,'Pliegos Tarifarios (Quilicura)'!$A:$A,0))</f>
        <v>111286.56862950001</v>
      </c>
      <c r="N662" s="19">
        <f>I662*INDEX('Pliegos Tarifarios (Quilicura)'!$C:$C,MATCH($B662,'Pliegos Tarifarios (Quilicura)'!$A:$A,0))</f>
        <v>7755.6496127999999</v>
      </c>
      <c r="O662" s="19">
        <f>J662*INDEX('Pliegos Tarifarios (Quilicura)'!$D:$D,MATCH($B662,'Pliegos Tarifarios (Quilicura)'!$A:$A,0))</f>
        <v>32014.876605000001</v>
      </c>
      <c r="P662" s="19">
        <f>H662*INDEX('Pliegos Tarifarios (Quilicura)'!$E:$E,MATCH($B662,'Pliegos Tarifarios (Quilicura)'!$A:$A,0))</f>
        <v>11000.024815999999</v>
      </c>
      <c r="Q662" s="19" cm="1">
        <f t="array" ref="Q662">H662*_xlfn.IFS(H662&lt;=350,INDEX('Pliegos Tarifarios (Quilicura)'!$F:$F,MATCH($B662,'Pliegos Tarifarios (Quilicura)'!$A:$A,0)),H662&lt;=500,INDEX('Pliegos Tarifarios (Quilicura)'!$G:$G,MATCH($B662,'Pliegos Tarifarios (Quilicura)'!$A:$A,0)),H662&lt;=1000,INDEX('Pliegos Tarifarios (Quilicura)'!$H:$H,MATCH($B662,'Pliegos Tarifarios (Quilicura)'!$A:$A,0)),H662&lt;=5000,INDEX('Pliegos Tarifarios (Quilicura)'!$I:$I,MATCH($B662,'Pliegos Tarifarios (Quilicura)'!$A:$A,0)),H662&gt;5000,INDEX('Pliegos Tarifarios (Quilicura)'!$J:$J,MATCH($B662,'Pliegos Tarifarios (Quilicura)'!$A:$A,0)))/1.19</f>
        <v>1980.898177731093</v>
      </c>
      <c r="R662" s="19">
        <f>INDEX('Pliegos Tarifarios (Quilicura)'!$K:$K,MATCH($B662,'Pliegos Tarifarios (Quilicura)'!$A:$A,0))</f>
        <v>729.75599999999997</v>
      </c>
      <c r="S662" s="21">
        <f t="shared" si="33"/>
        <v>164767.77384103107</v>
      </c>
      <c r="T662" s="21">
        <f t="shared" si="34"/>
        <v>31305.877029795905</v>
      </c>
      <c r="U662" s="19">
        <v>0</v>
      </c>
      <c r="V662" s="21">
        <f t="shared" si="35"/>
        <v>196073.65087082697</v>
      </c>
    </row>
    <row r="663" spans="1:22" x14ac:dyDescent="0.3">
      <c r="A663" s="7" t="s">
        <v>149</v>
      </c>
      <c r="B663" s="7">
        <v>10</v>
      </c>
      <c r="C663" s="8" t="s">
        <v>186</v>
      </c>
      <c r="D663" s="7" t="s">
        <v>216</v>
      </c>
      <c r="E663" s="7" t="s">
        <v>78</v>
      </c>
      <c r="F663" s="8" t="s">
        <v>85</v>
      </c>
      <c r="G663" s="7" t="s">
        <v>16</v>
      </c>
      <c r="H663" s="9">
        <v>1012.0236</v>
      </c>
      <c r="I663" s="9">
        <v>2.7126000000000001</v>
      </c>
      <c r="J663" s="9">
        <v>2.6597</v>
      </c>
      <c r="K663" s="10">
        <v>0.98049841480498412</v>
      </c>
      <c r="L663" s="9">
        <v>33.729999999999997</v>
      </c>
      <c r="M663" s="19">
        <f>H663*INDEX('Pliegos Tarifarios (Quilicura)'!$B:$B,MATCH($B663,'Pliegos Tarifarios (Quilicura)'!$A:$A,0))</f>
        <v>133347.26560680001</v>
      </c>
      <c r="N663" s="19">
        <f>I663*INDEX('Pliegos Tarifarios (Quilicura)'!$C:$C,MATCH($B663,'Pliegos Tarifarios (Quilicura)'!$A:$A,0))</f>
        <v>9422.6609664000007</v>
      </c>
      <c r="O663" s="19">
        <f>J663*INDEX('Pliegos Tarifarios (Quilicura)'!$D:$D,MATCH($B663,'Pliegos Tarifarios (Quilicura)'!$A:$A,0))</f>
        <v>38686.945618500002</v>
      </c>
      <c r="P663" s="19">
        <f>H663*INDEX('Pliegos Tarifarios (Quilicura)'!$E:$E,MATCH($B663,'Pliegos Tarifarios (Quilicura)'!$A:$A,0))</f>
        <v>13180.595366399999</v>
      </c>
      <c r="Q663" s="19" cm="1">
        <f t="array" ref="Q663">H663*_xlfn.IFS(H663&lt;=350,INDEX('Pliegos Tarifarios (Quilicura)'!$F:$F,MATCH($B663,'Pliegos Tarifarios (Quilicura)'!$A:$A,0)),H663&lt;=500,INDEX('Pliegos Tarifarios (Quilicura)'!$G:$G,MATCH($B663,'Pliegos Tarifarios (Quilicura)'!$A:$A,0)),H663&lt;=1000,INDEX('Pliegos Tarifarios (Quilicura)'!$H:$H,MATCH($B663,'Pliegos Tarifarios (Quilicura)'!$A:$A,0)),H663&lt;=5000,INDEX('Pliegos Tarifarios (Quilicura)'!$I:$I,MATCH($B663,'Pliegos Tarifarios (Quilicura)'!$A:$A,0)),H663&gt;5000,INDEX('Pliegos Tarifarios (Quilicura)'!$J:$J,MATCH($B663,'Pliegos Tarifarios (Quilicura)'!$A:$A,0)))/1.19</f>
        <v>3036.9212399999997</v>
      </c>
      <c r="R663" s="19">
        <f>INDEX('Pliegos Tarifarios (Quilicura)'!$K:$K,MATCH($B663,'Pliegos Tarifarios (Quilicura)'!$A:$A,0))</f>
        <v>729.75599999999997</v>
      </c>
      <c r="S663" s="21">
        <f t="shared" si="33"/>
        <v>198404.14479809999</v>
      </c>
      <c r="T663" s="21">
        <f t="shared" si="34"/>
        <v>37696.787511638999</v>
      </c>
      <c r="U663" s="19">
        <v>0</v>
      </c>
      <c r="V663" s="21">
        <f t="shared" si="35"/>
        <v>236100.932309739</v>
      </c>
    </row>
    <row r="664" spans="1:22" x14ac:dyDescent="0.3">
      <c r="A664" s="7" t="s">
        <v>149</v>
      </c>
      <c r="B664" s="7">
        <v>10</v>
      </c>
      <c r="C664" s="8" t="s">
        <v>186</v>
      </c>
      <c r="D664" s="7" t="s">
        <v>217</v>
      </c>
      <c r="E664" s="7" t="s">
        <v>78</v>
      </c>
      <c r="F664" s="8" t="s">
        <v>87</v>
      </c>
      <c r="G664" s="7" t="s">
        <v>16</v>
      </c>
      <c r="H664" s="9">
        <v>1013.7357</v>
      </c>
      <c r="I664" s="9">
        <v>2.7042999999999999</v>
      </c>
      <c r="J664" s="9">
        <v>2.6798999999999999</v>
      </c>
      <c r="K664" s="10">
        <v>0.99097733239655361</v>
      </c>
      <c r="L664" s="9">
        <v>33.79</v>
      </c>
      <c r="M664" s="19">
        <f>H664*INDEX('Pliegos Tarifarios (Quilicura)'!$B:$B,MATCH($B664,'Pliegos Tarifarios (Quilicura)'!$A:$A,0))</f>
        <v>133572.8570391</v>
      </c>
      <c r="N664" s="19">
        <f>I664*INDEX('Pliegos Tarifarios (Quilicura)'!$C:$C,MATCH($B664,'Pliegos Tarifarios (Quilicura)'!$A:$A,0))</f>
        <v>9393.8295552</v>
      </c>
      <c r="O664" s="19">
        <f>J664*INDEX('Pliegos Tarifarios (Quilicura)'!$D:$D,MATCH($B664,'Pliegos Tarifarios (Quilicura)'!$A:$A,0))</f>
        <v>38980.7668395</v>
      </c>
      <c r="P664" s="19">
        <f>H664*INDEX('Pliegos Tarifarios (Quilicura)'!$E:$E,MATCH($B664,'Pliegos Tarifarios (Quilicura)'!$A:$A,0))</f>
        <v>13202.893756799998</v>
      </c>
      <c r="Q664" s="19" cm="1">
        <f t="array" ref="Q664">H664*_xlfn.IFS(H664&lt;=350,INDEX('Pliegos Tarifarios (Quilicura)'!$F:$F,MATCH($B664,'Pliegos Tarifarios (Quilicura)'!$A:$A,0)),H664&lt;=500,INDEX('Pliegos Tarifarios (Quilicura)'!$G:$G,MATCH($B664,'Pliegos Tarifarios (Quilicura)'!$A:$A,0)),H664&lt;=1000,INDEX('Pliegos Tarifarios (Quilicura)'!$H:$H,MATCH($B664,'Pliegos Tarifarios (Quilicura)'!$A:$A,0)),H664&lt;=5000,INDEX('Pliegos Tarifarios (Quilicura)'!$I:$I,MATCH($B664,'Pliegos Tarifarios (Quilicura)'!$A:$A,0)),H664&gt;5000,INDEX('Pliegos Tarifarios (Quilicura)'!$J:$J,MATCH($B664,'Pliegos Tarifarios (Quilicura)'!$A:$A,0)))/1.19</f>
        <v>3042.0589787394956</v>
      </c>
      <c r="R664" s="19">
        <f>INDEX('Pliegos Tarifarios (Quilicura)'!$K:$K,MATCH($B664,'Pliegos Tarifarios (Quilicura)'!$A:$A,0))</f>
        <v>729.75599999999997</v>
      </c>
      <c r="S664" s="21">
        <f t="shared" si="33"/>
        <v>198922.16216933948</v>
      </c>
      <c r="T664" s="21">
        <f t="shared" si="34"/>
        <v>37795.210812174504</v>
      </c>
      <c r="U664" s="19">
        <v>0</v>
      </c>
      <c r="V664" s="21">
        <f t="shared" si="35"/>
        <v>236717.372981514</v>
      </c>
    </row>
    <row r="665" spans="1:22" x14ac:dyDescent="0.3">
      <c r="A665" s="7" t="s">
        <v>149</v>
      </c>
      <c r="B665" s="7">
        <v>10</v>
      </c>
      <c r="C665" s="8" t="s">
        <v>186</v>
      </c>
      <c r="D665" s="7" t="s">
        <v>218</v>
      </c>
      <c r="E665" s="7" t="s">
        <v>78</v>
      </c>
      <c r="F665" s="8" t="s">
        <v>89</v>
      </c>
      <c r="G665" s="7" t="s">
        <v>16</v>
      </c>
      <c r="H665" s="9">
        <v>1269.3079</v>
      </c>
      <c r="I665" s="9">
        <v>3.3530000000000002</v>
      </c>
      <c r="J665" s="9">
        <v>3.3530000000000002</v>
      </c>
      <c r="K665" s="10">
        <v>1</v>
      </c>
      <c r="L665" s="9">
        <v>42.31</v>
      </c>
      <c r="M665" s="19">
        <f>H665*INDEX('Pliegos Tarifarios (Quilicura)'!$B:$B,MATCH($B665,'Pliegos Tarifarios (Quilicura)'!$A:$A,0))</f>
        <v>167247.81682770001</v>
      </c>
      <c r="N665" s="19">
        <f>I665*INDEX('Pliegos Tarifarios (Quilicura)'!$C:$C,MATCH($B665,'Pliegos Tarifarios (Quilicura)'!$A:$A,0))</f>
        <v>11647.195392000001</v>
      </c>
      <c r="O665" s="19">
        <f>J665*INDEX('Pliegos Tarifarios (Quilicura)'!$D:$D,MATCH($B665,'Pliegos Tarifarios (Quilicura)'!$A:$A,0))</f>
        <v>48771.413565000003</v>
      </c>
      <c r="P665" s="19">
        <f>H665*INDEX('Pliegos Tarifarios (Quilicura)'!$E:$E,MATCH($B665,'Pliegos Tarifarios (Quilicura)'!$A:$A,0))</f>
        <v>16531.466089599999</v>
      </c>
      <c r="Q665" s="19" cm="1">
        <f t="array" ref="Q665">H665*_xlfn.IFS(H665&lt;=350,INDEX('Pliegos Tarifarios (Quilicura)'!$F:$F,MATCH($B665,'Pliegos Tarifarios (Quilicura)'!$A:$A,0)),H665&lt;=500,INDEX('Pliegos Tarifarios (Quilicura)'!$G:$G,MATCH($B665,'Pliegos Tarifarios (Quilicura)'!$A:$A,0)),H665&lt;=1000,INDEX('Pliegos Tarifarios (Quilicura)'!$H:$H,MATCH($B665,'Pliegos Tarifarios (Quilicura)'!$A:$A,0)),H665&lt;=5000,INDEX('Pliegos Tarifarios (Quilicura)'!$I:$I,MATCH($B665,'Pliegos Tarifarios (Quilicura)'!$A:$A,0)),H665&gt;5000,INDEX('Pliegos Tarifarios (Quilicura)'!$J:$J,MATCH($B665,'Pliegos Tarifarios (Quilicura)'!$A:$A,0)))/1.19</f>
        <v>3808.9903452941176</v>
      </c>
      <c r="R665" s="19">
        <f>INDEX('Pliegos Tarifarios (Quilicura)'!$K:$K,MATCH($B665,'Pliegos Tarifarios (Quilicura)'!$A:$A,0))</f>
        <v>729.75599999999997</v>
      </c>
      <c r="S665" s="21">
        <f t="shared" si="33"/>
        <v>248736.63821959411</v>
      </c>
      <c r="T665" s="21">
        <f t="shared" si="34"/>
        <v>47259.961261722885</v>
      </c>
      <c r="U665" s="19">
        <v>0</v>
      </c>
      <c r="V665" s="21">
        <f t="shared" si="35"/>
        <v>295996.59948131698</v>
      </c>
    </row>
    <row r="666" spans="1:22" x14ac:dyDescent="0.3">
      <c r="A666" s="7" t="s">
        <v>149</v>
      </c>
      <c r="B666" s="7">
        <v>10</v>
      </c>
      <c r="C666" s="8" t="s">
        <v>186</v>
      </c>
      <c r="D666" s="7" t="s">
        <v>219</v>
      </c>
      <c r="E666" s="7" t="s">
        <v>91</v>
      </c>
      <c r="F666" s="8" t="s">
        <v>92</v>
      </c>
      <c r="G666" s="7" t="s">
        <v>16</v>
      </c>
      <c r="H666" s="9">
        <v>1012.7496</v>
      </c>
      <c r="I666" s="9">
        <v>2.6909000000000001</v>
      </c>
      <c r="J666" s="9">
        <v>2.6878000000000002</v>
      </c>
      <c r="K666" s="10">
        <v>0.99884796908097662</v>
      </c>
      <c r="L666" s="9">
        <v>33.76</v>
      </c>
      <c r="M666" s="19">
        <f>H666*INDEX('Pliegos Tarifarios (Quilicura)'!$B:$B,MATCH($B666,'Pliegos Tarifarios (Quilicura)'!$A:$A,0))</f>
        <v>133442.9255448</v>
      </c>
      <c r="N666" s="19">
        <f>I666*INDEX('Pliegos Tarifarios (Quilicura)'!$C:$C,MATCH($B666,'Pliegos Tarifarios (Quilicura)'!$A:$A,0))</f>
        <v>9347.2824576000003</v>
      </c>
      <c r="O666" s="19">
        <f>J666*INDEX('Pliegos Tarifarios (Quilicura)'!$D:$D,MATCH($B666,'Pliegos Tarifarios (Quilicura)'!$A:$A,0))</f>
        <v>39095.677119</v>
      </c>
      <c r="P666" s="19">
        <f>H666*INDEX('Pliegos Tarifarios (Quilicura)'!$E:$E,MATCH($B666,'Pliegos Tarifarios (Quilicura)'!$A:$A,0))</f>
        <v>13190.050790399999</v>
      </c>
      <c r="Q666" s="19" cm="1">
        <f t="array" ref="Q666">H666*_xlfn.IFS(H666&lt;=350,INDEX('Pliegos Tarifarios (Quilicura)'!$F:$F,MATCH($B666,'Pliegos Tarifarios (Quilicura)'!$A:$A,0)),H666&lt;=500,INDEX('Pliegos Tarifarios (Quilicura)'!$G:$G,MATCH($B666,'Pliegos Tarifarios (Quilicura)'!$A:$A,0)),H666&lt;=1000,INDEX('Pliegos Tarifarios (Quilicura)'!$H:$H,MATCH($B666,'Pliegos Tarifarios (Quilicura)'!$A:$A,0)),H666&lt;=5000,INDEX('Pliegos Tarifarios (Quilicura)'!$I:$I,MATCH($B666,'Pliegos Tarifarios (Quilicura)'!$A:$A,0)),H666&gt;5000,INDEX('Pliegos Tarifarios (Quilicura)'!$J:$J,MATCH($B666,'Pliegos Tarifarios (Quilicura)'!$A:$A,0)))/1.19</f>
        <v>3039.0998500840337</v>
      </c>
      <c r="R666" s="19">
        <f>INDEX('Pliegos Tarifarios (Quilicura)'!$K:$K,MATCH($B666,'Pliegos Tarifarios (Quilicura)'!$A:$A,0))</f>
        <v>729.75599999999997</v>
      </c>
      <c r="S666" s="21">
        <f t="shared" si="33"/>
        <v>198844.79176188403</v>
      </c>
      <c r="T666" s="21">
        <f t="shared" si="34"/>
        <v>37780.510434757969</v>
      </c>
      <c r="U666" s="19">
        <v>0</v>
      </c>
      <c r="V666" s="21">
        <f t="shared" si="35"/>
        <v>236625.30219664201</v>
      </c>
    </row>
    <row r="667" spans="1:22" x14ac:dyDescent="0.3">
      <c r="A667" s="7" t="s">
        <v>149</v>
      </c>
      <c r="B667" s="7">
        <v>10</v>
      </c>
      <c r="C667" s="8" t="s">
        <v>186</v>
      </c>
      <c r="D667" s="7" t="s">
        <v>220</v>
      </c>
      <c r="E667" s="7" t="s">
        <v>94</v>
      </c>
      <c r="F667" s="8" t="s">
        <v>95</v>
      </c>
      <c r="G667" s="7" t="s">
        <v>16</v>
      </c>
      <c r="H667" s="9">
        <v>760.80859999999996</v>
      </c>
      <c r="I667" s="9">
        <v>2.0125999999999999</v>
      </c>
      <c r="J667" s="9">
        <v>2.0125999999999999</v>
      </c>
      <c r="K667" s="10">
        <v>1</v>
      </c>
      <c r="L667" s="9">
        <v>25.36</v>
      </c>
      <c r="M667" s="19">
        <f>H667*INDEX('Pliegos Tarifarios (Quilicura)'!$B:$B,MATCH($B667,'Pliegos Tarifarios (Quilicura)'!$A:$A,0))</f>
        <v>100246.42356179999</v>
      </c>
      <c r="N667" s="19">
        <f>I667*INDEX('Pliegos Tarifarios (Quilicura)'!$C:$C,MATCH($B667,'Pliegos Tarifarios (Quilicura)'!$A:$A,0))</f>
        <v>6991.0961664000006</v>
      </c>
      <c r="O667" s="19">
        <f>J667*INDEX('Pliegos Tarifarios (Quilicura)'!$D:$D,MATCH($B667,'Pliegos Tarifarios (Quilicura)'!$A:$A,0))</f>
        <v>29274.484622999997</v>
      </c>
      <c r="P667" s="19">
        <f>H667*INDEX('Pliegos Tarifarios (Quilicura)'!$E:$E,MATCH($B667,'Pliegos Tarifarios (Quilicura)'!$A:$A,0))</f>
        <v>9908.7712063999988</v>
      </c>
      <c r="Q667" s="19" cm="1">
        <f t="array" ref="Q667">H667*_xlfn.IFS(H667&lt;=350,INDEX('Pliegos Tarifarios (Quilicura)'!$F:$F,MATCH($B667,'Pliegos Tarifarios (Quilicura)'!$A:$A,0)),H667&lt;=500,INDEX('Pliegos Tarifarios (Quilicura)'!$G:$G,MATCH($B667,'Pliegos Tarifarios (Quilicura)'!$A:$A,0)),H667&lt;=1000,INDEX('Pliegos Tarifarios (Quilicura)'!$H:$H,MATCH($B667,'Pliegos Tarifarios (Quilicura)'!$A:$A,0)),H667&lt;=5000,INDEX('Pliegos Tarifarios (Quilicura)'!$I:$I,MATCH($B667,'Pliegos Tarifarios (Quilicura)'!$A:$A,0)),H667&gt;5000,INDEX('Pliegos Tarifarios (Quilicura)'!$J:$J,MATCH($B667,'Pliegos Tarifarios (Quilicura)'!$A:$A,0)))/1.19</f>
        <v>1784.3838677310928</v>
      </c>
      <c r="R667" s="19">
        <f>INDEX('Pliegos Tarifarios (Quilicura)'!$K:$K,MATCH($B667,'Pliegos Tarifarios (Quilicura)'!$A:$A,0))</f>
        <v>729.75599999999997</v>
      </c>
      <c r="S667" s="21">
        <f t="shared" si="33"/>
        <v>148934.9154253311</v>
      </c>
      <c r="T667" s="21">
        <f t="shared" si="34"/>
        <v>28297.63393081291</v>
      </c>
      <c r="U667" s="19">
        <v>0</v>
      </c>
      <c r="V667" s="21">
        <f t="shared" si="35"/>
        <v>177232.54935614401</v>
      </c>
    </row>
    <row r="668" spans="1:22" x14ac:dyDescent="0.3">
      <c r="A668" s="7" t="s">
        <v>149</v>
      </c>
      <c r="B668" s="7">
        <v>10</v>
      </c>
      <c r="C668" s="8" t="s">
        <v>186</v>
      </c>
      <c r="D668" s="7" t="s">
        <v>221</v>
      </c>
      <c r="E668" s="7" t="s">
        <v>91</v>
      </c>
      <c r="F668" s="8" t="s">
        <v>97</v>
      </c>
      <c r="G668" s="7" t="s">
        <v>16</v>
      </c>
      <c r="H668" s="9">
        <v>761.81790000000001</v>
      </c>
      <c r="I668" s="9">
        <v>2.0369000000000002</v>
      </c>
      <c r="J668" s="9">
        <v>2.0369000000000002</v>
      </c>
      <c r="K668" s="10">
        <v>1</v>
      </c>
      <c r="L668" s="9">
        <v>25.39</v>
      </c>
      <c r="M668" s="19">
        <f>H668*INDEX('Pliegos Tarifarios (Quilicura)'!$B:$B,MATCH($B668,'Pliegos Tarifarios (Quilicura)'!$A:$A,0))</f>
        <v>100379.41195770001</v>
      </c>
      <c r="N668" s="19">
        <f>I668*INDEX('Pliegos Tarifarios (Quilicura)'!$C:$C,MATCH($B668,'Pliegos Tarifarios (Quilicura)'!$A:$A,0))</f>
        <v>7075.5062016000011</v>
      </c>
      <c r="O668" s="19">
        <f>J668*INDEX('Pliegos Tarifarios (Quilicura)'!$D:$D,MATCH($B668,'Pliegos Tarifarios (Quilicura)'!$A:$A,0))</f>
        <v>29627.942824500002</v>
      </c>
      <c r="P668" s="19">
        <f>H668*INDEX('Pliegos Tarifarios (Quilicura)'!$E:$E,MATCH($B668,'Pliegos Tarifarios (Quilicura)'!$A:$A,0))</f>
        <v>9921.9163295999988</v>
      </c>
      <c r="Q668" s="19" cm="1">
        <f t="array" ref="Q668">H668*_xlfn.IFS(H668&lt;=350,INDEX('Pliegos Tarifarios (Quilicura)'!$F:$F,MATCH($B668,'Pliegos Tarifarios (Quilicura)'!$A:$A,0)),H668&lt;=500,INDEX('Pliegos Tarifarios (Quilicura)'!$G:$G,MATCH($B668,'Pliegos Tarifarios (Quilicura)'!$A:$A,0)),H668&lt;=1000,INDEX('Pliegos Tarifarios (Quilicura)'!$H:$H,MATCH($B668,'Pliegos Tarifarios (Quilicura)'!$A:$A,0)),H668&lt;=5000,INDEX('Pliegos Tarifarios (Quilicura)'!$I:$I,MATCH($B668,'Pliegos Tarifarios (Quilicura)'!$A:$A,0)),H668&gt;5000,INDEX('Pliegos Tarifarios (Quilicura)'!$J:$J,MATCH($B668,'Pliegos Tarifarios (Quilicura)'!$A:$A,0)))/1.19</f>
        <v>1786.7510578991601</v>
      </c>
      <c r="R668" s="19">
        <f>INDEX('Pliegos Tarifarios (Quilicura)'!$K:$K,MATCH($B668,'Pliegos Tarifarios (Quilicura)'!$A:$A,0))</f>
        <v>729.75599999999997</v>
      </c>
      <c r="S668" s="21">
        <f t="shared" si="33"/>
        <v>149521.28437129917</v>
      </c>
      <c r="T668" s="21">
        <f t="shared" si="34"/>
        <v>28409.044030546844</v>
      </c>
      <c r="U668" s="19">
        <v>0</v>
      </c>
      <c r="V668" s="21">
        <f t="shared" si="35"/>
        <v>177930.32840184603</v>
      </c>
    </row>
    <row r="669" spans="1:22" x14ac:dyDescent="0.3">
      <c r="A669" s="7" t="s">
        <v>149</v>
      </c>
      <c r="B669" s="7">
        <v>10</v>
      </c>
      <c r="C669" s="8" t="s">
        <v>186</v>
      </c>
      <c r="D669" s="7" t="s">
        <v>222</v>
      </c>
      <c r="E669" s="7" t="s">
        <v>99</v>
      </c>
      <c r="F669" s="8" t="s">
        <v>100</v>
      </c>
      <c r="G669" s="7" t="s">
        <v>16</v>
      </c>
      <c r="H669" s="9">
        <v>3799.0277999999998</v>
      </c>
      <c r="I669" s="9">
        <v>9.9621999999999993</v>
      </c>
      <c r="J669" s="9">
        <v>9.9410000000000007</v>
      </c>
      <c r="K669" s="10">
        <v>0.99787195599365619</v>
      </c>
      <c r="L669" s="9">
        <v>126.63</v>
      </c>
      <c r="M669" s="19">
        <f>H669*INDEX('Pliegos Tarifarios (Quilicura)'!$B:$B,MATCH($B669,'Pliegos Tarifarios (Quilicura)'!$A:$A,0))</f>
        <v>500571.30001140002</v>
      </c>
      <c r="N669" s="19">
        <f>I669*INDEX('Pliegos Tarifarios (Quilicura)'!$C:$C,MATCH($B669,'Pliegos Tarifarios (Quilicura)'!$A:$A,0))</f>
        <v>34605.3355008</v>
      </c>
      <c r="O669" s="19">
        <f>J669*INDEX('Pliegos Tarifarios (Quilicura)'!$D:$D,MATCH($B669,'Pliegos Tarifarios (Quilicura)'!$A:$A,0))</f>
        <v>144597.85930500002</v>
      </c>
      <c r="P669" s="19">
        <f>H669*INDEX('Pliegos Tarifarios (Quilicura)'!$E:$E,MATCH($B669,'Pliegos Tarifarios (Quilicura)'!$A:$A,0))</f>
        <v>49478.538067199996</v>
      </c>
      <c r="Q669" s="19" cm="1">
        <f t="array" ref="Q669">H669*_xlfn.IFS(H669&lt;=350,INDEX('Pliegos Tarifarios (Quilicura)'!$F:$F,MATCH($B669,'Pliegos Tarifarios (Quilicura)'!$A:$A,0)),H669&lt;=500,INDEX('Pliegos Tarifarios (Quilicura)'!$G:$G,MATCH($B669,'Pliegos Tarifarios (Quilicura)'!$A:$A,0)),H669&lt;=1000,INDEX('Pliegos Tarifarios (Quilicura)'!$H:$H,MATCH($B669,'Pliegos Tarifarios (Quilicura)'!$A:$A,0)),H669&lt;=5000,INDEX('Pliegos Tarifarios (Quilicura)'!$I:$I,MATCH($B669,'Pliegos Tarifarios (Quilicura)'!$A:$A,0)),H669&gt;5000,INDEX('Pliegos Tarifarios (Quilicura)'!$J:$J,MATCH($B669,'Pliegos Tarifarios (Quilicura)'!$A:$A,0)))/1.19</f>
        <v>11400.275860336133</v>
      </c>
      <c r="R669" s="19">
        <f>INDEX('Pliegos Tarifarios (Quilicura)'!$K:$K,MATCH($B669,'Pliegos Tarifarios (Quilicura)'!$A:$A,0))</f>
        <v>729.75599999999997</v>
      </c>
      <c r="S669" s="21">
        <f t="shared" si="33"/>
        <v>741383.0647447363</v>
      </c>
      <c r="T669" s="21">
        <f t="shared" si="34"/>
        <v>140862.78230149989</v>
      </c>
      <c r="U669" s="19">
        <v>0</v>
      </c>
      <c r="V669" s="21">
        <f t="shared" si="35"/>
        <v>882245.84704623616</v>
      </c>
    </row>
    <row r="670" spans="1:22" x14ac:dyDescent="0.3">
      <c r="A670" s="7" t="s">
        <v>149</v>
      </c>
      <c r="B670" s="7">
        <v>10</v>
      </c>
      <c r="C670" s="8" t="s">
        <v>186</v>
      </c>
      <c r="D670" s="7" t="s">
        <v>223</v>
      </c>
      <c r="E670" s="7" t="s">
        <v>102</v>
      </c>
      <c r="F670" s="8" t="s">
        <v>103</v>
      </c>
      <c r="G670" s="7" t="s">
        <v>16</v>
      </c>
      <c r="H670" s="9">
        <v>3038.9884000000002</v>
      </c>
      <c r="I670" s="9">
        <v>8.1323000000000008</v>
      </c>
      <c r="J670" s="9">
        <v>8.0367999999999995</v>
      </c>
      <c r="K670" s="10">
        <v>0.98825670474527483</v>
      </c>
      <c r="L670" s="9">
        <v>101.3</v>
      </c>
      <c r="M670" s="19">
        <f>H670*INDEX('Pliegos Tarifarios (Quilicura)'!$B:$B,MATCH($B670,'Pliegos Tarifarios (Quilicura)'!$A:$A,0))</f>
        <v>400426.22854920005</v>
      </c>
      <c r="N670" s="19">
        <f>I670*INDEX('Pliegos Tarifarios (Quilicura)'!$C:$C,MATCH($B670,'Pliegos Tarifarios (Quilicura)'!$A:$A,0))</f>
        <v>28248.877747200004</v>
      </c>
      <c r="O670" s="19">
        <f>J670*INDEX('Pliegos Tarifarios (Quilicura)'!$D:$D,MATCH($B670,'Pliegos Tarifarios (Quilicura)'!$A:$A,0))</f>
        <v>116900.11826399999</v>
      </c>
      <c r="P670" s="19">
        <f>H670*INDEX('Pliegos Tarifarios (Quilicura)'!$E:$E,MATCH($B670,'Pliegos Tarifarios (Quilicura)'!$A:$A,0))</f>
        <v>39579.784921600003</v>
      </c>
      <c r="Q670" s="19" cm="1">
        <f t="array" ref="Q670">H670*_xlfn.IFS(H670&lt;=350,INDEX('Pliegos Tarifarios (Quilicura)'!$F:$F,MATCH($B670,'Pliegos Tarifarios (Quilicura)'!$A:$A,0)),H670&lt;=500,INDEX('Pliegos Tarifarios (Quilicura)'!$G:$G,MATCH($B670,'Pliegos Tarifarios (Quilicura)'!$A:$A,0)),H670&lt;=1000,INDEX('Pliegos Tarifarios (Quilicura)'!$H:$H,MATCH($B670,'Pliegos Tarifarios (Quilicura)'!$A:$A,0)),H670&lt;=5000,INDEX('Pliegos Tarifarios (Quilicura)'!$I:$I,MATCH($B670,'Pliegos Tarifarios (Quilicura)'!$A:$A,0)),H670&gt;5000,INDEX('Pliegos Tarifarios (Quilicura)'!$J:$J,MATCH($B670,'Pliegos Tarifarios (Quilicura)'!$A:$A,0)))/1.19</f>
        <v>9119.5189717647063</v>
      </c>
      <c r="R670" s="19">
        <f>INDEX('Pliegos Tarifarios (Quilicura)'!$K:$K,MATCH($B670,'Pliegos Tarifarios (Quilicura)'!$A:$A,0))</f>
        <v>729.75599999999997</v>
      </c>
      <c r="S670" s="21">
        <f t="shared" si="33"/>
        <v>595004.28445376479</v>
      </c>
      <c r="T670" s="21">
        <f t="shared" si="34"/>
        <v>113050.81404621531</v>
      </c>
      <c r="U670" s="19">
        <v>0</v>
      </c>
      <c r="V670" s="21">
        <f t="shared" si="35"/>
        <v>708055.09849998006</v>
      </c>
    </row>
    <row r="671" spans="1:22" x14ac:dyDescent="0.3">
      <c r="A671" s="7" t="s">
        <v>149</v>
      </c>
      <c r="B671" s="7">
        <v>10</v>
      </c>
      <c r="C671" s="8" t="s">
        <v>186</v>
      </c>
      <c r="D671" s="7" t="s">
        <v>224</v>
      </c>
      <c r="E671" s="7" t="s">
        <v>105</v>
      </c>
      <c r="F671" s="8" t="s">
        <v>106</v>
      </c>
      <c r="G671" s="7" t="s">
        <v>30</v>
      </c>
      <c r="H671" s="9">
        <v>1015.707</v>
      </c>
      <c r="I671" s="9">
        <v>2.7597</v>
      </c>
      <c r="J671" s="9">
        <v>2.6585999999999999</v>
      </c>
      <c r="K671" s="10">
        <v>0.96336558321556687</v>
      </c>
      <c r="L671" s="9">
        <v>33.86</v>
      </c>
      <c r="M671" s="19">
        <f>H671*INDEX('Pliegos Tarifarios (Quilicura)'!$B:$B,MATCH($B671,'Pliegos Tarifarios (Quilicura)'!$A:$A,0))</f>
        <v>133832.60144100001</v>
      </c>
      <c r="N671" s="19">
        <f>I671*INDEX('Pliegos Tarifarios (Quilicura)'!$C:$C,MATCH($B671,'Pliegos Tarifarios (Quilicura)'!$A:$A,0))</f>
        <v>9586.2705408000002</v>
      </c>
      <c r="O671" s="19">
        <f>J671*INDEX('Pliegos Tarifarios (Quilicura)'!$D:$D,MATCH($B671,'Pliegos Tarifarios (Quilicura)'!$A:$A,0))</f>
        <v>38670.945453</v>
      </c>
      <c r="P671" s="19">
        <f>H671*INDEX('Pliegos Tarifarios (Quilicura)'!$E:$E,MATCH($B671,'Pliegos Tarifarios (Quilicura)'!$A:$A,0))</f>
        <v>13228.567967999999</v>
      </c>
      <c r="Q671" s="19" cm="1">
        <f t="array" ref="Q671">H671*_xlfn.IFS(H671&lt;=350,INDEX('Pliegos Tarifarios (Quilicura)'!$F:$F,MATCH($B671,'Pliegos Tarifarios (Quilicura)'!$A:$A,0)),H671&lt;=500,INDEX('Pliegos Tarifarios (Quilicura)'!$G:$G,MATCH($B671,'Pliegos Tarifarios (Quilicura)'!$A:$A,0)),H671&lt;=1000,INDEX('Pliegos Tarifarios (Quilicura)'!$H:$H,MATCH($B671,'Pliegos Tarifarios (Quilicura)'!$A:$A,0)),H671&lt;=5000,INDEX('Pliegos Tarifarios (Quilicura)'!$I:$I,MATCH($B671,'Pliegos Tarifarios (Quilicura)'!$A:$A,0)),H671&gt;5000,INDEX('Pliegos Tarifarios (Quilicura)'!$J:$J,MATCH($B671,'Pliegos Tarifarios (Quilicura)'!$A:$A,0)))/1.19</f>
        <v>3047.9745352941177</v>
      </c>
      <c r="R671" s="19">
        <f>INDEX('Pliegos Tarifarios (Quilicura)'!$K:$K,MATCH($B671,'Pliegos Tarifarios (Quilicura)'!$A:$A,0))</f>
        <v>729.75599999999997</v>
      </c>
      <c r="S671" s="21">
        <f t="shared" si="33"/>
        <v>199096.1159380941</v>
      </c>
      <c r="T671" s="21">
        <f t="shared" si="34"/>
        <v>37828.262028237878</v>
      </c>
      <c r="U671" s="19">
        <v>0</v>
      </c>
      <c r="V671" s="21">
        <f t="shared" si="35"/>
        <v>236924.37796633196</v>
      </c>
    </row>
    <row r="672" spans="1:22" x14ac:dyDescent="0.3">
      <c r="A672" s="7" t="s">
        <v>149</v>
      </c>
      <c r="B672" s="7">
        <v>10</v>
      </c>
      <c r="C672" s="8" t="s">
        <v>186</v>
      </c>
      <c r="D672" s="7" t="s">
        <v>225</v>
      </c>
      <c r="E672" s="7" t="s">
        <v>105</v>
      </c>
      <c r="F672" s="8" t="s">
        <v>108</v>
      </c>
      <c r="G672" s="7" t="s">
        <v>30</v>
      </c>
      <c r="H672" s="9">
        <v>1014.4612</v>
      </c>
      <c r="I672" s="9">
        <v>2.7351000000000001</v>
      </c>
      <c r="J672" s="9">
        <v>2.7073999999999998</v>
      </c>
      <c r="K672" s="10">
        <v>0.98987239954663442</v>
      </c>
      <c r="L672" s="9">
        <v>33.82</v>
      </c>
      <c r="M672" s="19">
        <f>H672*INDEX('Pliegos Tarifarios (Quilicura)'!$B:$B,MATCH($B672,'Pliegos Tarifarios (Quilicura)'!$A:$A,0))</f>
        <v>133668.4510956</v>
      </c>
      <c r="N672" s="19">
        <f>I672*INDEX('Pliegos Tarifarios (Quilicura)'!$C:$C,MATCH($B672,'Pliegos Tarifarios (Quilicura)'!$A:$A,0))</f>
        <v>9500.8184064000015</v>
      </c>
      <c r="O672" s="19">
        <f>J672*INDEX('Pliegos Tarifarios (Quilicura)'!$D:$D,MATCH($B672,'Pliegos Tarifarios (Quilicura)'!$A:$A,0))</f>
        <v>39380.770976999993</v>
      </c>
      <c r="P672" s="19">
        <f>H672*INDEX('Pliegos Tarifarios (Quilicura)'!$E:$E,MATCH($B672,'Pliegos Tarifarios (Quilicura)'!$A:$A,0))</f>
        <v>13212.342668799998</v>
      </c>
      <c r="Q672" s="19" cm="1">
        <f t="array" ref="Q672">H672*_xlfn.IFS(H672&lt;=350,INDEX('Pliegos Tarifarios (Quilicura)'!$F:$F,MATCH($B672,'Pliegos Tarifarios (Quilicura)'!$A:$A,0)),H672&lt;=500,INDEX('Pliegos Tarifarios (Quilicura)'!$G:$G,MATCH($B672,'Pliegos Tarifarios (Quilicura)'!$A:$A,0)),H672&lt;=1000,INDEX('Pliegos Tarifarios (Quilicura)'!$H:$H,MATCH($B672,'Pliegos Tarifarios (Quilicura)'!$A:$A,0)),H672&lt;=5000,INDEX('Pliegos Tarifarios (Quilicura)'!$I:$I,MATCH($B672,'Pliegos Tarifarios (Quilicura)'!$A:$A,0)),H672&gt;5000,INDEX('Pliegos Tarifarios (Quilicura)'!$J:$J,MATCH($B672,'Pliegos Tarifarios (Quilicura)'!$A:$A,0)))/1.19</f>
        <v>3044.2360884033615</v>
      </c>
      <c r="R672" s="19">
        <f>INDEX('Pliegos Tarifarios (Quilicura)'!$K:$K,MATCH($B672,'Pliegos Tarifarios (Quilicura)'!$A:$A,0))</f>
        <v>729.75599999999997</v>
      </c>
      <c r="S672" s="21">
        <f t="shared" si="33"/>
        <v>199536.37523620337</v>
      </c>
      <c r="T672" s="21">
        <f t="shared" si="34"/>
        <v>37911.911294878642</v>
      </c>
      <c r="U672" s="19">
        <v>0</v>
      </c>
      <c r="V672" s="21">
        <f t="shared" si="35"/>
        <v>237448.28653108201</v>
      </c>
    </row>
    <row r="673" spans="1:22" x14ac:dyDescent="0.3">
      <c r="A673" s="7" t="s">
        <v>149</v>
      </c>
      <c r="B673" s="7">
        <v>10</v>
      </c>
      <c r="C673" s="8" t="s">
        <v>186</v>
      </c>
      <c r="D673" s="7" t="s">
        <v>226</v>
      </c>
      <c r="E673" s="7" t="s">
        <v>110</v>
      </c>
      <c r="F673" s="8" t="s">
        <v>111</v>
      </c>
      <c r="G673" s="7" t="s">
        <v>30</v>
      </c>
      <c r="H673" s="9">
        <v>507.93759999999997</v>
      </c>
      <c r="I673" s="9">
        <v>1.373</v>
      </c>
      <c r="J673" s="9">
        <v>1.373</v>
      </c>
      <c r="K673" s="10">
        <v>1</v>
      </c>
      <c r="L673" s="9">
        <v>16.93</v>
      </c>
      <c r="M673" s="19">
        <f>H673*INDEX('Pliegos Tarifarios (Quilicura)'!$B:$B,MATCH($B673,'Pliegos Tarifarios (Quilicura)'!$A:$A,0))</f>
        <v>66927.3819888</v>
      </c>
      <c r="N673" s="19">
        <f>I673*INDEX('Pliegos Tarifarios (Quilicura)'!$C:$C,MATCH($B673,'Pliegos Tarifarios (Quilicura)'!$A:$A,0))</f>
        <v>4769.3406720000003</v>
      </c>
      <c r="O673" s="19">
        <f>J673*INDEX('Pliegos Tarifarios (Quilicura)'!$D:$D,MATCH($B673,'Pliegos Tarifarios (Quilicura)'!$A:$A,0))</f>
        <v>19971.115665000001</v>
      </c>
      <c r="P673" s="19">
        <f>H673*INDEX('Pliegos Tarifarios (Quilicura)'!$E:$E,MATCH($B673,'Pliegos Tarifarios (Quilicura)'!$A:$A,0))</f>
        <v>6615.3793023999988</v>
      </c>
      <c r="Q673" s="19" cm="1">
        <f t="array" ref="Q673">H673*_xlfn.IFS(H673&lt;=350,INDEX('Pliegos Tarifarios (Quilicura)'!$F:$F,MATCH($B673,'Pliegos Tarifarios (Quilicura)'!$A:$A,0)),H673&lt;=500,INDEX('Pliegos Tarifarios (Quilicura)'!$G:$G,MATCH($B673,'Pliegos Tarifarios (Quilicura)'!$A:$A,0)),H673&lt;=1000,INDEX('Pliegos Tarifarios (Quilicura)'!$H:$H,MATCH($B673,'Pliegos Tarifarios (Quilicura)'!$A:$A,0)),H673&lt;=5000,INDEX('Pliegos Tarifarios (Quilicura)'!$I:$I,MATCH($B673,'Pliegos Tarifarios (Quilicura)'!$A:$A,0)),H673&gt;5000,INDEX('Pliegos Tarifarios (Quilicura)'!$J:$J,MATCH($B673,'Pliegos Tarifarios (Quilicura)'!$A:$A,0)))/1.19</f>
        <v>1191.3057492436976</v>
      </c>
      <c r="R673" s="19">
        <f>INDEX('Pliegos Tarifarios (Quilicura)'!$K:$K,MATCH($B673,'Pliegos Tarifarios (Quilicura)'!$A:$A,0))</f>
        <v>729.75599999999997</v>
      </c>
      <c r="S673" s="21">
        <f t="shared" si="33"/>
        <v>100204.2793774437</v>
      </c>
      <c r="T673" s="21">
        <f t="shared" si="34"/>
        <v>19038.813081714303</v>
      </c>
      <c r="U673" s="19">
        <v>0</v>
      </c>
      <c r="V673" s="21">
        <f t="shared" si="35"/>
        <v>119243.09245915801</v>
      </c>
    </row>
    <row r="674" spans="1:22" x14ac:dyDescent="0.3">
      <c r="A674" s="7" t="s">
        <v>149</v>
      </c>
      <c r="B674" s="7">
        <v>10</v>
      </c>
      <c r="C674" s="8" t="s">
        <v>186</v>
      </c>
      <c r="D674" s="7" t="s">
        <v>227</v>
      </c>
      <c r="E674" s="7" t="s">
        <v>113</v>
      </c>
      <c r="F674" s="8" t="s">
        <v>114</v>
      </c>
      <c r="G674" s="7" t="s">
        <v>30</v>
      </c>
      <c r="H674" s="9">
        <v>761.85230000000001</v>
      </c>
      <c r="I674" s="9">
        <v>2.0817999999999999</v>
      </c>
      <c r="J674" s="9">
        <v>2.0817999999999999</v>
      </c>
      <c r="K674" s="10">
        <v>1</v>
      </c>
      <c r="L674" s="9">
        <v>25.4</v>
      </c>
      <c r="M674" s="19">
        <f>H674*INDEX('Pliegos Tarifarios (Quilicura)'!$B:$B,MATCH($B674,'Pliegos Tarifarios (Quilicura)'!$A:$A,0))</f>
        <v>100383.94460490001</v>
      </c>
      <c r="N674" s="19">
        <f>I674*INDEX('Pliegos Tarifarios (Quilicura)'!$C:$C,MATCH($B674,'Pliegos Tarifarios (Quilicura)'!$A:$A,0))</f>
        <v>7231.4737151999998</v>
      </c>
      <c r="O674" s="19">
        <f>J674*INDEX('Pliegos Tarifarios (Quilicura)'!$D:$D,MATCH($B674,'Pliegos Tarifarios (Quilicura)'!$A:$A,0))</f>
        <v>30281.040488999995</v>
      </c>
      <c r="P674" s="19">
        <f>H674*INDEX('Pliegos Tarifarios (Quilicura)'!$E:$E,MATCH($B674,'Pliegos Tarifarios (Quilicura)'!$A:$A,0))</f>
        <v>9922.3643551999994</v>
      </c>
      <c r="Q674" s="19" cm="1">
        <f t="array" ref="Q674">H674*_xlfn.IFS(H674&lt;=350,INDEX('Pliegos Tarifarios (Quilicura)'!$F:$F,MATCH($B674,'Pliegos Tarifarios (Quilicura)'!$A:$A,0)),H674&lt;=500,INDEX('Pliegos Tarifarios (Quilicura)'!$G:$G,MATCH($B674,'Pliegos Tarifarios (Quilicura)'!$A:$A,0)),H674&lt;=1000,INDEX('Pliegos Tarifarios (Quilicura)'!$H:$H,MATCH($B674,'Pliegos Tarifarios (Quilicura)'!$A:$A,0)),H674&lt;=5000,INDEX('Pliegos Tarifarios (Quilicura)'!$I:$I,MATCH($B674,'Pliegos Tarifarios (Quilicura)'!$A:$A,0)),H674&gt;5000,INDEX('Pliegos Tarifarios (Quilicura)'!$J:$J,MATCH($B674,'Pliegos Tarifarios (Quilicura)'!$A:$A,0)))/1.19</f>
        <v>1786.8317389075635</v>
      </c>
      <c r="R674" s="19">
        <f>INDEX('Pliegos Tarifarios (Quilicura)'!$K:$K,MATCH($B674,'Pliegos Tarifarios (Quilicura)'!$A:$A,0))</f>
        <v>729.75599999999997</v>
      </c>
      <c r="S674" s="21">
        <f t="shared" si="33"/>
        <v>150335.41090320755</v>
      </c>
      <c r="T674" s="21">
        <f t="shared" si="34"/>
        <v>28563.728071609436</v>
      </c>
      <c r="U674" s="19">
        <v>0</v>
      </c>
      <c r="V674" s="21">
        <f t="shared" si="35"/>
        <v>178899.13897481697</v>
      </c>
    </row>
    <row r="675" spans="1:22" x14ac:dyDescent="0.3">
      <c r="A675" s="7" t="s">
        <v>149</v>
      </c>
      <c r="B675" s="7">
        <v>10</v>
      </c>
      <c r="C675" s="8" t="s">
        <v>186</v>
      </c>
      <c r="D675" s="7" t="s">
        <v>228</v>
      </c>
      <c r="E675" s="7" t="s">
        <v>116</v>
      </c>
      <c r="F675" s="8" t="s">
        <v>117</v>
      </c>
      <c r="G675" s="7" t="s">
        <v>30</v>
      </c>
      <c r="H675" s="9">
        <v>127.1681</v>
      </c>
      <c r="I675" s="9">
        <v>0.3342</v>
      </c>
      <c r="J675" s="9">
        <v>0.33239999999999997</v>
      </c>
      <c r="K675" s="10">
        <v>0.99461400359066421</v>
      </c>
      <c r="L675" s="9">
        <v>4.24</v>
      </c>
      <c r="M675" s="19">
        <f>H675*INDEX('Pliegos Tarifarios (Quilicura)'!$B:$B,MATCH($B675,'Pliegos Tarifarios (Quilicura)'!$A:$A,0))</f>
        <v>16756.0503603</v>
      </c>
      <c r="N675" s="19">
        <f>I675*INDEX('Pliegos Tarifarios (Quilicura)'!$C:$C,MATCH($B675,'Pliegos Tarifarios (Quilicura)'!$A:$A,0))</f>
        <v>1160.8985088000002</v>
      </c>
      <c r="O675" s="19">
        <f>J675*INDEX('Pliegos Tarifarios (Quilicura)'!$D:$D,MATCH($B675,'Pliegos Tarifarios (Quilicura)'!$A:$A,0))</f>
        <v>4834.9591019999998</v>
      </c>
      <c r="P675" s="19">
        <f>H675*INDEX('Pliegos Tarifarios (Quilicura)'!$E:$E,MATCH($B675,'Pliegos Tarifarios (Quilicura)'!$A:$A,0))</f>
        <v>1656.2373343999998</v>
      </c>
      <c r="Q675" s="19" cm="1">
        <f t="array" ref="Q675">H675*_xlfn.IFS(H675&lt;=350,INDEX('Pliegos Tarifarios (Quilicura)'!$F:$F,MATCH($B675,'Pliegos Tarifarios (Quilicura)'!$A:$A,0)),H675&lt;=500,INDEX('Pliegos Tarifarios (Quilicura)'!$G:$G,MATCH($B675,'Pliegos Tarifarios (Quilicura)'!$A:$A,0)),H675&lt;=1000,INDEX('Pliegos Tarifarios (Quilicura)'!$H:$H,MATCH($B675,'Pliegos Tarifarios (Quilicura)'!$A:$A,0)),H675&lt;=5000,INDEX('Pliegos Tarifarios (Quilicura)'!$I:$I,MATCH($B675,'Pliegos Tarifarios (Quilicura)'!$A:$A,0)),H675&gt;5000,INDEX('Pliegos Tarifarios (Quilicura)'!$J:$J,MATCH($B675,'Pliegos Tarifarios (Quilicura)'!$A:$A,0)))/1.19</f>
        <v>83.781336470588244</v>
      </c>
      <c r="R675" s="19">
        <f>INDEX('Pliegos Tarifarios (Quilicura)'!$K:$K,MATCH($B675,'Pliegos Tarifarios (Quilicura)'!$A:$A,0))</f>
        <v>729.75599999999997</v>
      </c>
      <c r="S675" s="21">
        <f t="shared" si="33"/>
        <v>25221.68264197059</v>
      </c>
      <c r="T675" s="21">
        <f t="shared" si="34"/>
        <v>4792.1197019744122</v>
      </c>
      <c r="U675" s="19">
        <v>0</v>
      </c>
      <c r="V675" s="21">
        <f t="shared" si="35"/>
        <v>30013.802343945004</v>
      </c>
    </row>
    <row r="676" spans="1:22" x14ac:dyDescent="0.3">
      <c r="A676" s="7" t="s">
        <v>149</v>
      </c>
      <c r="B676" s="7">
        <v>10</v>
      </c>
      <c r="C676" s="8" t="s">
        <v>186</v>
      </c>
      <c r="D676" s="7" t="s">
        <v>229</v>
      </c>
      <c r="E676" s="7" t="s">
        <v>116</v>
      </c>
      <c r="F676" s="8" t="s">
        <v>119</v>
      </c>
      <c r="G676" s="7" t="s">
        <v>30</v>
      </c>
      <c r="H676" s="9">
        <v>127.099</v>
      </c>
      <c r="I676" s="9">
        <v>0.33200000000000002</v>
      </c>
      <c r="J676" s="9">
        <v>0.33200000000000002</v>
      </c>
      <c r="K676" s="10">
        <v>1</v>
      </c>
      <c r="L676" s="9">
        <v>4.24</v>
      </c>
      <c r="M676" s="19">
        <f>H676*INDEX('Pliegos Tarifarios (Quilicura)'!$B:$B,MATCH($B676,'Pliegos Tarifarios (Quilicura)'!$A:$A,0))</f>
        <v>16746.945537</v>
      </c>
      <c r="N676" s="19">
        <f>I676*INDEX('Pliegos Tarifarios (Quilicura)'!$C:$C,MATCH($B676,'Pliegos Tarifarios (Quilicura)'!$A:$A,0))</f>
        <v>1153.2564480000001</v>
      </c>
      <c r="O676" s="19">
        <f>J676*INDEX('Pliegos Tarifarios (Quilicura)'!$D:$D,MATCH($B676,'Pliegos Tarifarios (Quilicura)'!$A:$A,0))</f>
        <v>4829.1408600000004</v>
      </c>
      <c r="P676" s="19">
        <f>H676*INDEX('Pliegos Tarifarios (Quilicura)'!$E:$E,MATCH($B676,'Pliegos Tarifarios (Quilicura)'!$A:$A,0))</f>
        <v>1655.3373759999999</v>
      </c>
      <c r="Q676" s="19" cm="1">
        <f t="array" ref="Q676">H676*_xlfn.IFS(H676&lt;=350,INDEX('Pliegos Tarifarios (Quilicura)'!$F:$F,MATCH($B676,'Pliegos Tarifarios (Quilicura)'!$A:$A,0)),H676&lt;=500,INDEX('Pliegos Tarifarios (Quilicura)'!$G:$G,MATCH($B676,'Pliegos Tarifarios (Quilicura)'!$A:$A,0)),H676&lt;=1000,INDEX('Pliegos Tarifarios (Quilicura)'!$H:$H,MATCH($B676,'Pliegos Tarifarios (Quilicura)'!$A:$A,0)),H676&lt;=5000,INDEX('Pliegos Tarifarios (Quilicura)'!$I:$I,MATCH($B676,'Pliegos Tarifarios (Quilicura)'!$A:$A,0)),H676&gt;5000,INDEX('Pliegos Tarifarios (Quilicura)'!$J:$J,MATCH($B676,'Pliegos Tarifarios (Quilicura)'!$A:$A,0)))/1.19</f>
        <v>83.735811764705886</v>
      </c>
      <c r="R676" s="19">
        <f>INDEX('Pliegos Tarifarios (Quilicura)'!$K:$K,MATCH($B676,'Pliegos Tarifarios (Quilicura)'!$A:$A,0))</f>
        <v>729.75599999999997</v>
      </c>
      <c r="S676" s="21">
        <f t="shared" si="33"/>
        <v>25198.172032764705</v>
      </c>
      <c r="T676" s="21">
        <f t="shared" si="34"/>
        <v>4787.652686225294</v>
      </c>
      <c r="U676" s="19">
        <v>0</v>
      </c>
      <c r="V676" s="21">
        <f t="shared" si="35"/>
        <v>29985.824718989999</v>
      </c>
    </row>
    <row r="677" spans="1:22" x14ac:dyDescent="0.3">
      <c r="A677" s="7" t="s">
        <v>149</v>
      </c>
      <c r="B677" s="7">
        <v>10</v>
      </c>
      <c r="C677" s="8" t="s">
        <v>186</v>
      </c>
      <c r="D677" s="7" t="s">
        <v>230</v>
      </c>
      <c r="E677" s="7" t="s">
        <v>121</v>
      </c>
      <c r="F677" s="8" t="s">
        <v>122</v>
      </c>
      <c r="G677" s="7" t="s">
        <v>30</v>
      </c>
      <c r="H677" s="9">
        <v>127.05119999999999</v>
      </c>
      <c r="I677" s="9">
        <v>0.34470000000000001</v>
      </c>
      <c r="J677" s="9">
        <v>0.34470000000000001</v>
      </c>
      <c r="K677" s="10">
        <v>1</v>
      </c>
      <c r="L677" s="9">
        <v>4.24</v>
      </c>
      <c r="M677" s="19">
        <f>H677*INDEX('Pliegos Tarifarios (Quilicura)'!$B:$B,MATCH($B677,'Pliegos Tarifarios (Quilicura)'!$A:$A,0))</f>
        <v>16740.647265600001</v>
      </c>
      <c r="N677" s="19">
        <f>I677*INDEX('Pliegos Tarifarios (Quilicura)'!$C:$C,MATCH($B677,'Pliegos Tarifarios (Quilicura)'!$A:$A,0))</f>
        <v>1197.3719808000001</v>
      </c>
      <c r="O677" s="19">
        <f>J677*INDEX('Pliegos Tarifarios (Quilicura)'!$D:$D,MATCH($B677,'Pliegos Tarifarios (Quilicura)'!$A:$A,0))</f>
        <v>5013.8700435000001</v>
      </c>
      <c r="P677" s="19">
        <f>H677*INDEX('Pliegos Tarifarios (Quilicura)'!$E:$E,MATCH($B677,'Pliegos Tarifarios (Quilicura)'!$A:$A,0))</f>
        <v>1654.7148287999999</v>
      </c>
      <c r="Q677" s="19" cm="1">
        <f t="array" ref="Q677">H677*_xlfn.IFS(H677&lt;=350,INDEX('Pliegos Tarifarios (Quilicura)'!$F:$F,MATCH($B677,'Pliegos Tarifarios (Quilicura)'!$A:$A,0)),H677&lt;=500,INDEX('Pliegos Tarifarios (Quilicura)'!$G:$G,MATCH($B677,'Pliegos Tarifarios (Quilicura)'!$A:$A,0)),H677&lt;=1000,INDEX('Pliegos Tarifarios (Quilicura)'!$H:$H,MATCH($B677,'Pliegos Tarifarios (Quilicura)'!$A:$A,0)),H677&lt;=5000,INDEX('Pliegos Tarifarios (Quilicura)'!$I:$I,MATCH($B677,'Pliegos Tarifarios (Quilicura)'!$A:$A,0)),H677&gt;5000,INDEX('Pliegos Tarifarios (Quilicura)'!$J:$J,MATCH($B677,'Pliegos Tarifarios (Quilicura)'!$A:$A,0)))/1.19</f>
        <v>83.70432000000001</v>
      </c>
      <c r="R677" s="19">
        <f>INDEX('Pliegos Tarifarios (Quilicura)'!$K:$K,MATCH($B677,'Pliegos Tarifarios (Quilicura)'!$A:$A,0))</f>
        <v>729.75599999999997</v>
      </c>
      <c r="S677" s="21">
        <f t="shared" si="33"/>
        <v>25420.064438699999</v>
      </c>
      <c r="T677" s="21">
        <f t="shared" si="34"/>
        <v>4829.8122433529998</v>
      </c>
      <c r="U677" s="19">
        <v>0</v>
      </c>
      <c r="V677" s="21">
        <f t="shared" si="35"/>
        <v>30249.876682053</v>
      </c>
    </row>
    <row r="678" spans="1:22" x14ac:dyDescent="0.3">
      <c r="A678" s="7" t="s">
        <v>149</v>
      </c>
      <c r="B678" s="7">
        <v>10</v>
      </c>
      <c r="C678" s="8" t="s">
        <v>186</v>
      </c>
      <c r="D678" s="7" t="s">
        <v>231</v>
      </c>
      <c r="E678" s="7" t="s">
        <v>121</v>
      </c>
      <c r="F678" s="8" t="s">
        <v>124</v>
      </c>
      <c r="G678" s="7" t="s">
        <v>30</v>
      </c>
      <c r="H678" s="9">
        <v>126.7929</v>
      </c>
      <c r="I678" s="9">
        <v>0.34050000000000002</v>
      </c>
      <c r="J678" s="9">
        <v>0.34050000000000002</v>
      </c>
      <c r="K678" s="10">
        <v>1</v>
      </c>
      <c r="L678" s="9">
        <v>4.2300000000000004</v>
      </c>
      <c r="M678" s="19">
        <f>H678*INDEX('Pliegos Tarifarios (Quilicura)'!$B:$B,MATCH($B678,'Pliegos Tarifarios (Quilicura)'!$A:$A,0))</f>
        <v>16706.612882699999</v>
      </c>
      <c r="N678" s="19">
        <f>I678*INDEX('Pliegos Tarifarios (Quilicura)'!$C:$C,MATCH($B678,'Pliegos Tarifarios (Quilicura)'!$A:$A,0))</f>
        <v>1182.7825920000002</v>
      </c>
      <c r="O678" s="19">
        <f>J678*INDEX('Pliegos Tarifarios (Quilicura)'!$D:$D,MATCH($B678,'Pliegos Tarifarios (Quilicura)'!$A:$A,0))</f>
        <v>4952.7785025000003</v>
      </c>
      <c r="P678" s="19">
        <f>H678*INDEX('Pliegos Tarifarios (Quilicura)'!$E:$E,MATCH($B678,'Pliegos Tarifarios (Quilicura)'!$A:$A,0))</f>
        <v>1651.3507296</v>
      </c>
      <c r="Q678" s="19" cm="1">
        <f t="array" ref="Q678">H678*_xlfn.IFS(H678&lt;=350,INDEX('Pliegos Tarifarios (Quilicura)'!$F:$F,MATCH($B678,'Pliegos Tarifarios (Quilicura)'!$A:$A,0)),H678&lt;=500,INDEX('Pliegos Tarifarios (Quilicura)'!$G:$G,MATCH($B678,'Pliegos Tarifarios (Quilicura)'!$A:$A,0)),H678&lt;=1000,INDEX('Pliegos Tarifarios (Quilicura)'!$H:$H,MATCH($B678,'Pliegos Tarifarios (Quilicura)'!$A:$A,0)),H678&lt;=5000,INDEX('Pliegos Tarifarios (Quilicura)'!$I:$I,MATCH($B678,'Pliegos Tarifarios (Quilicura)'!$A:$A,0)),H678&gt;5000,INDEX('Pliegos Tarifarios (Quilicura)'!$J:$J,MATCH($B678,'Pliegos Tarifarios (Quilicura)'!$A:$A,0)))/1.19</f>
        <v>83.534145882352945</v>
      </c>
      <c r="R678" s="19">
        <f>INDEX('Pliegos Tarifarios (Quilicura)'!$K:$K,MATCH($B678,'Pliegos Tarifarios (Quilicura)'!$A:$A,0))</f>
        <v>729.75599999999997</v>
      </c>
      <c r="S678" s="21">
        <f t="shared" si="33"/>
        <v>25306.814852682353</v>
      </c>
      <c r="T678" s="21">
        <f t="shared" si="34"/>
        <v>4808.2948220096469</v>
      </c>
      <c r="U678" s="19">
        <v>0</v>
      </c>
      <c r="V678" s="21">
        <f t="shared" si="35"/>
        <v>30115.109674692001</v>
      </c>
    </row>
    <row r="679" spans="1:22" x14ac:dyDescent="0.3">
      <c r="A679" s="7" t="s">
        <v>149</v>
      </c>
      <c r="B679" s="7">
        <v>10</v>
      </c>
      <c r="C679" s="8" t="s">
        <v>186</v>
      </c>
      <c r="D679" s="7" t="s">
        <v>232</v>
      </c>
      <c r="E679" s="7" t="s">
        <v>121</v>
      </c>
      <c r="F679" s="8" t="s">
        <v>126</v>
      </c>
      <c r="G679" s="7" t="s">
        <v>30</v>
      </c>
      <c r="H679" s="9">
        <v>127.11669999999999</v>
      </c>
      <c r="I679" s="9">
        <v>0.33510000000000001</v>
      </c>
      <c r="J679" s="9">
        <v>0.32979999999999998</v>
      </c>
      <c r="K679" s="10">
        <v>0.98418382572366447</v>
      </c>
      <c r="L679" s="9">
        <v>4.24</v>
      </c>
      <c r="M679" s="19">
        <f>H679*INDEX('Pliegos Tarifarios (Quilicura)'!$B:$B,MATCH($B679,'Pliegos Tarifarios (Quilicura)'!$A:$A,0))</f>
        <v>16749.277742099999</v>
      </c>
      <c r="N679" s="19">
        <f>I679*INDEX('Pliegos Tarifarios (Quilicura)'!$C:$C,MATCH($B679,'Pliegos Tarifarios (Quilicura)'!$A:$A,0))</f>
        <v>1164.0248064000002</v>
      </c>
      <c r="O679" s="19">
        <f>J679*INDEX('Pliegos Tarifarios (Quilicura)'!$D:$D,MATCH($B679,'Pliegos Tarifarios (Quilicura)'!$A:$A,0))</f>
        <v>4797.1405289999993</v>
      </c>
      <c r="P679" s="19">
        <f>H679*INDEX('Pliegos Tarifarios (Quilicura)'!$E:$E,MATCH($B679,'Pliegos Tarifarios (Quilicura)'!$A:$A,0))</f>
        <v>1655.5679007999997</v>
      </c>
      <c r="Q679" s="19" cm="1">
        <f t="array" ref="Q679">H679*_xlfn.IFS(H679&lt;=350,INDEX('Pliegos Tarifarios (Quilicura)'!$F:$F,MATCH($B679,'Pliegos Tarifarios (Quilicura)'!$A:$A,0)),H679&lt;=500,INDEX('Pliegos Tarifarios (Quilicura)'!$G:$G,MATCH($B679,'Pliegos Tarifarios (Quilicura)'!$A:$A,0)),H679&lt;=1000,INDEX('Pliegos Tarifarios (Quilicura)'!$H:$H,MATCH($B679,'Pliegos Tarifarios (Quilicura)'!$A:$A,0)),H679&lt;=5000,INDEX('Pliegos Tarifarios (Quilicura)'!$I:$I,MATCH($B679,'Pliegos Tarifarios (Quilicura)'!$A:$A,0)),H679&gt;5000,INDEX('Pliegos Tarifarios (Quilicura)'!$J:$J,MATCH($B679,'Pliegos Tarifarios (Quilicura)'!$A:$A,0)))/1.19</f>
        <v>83.747472941176468</v>
      </c>
      <c r="R679" s="19">
        <f>INDEX('Pliegos Tarifarios (Quilicura)'!$K:$K,MATCH($B679,'Pliegos Tarifarios (Quilicura)'!$A:$A,0))</f>
        <v>729.75599999999997</v>
      </c>
      <c r="S679" s="21">
        <f t="shared" si="33"/>
        <v>25179.514451241179</v>
      </c>
      <c r="T679" s="21">
        <f t="shared" si="34"/>
        <v>4784.1077457358242</v>
      </c>
      <c r="U679" s="19">
        <v>0</v>
      </c>
      <c r="V679" s="21">
        <f t="shared" si="35"/>
        <v>29963.622196977005</v>
      </c>
    </row>
    <row r="680" spans="1:22" x14ac:dyDescent="0.3">
      <c r="A680" s="7" t="s">
        <v>149</v>
      </c>
      <c r="B680" s="7">
        <v>10</v>
      </c>
      <c r="C680" s="8" t="s">
        <v>186</v>
      </c>
      <c r="D680" s="7" t="s">
        <v>233</v>
      </c>
      <c r="E680" s="7" t="s">
        <v>121</v>
      </c>
      <c r="F680" s="8" t="s">
        <v>128</v>
      </c>
      <c r="G680" s="7" t="s">
        <v>30</v>
      </c>
      <c r="H680" s="9">
        <v>126.932</v>
      </c>
      <c r="I680" s="9">
        <v>0.33439999999999998</v>
      </c>
      <c r="J680" s="9">
        <v>0.33100000000000002</v>
      </c>
      <c r="K680" s="10">
        <v>0.98983253588516762</v>
      </c>
      <c r="L680" s="9">
        <v>4.2300000000000004</v>
      </c>
      <c r="M680" s="19">
        <f>H680*INDEX('Pliegos Tarifarios (Quilicura)'!$B:$B,MATCH($B680,'Pliegos Tarifarios (Quilicura)'!$A:$A,0))</f>
        <v>16724.941116000002</v>
      </c>
      <c r="N680" s="19">
        <f>I680*INDEX('Pliegos Tarifarios (Quilicura)'!$C:$C,MATCH($B680,'Pliegos Tarifarios (Quilicura)'!$A:$A,0))</f>
        <v>1161.5932416000001</v>
      </c>
      <c r="O680" s="19">
        <f>J680*INDEX('Pliegos Tarifarios (Quilicura)'!$D:$D,MATCH($B680,'Pliegos Tarifarios (Quilicura)'!$A:$A,0))</f>
        <v>4814.5952550000002</v>
      </c>
      <c r="P680" s="19">
        <f>H680*INDEX('Pliegos Tarifarios (Quilicura)'!$E:$E,MATCH($B680,'Pliegos Tarifarios (Quilicura)'!$A:$A,0))</f>
        <v>1653.162368</v>
      </c>
      <c r="Q680" s="19" cm="1">
        <f t="array" ref="Q680">H680*_xlfn.IFS(H680&lt;=350,INDEX('Pliegos Tarifarios (Quilicura)'!$F:$F,MATCH($B680,'Pliegos Tarifarios (Quilicura)'!$A:$A,0)),H680&lt;=500,INDEX('Pliegos Tarifarios (Quilicura)'!$G:$G,MATCH($B680,'Pliegos Tarifarios (Quilicura)'!$A:$A,0)),H680&lt;=1000,INDEX('Pliegos Tarifarios (Quilicura)'!$H:$H,MATCH($B680,'Pliegos Tarifarios (Quilicura)'!$A:$A,0)),H680&lt;=5000,INDEX('Pliegos Tarifarios (Quilicura)'!$I:$I,MATCH($B680,'Pliegos Tarifarios (Quilicura)'!$A:$A,0)),H680&gt;5000,INDEX('Pliegos Tarifarios (Quilicura)'!$J:$J,MATCH($B680,'Pliegos Tarifarios (Quilicura)'!$A:$A,0)))/1.19</f>
        <v>83.625788235294124</v>
      </c>
      <c r="R680" s="19">
        <f>INDEX('Pliegos Tarifarios (Quilicura)'!$K:$K,MATCH($B680,'Pliegos Tarifarios (Quilicura)'!$A:$A,0))</f>
        <v>729.75599999999997</v>
      </c>
      <c r="S680" s="21">
        <f t="shared" si="33"/>
        <v>25167.673768835299</v>
      </c>
      <c r="T680" s="21">
        <f t="shared" si="34"/>
        <v>4781.8580160787069</v>
      </c>
      <c r="U680" s="19">
        <v>0</v>
      </c>
      <c r="V680" s="21">
        <f t="shared" si="35"/>
        <v>29949.531784914005</v>
      </c>
    </row>
    <row r="681" spans="1:22" x14ac:dyDescent="0.3">
      <c r="A681" s="7" t="s">
        <v>149</v>
      </c>
      <c r="B681" s="7">
        <v>10</v>
      </c>
      <c r="C681" s="8" t="s">
        <v>186</v>
      </c>
      <c r="D681" s="7" t="s">
        <v>234</v>
      </c>
      <c r="E681" s="7" t="s">
        <v>121</v>
      </c>
      <c r="F681" s="8" t="s">
        <v>130</v>
      </c>
      <c r="G681" s="7" t="s">
        <v>30</v>
      </c>
      <c r="H681" s="9">
        <v>126.65649999999999</v>
      </c>
      <c r="I681" s="9">
        <v>0.3468</v>
      </c>
      <c r="J681" s="9">
        <v>0.33560000000000001</v>
      </c>
      <c r="K681" s="10">
        <v>0.96770472895040371</v>
      </c>
      <c r="L681" s="9">
        <v>4.22</v>
      </c>
      <c r="M681" s="19">
        <f>H681*INDEX('Pliegos Tarifarios (Quilicura)'!$B:$B,MATCH($B681,'Pliegos Tarifarios (Quilicura)'!$A:$A,0))</f>
        <v>16688.6404095</v>
      </c>
      <c r="N681" s="19">
        <f>I681*INDEX('Pliegos Tarifarios (Quilicura)'!$C:$C,MATCH($B681,'Pliegos Tarifarios (Quilicura)'!$A:$A,0))</f>
        <v>1204.6666752000001</v>
      </c>
      <c r="O681" s="19">
        <f>J681*INDEX('Pliegos Tarifarios (Quilicura)'!$D:$D,MATCH($B681,'Pliegos Tarifarios (Quilicura)'!$A:$A,0))</f>
        <v>4881.5050380000002</v>
      </c>
      <c r="P681" s="19">
        <f>H681*INDEX('Pliegos Tarifarios (Quilicura)'!$E:$E,MATCH($B681,'Pliegos Tarifarios (Quilicura)'!$A:$A,0))</f>
        <v>1649.5742559999999</v>
      </c>
      <c r="Q681" s="19" cm="1">
        <f t="array" ref="Q681">H681*_xlfn.IFS(H681&lt;=350,INDEX('Pliegos Tarifarios (Quilicura)'!$F:$F,MATCH($B681,'Pliegos Tarifarios (Quilicura)'!$A:$A,0)),H681&lt;=500,INDEX('Pliegos Tarifarios (Quilicura)'!$G:$G,MATCH($B681,'Pliegos Tarifarios (Quilicura)'!$A:$A,0)),H681&lt;=1000,INDEX('Pliegos Tarifarios (Quilicura)'!$H:$H,MATCH($B681,'Pliegos Tarifarios (Quilicura)'!$A:$A,0)),H681&lt;=5000,INDEX('Pliegos Tarifarios (Quilicura)'!$I:$I,MATCH($B681,'Pliegos Tarifarios (Quilicura)'!$A:$A,0)),H681&gt;5000,INDEX('Pliegos Tarifarios (Quilicura)'!$J:$J,MATCH($B681,'Pliegos Tarifarios (Quilicura)'!$A:$A,0)))/1.19</f>
        <v>83.444282352941173</v>
      </c>
      <c r="R681" s="19">
        <f>INDEX('Pliegos Tarifarios (Quilicura)'!$K:$K,MATCH($B681,'Pliegos Tarifarios (Quilicura)'!$A:$A,0))</f>
        <v>729.75599999999997</v>
      </c>
      <c r="S681" s="21">
        <f t="shared" si="33"/>
        <v>25237.586661052941</v>
      </c>
      <c r="T681" s="21">
        <f t="shared" si="34"/>
        <v>4795.1414656000588</v>
      </c>
      <c r="U681" s="19">
        <v>0</v>
      </c>
      <c r="V681" s="21">
        <f t="shared" si="35"/>
        <v>30032.728126653001</v>
      </c>
    </row>
    <row r="682" spans="1:22" x14ac:dyDescent="0.3">
      <c r="A682" s="7" t="s">
        <v>149</v>
      </c>
      <c r="B682" s="7">
        <v>10</v>
      </c>
      <c r="C682" s="8" t="s">
        <v>186</v>
      </c>
      <c r="D682" s="7" t="s">
        <v>235</v>
      </c>
      <c r="E682" s="7" t="s">
        <v>121</v>
      </c>
      <c r="F682" s="8" t="s">
        <v>132</v>
      </c>
      <c r="G682" s="7" t="s">
        <v>30</v>
      </c>
      <c r="H682" s="9">
        <v>126.6165</v>
      </c>
      <c r="I682" s="9">
        <v>0.33550000000000002</v>
      </c>
      <c r="J682" s="9">
        <v>0.33189999999999997</v>
      </c>
      <c r="K682" s="10">
        <v>0.98926974664679568</v>
      </c>
      <c r="L682" s="9">
        <v>4.22</v>
      </c>
      <c r="M682" s="19">
        <f>H682*INDEX('Pliegos Tarifarios (Quilicura)'!$B:$B,MATCH($B682,'Pliegos Tarifarios (Quilicura)'!$A:$A,0))</f>
        <v>16683.369889500002</v>
      </c>
      <c r="N682" s="19">
        <f>I682*INDEX('Pliegos Tarifarios (Quilicura)'!$C:$C,MATCH($B682,'Pliegos Tarifarios (Quilicura)'!$A:$A,0))</f>
        <v>1165.4142720000002</v>
      </c>
      <c r="O682" s="19">
        <f>J682*INDEX('Pliegos Tarifarios (Quilicura)'!$D:$D,MATCH($B682,'Pliegos Tarifarios (Quilicura)'!$A:$A,0))</f>
        <v>4827.6862994999992</v>
      </c>
      <c r="P682" s="19">
        <f>H682*INDEX('Pliegos Tarifarios (Quilicura)'!$E:$E,MATCH($B682,'Pliegos Tarifarios (Quilicura)'!$A:$A,0))</f>
        <v>1649.0532959999998</v>
      </c>
      <c r="Q682" s="19" cm="1">
        <f t="array" ref="Q682">H682*_xlfn.IFS(H682&lt;=350,INDEX('Pliegos Tarifarios (Quilicura)'!$F:$F,MATCH($B682,'Pliegos Tarifarios (Quilicura)'!$A:$A,0)),H682&lt;=500,INDEX('Pliegos Tarifarios (Quilicura)'!$G:$G,MATCH($B682,'Pliegos Tarifarios (Quilicura)'!$A:$A,0)),H682&lt;=1000,INDEX('Pliegos Tarifarios (Quilicura)'!$H:$H,MATCH($B682,'Pliegos Tarifarios (Quilicura)'!$A:$A,0)),H682&lt;=5000,INDEX('Pliegos Tarifarios (Quilicura)'!$I:$I,MATCH($B682,'Pliegos Tarifarios (Quilicura)'!$A:$A,0)),H682&gt;5000,INDEX('Pliegos Tarifarios (Quilicura)'!$J:$J,MATCH($B682,'Pliegos Tarifarios (Quilicura)'!$A:$A,0)))/1.19</f>
        <v>83.417929411764703</v>
      </c>
      <c r="R682" s="19">
        <f>INDEX('Pliegos Tarifarios (Quilicura)'!$K:$K,MATCH($B682,'Pliegos Tarifarios (Quilicura)'!$A:$A,0))</f>
        <v>729.75599999999997</v>
      </c>
      <c r="S682" s="21">
        <f t="shared" si="33"/>
        <v>25138.697686411768</v>
      </c>
      <c r="T682" s="21">
        <f t="shared" si="34"/>
        <v>4776.352560418236</v>
      </c>
      <c r="U682" s="19">
        <v>0</v>
      </c>
      <c r="V682" s="21">
        <f t="shared" si="35"/>
        <v>29915.050246830004</v>
      </c>
    </row>
    <row r="683" spans="1:22" x14ac:dyDescent="0.3">
      <c r="A683" s="7" t="s">
        <v>149</v>
      </c>
      <c r="B683" s="7">
        <v>10</v>
      </c>
      <c r="C683" s="8" t="s">
        <v>186</v>
      </c>
      <c r="D683" s="7" t="s">
        <v>236</v>
      </c>
      <c r="E683" s="7" t="s">
        <v>121</v>
      </c>
      <c r="F683" s="8" t="s">
        <v>134</v>
      </c>
      <c r="G683" s="7" t="s">
        <v>30</v>
      </c>
      <c r="H683" s="9">
        <v>126.7281</v>
      </c>
      <c r="I683" s="9">
        <v>0.33900000000000002</v>
      </c>
      <c r="J683" s="9">
        <v>0.3387</v>
      </c>
      <c r="K683" s="10">
        <v>0.99911504424778752</v>
      </c>
      <c r="L683" s="9">
        <v>4.22</v>
      </c>
      <c r="M683" s="19">
        <f>H683*INDEX('Pliegos Tarifarios (Quilicura)'!$B:$B,MATCH($B683,'Pliegos Tarifarios (Quilicura)'!$A:$A,0))</f>
        <v>16698.074640300001</v>
      </c>
      <c r="N683" s="19">
        <f>I683*INDEX('Pliegos Tarifarios (Quilicura)'!$C:$C,MATCH($B683,'Pliegos Tarifarios (Quilicura)'!$A:$A,0))</f>
        <v>1177.5720960000001</v>
      </c>
      <c r="O683" s="19">
        <f>J683*INDEX('Pliegos Tarifarios (Quilicura)'!$D:$D,MATCH($B683,'Pliegos Tarifarios (Quilicura)'!$A:$A,0))</f>
        <v>4926.5964134999995</v>
      </c>
      <c r="P683" s="19">
        <f>H683*INDEX('Pliegos Tarifarios (Quilicura)'!$E:$E,MATCH($B683,'Pliegos Tarifarios (Quilicura)'!$A:$A,0))</f>
        <v>1650.5067743999998</v>
      </c>
      <c r="Q683" s="19" cm="1">
        <f t="array" ref="Q683">H683*_xlfn.IFS(H683&lt;=350,INDEX('Pliegos Tarifarios (Quilicura)'!$F:$F,MATCH($B683,'Pliegos Tarifarios (Quilicura)'!$A:$A,0)),H683&lt;=500,INDEX('Pliegos Tarifarios (Quilicura)'!$G:$G,MATCH($B683,'Pliegos Tarifarios (Quilicura)'!$A:$A,0)),H683&lt;=1000,INDEX('Pliegos Tarifarios (Quilicura)'!$H:$H,MATCH($B683,'Pliegos Tarifarios (Quilicura)'!$A:$A,0)),H683&lt;=5000,INDEX('Pliegos Tarifarios (Quilicura)'!$I:$I,MATCH($B683,'Pliegos Tarifarios (Quilicura)'!$A:$A,0)),H683&gt;5000,INDEX('Pliegos Tarifarios (Quilicura)'!$J:$J,MATCH($B683,'Pliegos Tarifarios (Quilicura)'!$A:$A,0)))/1.19</f>
        <v>83.491454117647066</v>
      </c>
      <c r="R683" s="19">
        <f>INDEX('Pliegos Tarifarios (Quilicura)'!$K:$K,MATCH($B683,'Pliegos Tarifarios (Quilicura)'!$A:$A,0))</f>
        <v>729.75599999999997</v>
      </c>
      <c r="S683" s="21">
        <f t="shared" si="33"/>
        <v>25265.99737831765</v>
      </c>
      <c r="T683" s="21">
        <f t="shared" si="34"/>
        <v>4800.5395018803538</v>
      </c>
      <c r="U683" s="19">
        <v>0</v>
      </c>
      <c r="V683" s="21">
        <f t="shared" si="35"/>
        <v>30066.536880198004</v>
      </c>
    </row>
    <row r="684" spans="1:22" x14ac:dyDescent="0.3">
      <c r="A684" s="7" t="s">
        <v>149</v>
      </c>
      <c r="B684" s="7">
        <v>10</v>
      </c>
      <c r="C684" s="8" t="s">
        <v>186</v>
      </c>
      <c r="D684" s="7" t="s">
        <v>237</v>
      </c>
      <c r="E684" s="7" t="s">
        <v>121</v>
      </c>
      <c r="F684" s="8" t="s">
        <v>136</v>
      </c>
      <c r="G684" s="7" t="s">
        <v>30</v>
      </c>
      <c r="H684" s="9">
        <v>126.8348</v>
      </c>
      <c r="I684" s="9">
        <v>0.34470000000000001</v>
      </c>
      <c r="J684" s="9">
        <v>0.33889999999999998</v>
      </c>
      <c r="K684" s="10">
        <v>0.98317377429648967</v>
      </c>
      <c r="L684" s="9">
        <v>4.2300000000000004</v>
      </c>
      <c r="M684" s="19">
        <f>H684*INDEX('Pliegos Tarifarios (Quilicura)'!$B:$B,MATCH($B684,'Pliegos Tarifarios (Quilicura)'!$A:$A,0))</f>
        <v>16712.133752400001</v>
      </c>
      <c r="N684" s="19">
        <f>I684*INDEX('Pliegos Tarifarios (Quilicura)'!$C:$C,MATCH($B684,'Pliegos Tarifarios (Quilicura)'!$A:$A,0))</f>
        <v>1197.3719808000001</v>
      </c>
      <c r="O684" s="19">
        <f>J684*INDEX('Pliegos Tarifarios (Quilicura)'!$D:$D,MATCH($B684,'Pliegos Tarifarios (Quilicura)'!$A:$A,0))</f>
        <v>4929.5055344999992</v>
      </c>
      <c r="P684" s="19">
        <f>H684*INDEX('Pliegos Tarifarios (Quilicura)'!$E:$E,MATCH($B684,'Pliegos Tarifarios (Quilicura)'!$A:$A,0))</f>
        <v>1651.8964351999998</v>
      </c>
      <c r="Q684" s="19" cm="1">
        <f t="array" ref="Q684">H684*_xlfn.IFS(H684&lt;=350,INDEX('Pliegos Tarifarios (Quilicura)'!$F:$F,MATCH($B684,'Pliegos Tarifarios (Quilicura)'!$A:$A,0)),H684&lt;=500,INDEX('Pliegos Tarifarios (Quilicura)'!$G:$G,MATCH($B684,'Pliegos Tarifarios (Quilicura)'!$A:$A,0)),H684&lt;=1000,INDEX('Pliegos Tarifarios (Quilicura)'!$H:$H,MATCH($B684,'Pliegos Tarifarios (Quilicura)'!$A:$A,0)),H684&lt;=5000,INDEX('Pliegos Tarifarios (Quilicura)'!$I:$I,MATCH($B684,'Pliegos Tarifarios (Quilicura)'!$A:$A,0)),H684&gt;5000,INDEX('Pliegos Tarifarios (Quilicura)'!$J:$J,MATCH($B684,'Pliegos Tarifarios (Quilicura)'!$A:$A,0)))/1.19</f>
        <v>83.561750588235299</v>
      </c>
      <c r="R684" s="19">
        <f>INDEX('Pliegos Tarifarios (Quilicura)'!$K:$K,MATCH($B684,'Pliegos Tarifarios (Quilicura)'!$A:$A,0))</f>
        <v>729.75599999999997</v>
      </c>
      <c r="S684" s="21">
        <f t="shared" si="33"/>
        <v>25304.225453488238</v>
      </c>
      <c r="T684" s="21">
        <f t="shared" si="34"/>
        <v>4807.8028361627648</v>
      </c>
      <c r="U684" s="19">
        <v>0</v>
      </c>
      <c r="V684" s="21">
        <f t="shared" si="35"/>
        <v>30112.028289651003</v>
      </c>
    </row>
    <row r="685" spans="1:22" x14ac:dyDescent="0.3">
      <c r="A685" s="7" t="s">
        <v>149</v>
      </c>
      <c r="B685" s="7">
        <v>10</v>
      </c>
      <c r="C685" s="8" t="s">
        <v>186</v>
      </c>
      <c r="D685" s="7" t="s">
        <v>238</v>
      </c>
      <c r="E685" s="7" t="s">
        <v>121</v>
      </c>
      <c r="F685" s="8" t="s">
        <v>138</v>
      </c>
      <c r="G685" s="7" t="s">
        <v>30</v>
      </c>
      <c r="H685" s="9">
        <v>126.9083</v>
      </c>
      <c r="I685" s="9">
        <v>0.33439999999999998</v>
      </c>
      <c r="J685" s="9">
        <v>0.33100000000000002</v>
      </c>
      <c r="K685" s="10">
        <v>0.98983253588516762</v>
      </c>
      <c r="L685" s="9">
        <v>4.2300000000000004</v>
      </c>
      <c r="M685" s="19">
        <f>H685*INDEX('Pliegos Tarifarios (Quilicura)'!$B:$B,MATCH($B685,'Pliegos Tarifarios (Quilicura)'!$A:$A,0))</f>
        <v>16721.818332899998</v>
      </c>
      <c r="N685" s="19">
        <f>I685*INDEX('Pliegos Tarifarios (Quilicura)'!$C:$C,MATCH($B685,'Pliegos Tarifarios (Quilicura)'!$A:$A,0))</f>
        <v>1161.5932416000001</v>
      </c>
      <c r="O685" s="19">
        <f>J685*INDEX('Pliegos Tarifarios (Quilicura)'!$D:$D,MATCH($B685,'Pliegos Tarifarios (Quilicura)'!$A:$A,0))</f>
        <v>4814.5952550000002</v>
      </c>
      <c r="P685" s="19">
        <f>H685*INDEX('Pliegos Tarifarios (Quilicura)'!$E:$E,MATCH($B685,'Pliegos Tarifarios (Quilicura)'!$A:$A,0))</f>
        <v>1652.8536991999999</v>
      </c>
      <c r="Q685" s="19" cm="1">
        <f t="array" ref="Q685">H685*_xlfn.IFS(H685&lt;=350,INDEX('Pliegos Tarifarios (Quilicura)'!$F:$F,MATCH($B685,'Pliegos Tarifarios (Quilicura)'!$A:$A,0)),H685&lt;=500,INDEX('Pliegos Tarifarios (Quilicura)'!$G:$G,MATCH($B685,'Pliegos Tarifarios (Quilicura)'!$A:$A,0)),H685&lt;=1000,INDEX('Pliegos Tarifarios (Quilicura)'!$H:$H,MATCH($B685,'Pliegos Tarifarios (Quilicura)'!$A:$A,0)),H685&lt;=5000,INDEX('Pliegos Tarifarios (Quilicura)'!$I:$I,MATCH($B685,'Pliegos Tarifarios (Quilicura)'!$A:$A,0)),H685&gt;5000,INDEX('Pliegos Tarifarios (Quilicura)'!$J:$J,MATCH($B685,'Pliegos Tarifarios (Quilicura)'!$A:$A,0)))/1.19</f>
        <v>83.610174117647063</v>
      </c>
      <c r="R685" s="19">
        <f>INDEX('Pliegos Tarifarios (Quilicura)'!$K:$K,MATCH($B685,'Pliegos Tarifarios (Quilicura)'!$A:$A,0))</f>
        <v>729.75599999999997</v>
      </c>
      <c r="S685" s="21">
        <f t="shared" si="33"/>
        <v>25164.226702817647</v>
      </c>
      <c r="T685" s="21">
        <f t="shared" si="34"/>
        <v>4781.2030735353528</v>
      </c>
      <c r="U685" s="19">
        <v>0</v>
      </c>
      <c r="V685" s="21">
        <f t="shared" si="35"/>
        <v>29945.429776352998</v>
      </c>
    </row>
    <row r="686" spans="1:22" x14ac:dyDescent="0.3">
      <c r="A686" s="7" t="s">
        <v>149</v>
      </c>
      <c r="B686" s="7">
        <v>10</v>
      </c>
      <c r="C686" s="8" t="s">
        <v>186</v>
      </c>
      <c r="D686" s="7" t="s">
        <v>239</v>
      </c>
      <c r="E686" s="7" t="s">
        <v>121</v>
      </c>
      <c r="F686" s="8" t="s">
        <v>140</v>
      </c>
      <c r="G686" s="7" t="s">
        <v>30</v>
      </c>
      <c r="H686" s="9">
        <v>126.65260000000001</v>
      </c>
      <c r="I686" s="9">
        <v>0.33600000000000002</v>
      </c>
      <c r="J686" s="9">
        <v>0.3337</v>
      </c>
      <c r="K686" s="10">
        <v>0.99315476190476182</v>
      </c>
      <c r="L686" s="9">
        <v>4.22</v>
      </c>
      <c r="M686" s="19">
        <f>H686*INDEX('Pliegos Tarifarios (Quilicura)'!$B:$B,MATCH($B686,'Pliegos Tarifarios (Quilicura)'!$A:$A,0))</f>
        <v>16688.126533800001</v>
      </c>
      <c r="N686" s="19">
        <f>I686*INDEX('Pliegos Tarifarios (Quilicura)'!$C:$C,MATCH($B686,'Pliegos Tarifarios (Quilicura)'!$A:$A,0))</f>
        <v>1167.151104</v>
      </c>
      <c r="O686" s="19">
        <f>J686*INDEX('Pliegos Tarifarios (Quilicura)'!$D:$D,MATCH($B686,'Pliegos Tarifarios (Quilicura)'!$A:$A,0))</f>
        <v>4853.8683885</v>
      </c>
      <c r="P686" s="19">
        <f>H686*INDEX('Pliegos Tarifarios (Quilicura)'!$E:$E,MATCH($B686,'Pliegos Tarifarios (Quilicura)'!$A:$A,0))</f>
        <v>1649.5234624</v>
      </c>
      <c r="Q686" s="19" cm="1">
        <f t="array" ref="Q686">H686*_xlfn.IFS(H686&lt;=350,INDEX('Pliegos Tarifarios (Quilicura)'!$F:$F,MATCH($B686,'Pliegos Tarifarios (Quilicura)'!$A:$A,0)),H686&lt;=500,INDEX('Pliegos Tarifarios (Quilicura)'!$G:$G,MATCH($B686,'Pliegos Tarifarios (Quilicura)'!$A:$A,0)),H686&lt;=1000,INDEX('Pliegos Tarifarios (Quilicura)'!$H:$H,MATCH($B686,'Pliegos Tarifarios (Quilicura)'!$A:$A,0)),H686&lt;=5000,INDEX('Pliegos Tarifarios (Quilicura)'!$I:$I,MATCH($B686,'Pliegos Tarifarios (Quilicura)'!$A:$A,0)),H686&gt;5000,INDEX('Pliegos Tarifarios (Quilicura)'!$J:$J,MATCH($B686,'Pliegos Tarifarios (Quilicura)'!$A:$A,0)))/1.19</f>
        <v>83.44171294117649</v>
      </c>
      <c r="R686" s="19">
        <f>INDEX('Pliegos Tarifarios (Quilicura)'!$K:$K,MATCH($B686,'Pliegos Tarifarios (Quilicura)'!$A:$A,0))</f>
        <v>729.75599999999997</v>
      </c>
      <c r="S686" s="21">
        <f t="shared" si="33"/>
        <v>25171.86720164118</v>
      </c>
      <c r="T686" s="21">
        <f t="shared" si="34"/>
        <v>4782.6547683118242</v>
      </c>
      <c r="U686" s="19">
        <v>0</v>
      </c>
      <c r="V686" s="21">
        <f t="shared" si="35"/>
        <v>29954.521969953006</v>
      </c>
    </row>
    <row r="687" spans="1:22" x14ac:dyDescent="0.3">
      <c r="A687" s="7" t="s">
        <v>149</v>
      </c>
      <c r="B687" s="7">
        <v>10</v>
      </c>
      <c r="C687" s="8" t="s">
        <v>186</v>
      </c>
      <c r="D687" s="7" t="s">
        <v>240</v>
      </c>
      <c r="E687" s="7" t="s">
        <v>121</v>
      </c>
      <c r="F687" s="8" t="s">
        <v>241</v>
      </c>
      <c r="G687" s="7" t="s">
        <v>30</v>
      </c>
      <c r="H687" s="9">
        <v>126.73269999999999</v>
      </c>
      <c r="I687" s="9">
        <v>0.33629999999999999</v>
      </c>
      <c r="J687" s="9">
        <v>0.32819999999999999</v>
      </c>
      <c r="K687" s="10">
        <v>0.97591436217662797</v>
      </c>
      <c r="L687" s="9">
        <v>4.22</v>
      </c>
      <c r="M687" s="19">
        <f>H687*INDEX('Pliegos Tarifarios (Quilicura)'!$B:$B,MATCH($B687,'Pliegos Tarifarios (Quilicura)'!$A:$A,0))</f>
        <v>16698.6807501</v>
      </c>
      <c r="N687" s="19">
        <f>I687*INDEX('Pliegos Tarifarios (Quilicura)'!$C:$C,MATCH($B687,'Pliegos Tarifarios (Quilicura)'!$A:$A,0))</f>
        <v>1168.1932032</v>
      </c>
      <c r="O687" s="19">
        <f>J687*INDEX('Pliegos Tarifarios (Quilicura)'!$D:$D,MATCH($B687,'Pliegos Tarifarios (Quilicura)'!$A:$A,0))</f>
        <v>4773.867561</v>
      </c>
      <c r="P687" s="19">
        <f>H687*INDEX('Pliegos Tarifarios (Quilicura)'!$E:$E,MATCH($B687,'Pliegos Tarifarios (Quilicura)'!$A:$A,0))</f>
        <v>1650.5666847999998</v>
      </c>
      <c r="Q687" s="19" cm="1">
        <f t="array" ref="Q687">H687*_xlfn.IFS(H687&lt;=350,INDEX('Pliegos Tarifarios (Quilicura)'!$F:$F,MATCH($B687,'Pliegos Tarifarios (Quilicura)'!$A:$A,0)),H687&lt;=500,INDEX('Pliegos Tarifarios (Quilicura)'!$G:$G,MATCH($B687,'Pliegos Tarifarios (Quilicura)'!$A:$A,0)),H687&lt;=1000,INDEX('Pliegos Tarifarios (Quilicura)'!$H:$H,MATCH($B687,'Pliegos Tarifarios (Quilicura)'!$A:$A,0)),H687&lt;=5000,INDEX('Pliegos Tarifarios (Quilicura)'!$I:$I,MATCH($B687,'Pliegos Tarifarios (Quilicura)'!$A:$A,0)),H687&gt;5000,INDEX('Pliegos Tarifarios (Quilicura)'!$J:$J,MATCH($B687,'Pliegos Tarifarios (Quilicura)'!$A:$A,0)))/1.19</f>
        <v>83.494484705882357</v>
      </c>
      <c r="R687" s="19">
        <f>INDEX('Pliegos Tarifarios (Quilicura)'!$K:$K,MATCH($B687,'Pliegos Tarifarios (Quilicura)'!$A:$A,0))</f>
        <v>729.75599999999997</v>
      </c>
      <c r="S687" s="21">
        <f t="shared" si="33"/>
        <v>25104.558683805884</v>
      </c>
      <c r="T687" s="21">
        <f t="shared" si="34"/>
        <v>4769.8661499231184</v>
      </c>
      <c r="U687" s="19">
        <v>0</v>
      </c>
      <c r="V687" s="21">
        <f t="shared" si="35"/>
        <v>29874.424833729005</v>
      </c>
    </row>
    <row r="688" spans="1:22" x14ac:dyDescent="0.3">
      <c r="A688" s="7" t="s">
        <v>149</v>
      </c>
      <c r="B688" s="7">
        <v>10</v>
      </c>
      <c r="C688" s="8" t="s">
        <v>186</v>
      </c>
      <c r="D688" s="7" t="s">
        <v>242</v>
      </c>
      <c r="E688" s="7" t="s">
        <v>121</v>
      </c>
      <c r="F688" s="8" t="s">
        <v>243</v>
      </c>
      <c r="G688" s="7" t="s">
        <v>30</v>
      </c>
      <c r="H688" s="9">
        <v>126.81310000000001</v>
      </c>
      <c r="I688" s="9">
        <v>0.33500000000000002</v>
      </c>
      <c r="J688" s="9">
        <v>0.33500000000000002</v>
      </c>
      <c r="K688" s="10">
        <v>1</v>
      </c>
      <c r="L688" s="9">
        <v>4.2300000000000004</v>
      </c>
      <c r="M688" s="19">
        <f>H688*INDEX('Pliegos Tarifarios (Quilicura)'!$B:$B,MATCH($B688,'Pliegos Tarifarios (Quilicura)'!$A:$A,0))</f>
        <v>16709.2744953</v>
      </c>
      <c r="N688" s="19">
        <f>I688*INDEX('Pliegos Tarifarios (Quilicura)'!$C:$C,MATCH($B688,'Pliegos Tarifarios (Quilicura)'!$A:$A,0))</f>
        <v>1163.6774400000002</v>
      </c>
      <c r="O688" s="19">
        <f>J688*INDEX('Pliegos Tarifarios (Quilicura)'!$D:$D,MATCH($B688,'Pliegos Tarifarios (Quilicura)'!$A:$A,0))</f>
        <v>4872.7776750000003</v>
      </c>
      <c r="P688" s="19">
        <f>H688*INDEX('Pliegos Tarifarios (Quilicura)'!$E:$E,MATCH($B688,'Pliegos Tarifarios (Quilicura)'!$A:$A,0))</f>
        <v>1651.6138143999999</v>
      </c>
      <c r="Q688" s="19" cm="1">
        <f t="array" ref="Q688">H688*_xlfn.IFS(H688&lt;=350,INDEX('Pliegos Tarifarios (Quilicura)'!$F:$F,MATCH($B688,'Pliegos Tarifarios (Quilicura)'!$A:$A,0)),H688&lt;=500,INDEX('Pliegos Tarifarios (Quilicura)'!$G:$G,MATCH($B688,'Pliegos Tarifarios (Quilicura)'!$A:$A,0)),H688&lt;=1000,INDEX('Pliegos Tarifarios (Quilicura)'!$H:$H,MATCH($B688,'Pliegos Tarifarios (Quilicura)'!$A:$A,0)),H688&lt;=5000,INDEX('Pliegos Tarifarios (Quilicura)'!$I:$I,MATCH($B688,'Pliegos Tarifarios (Quilicura)'!$A:$A,0)),H688&gt;5000,INDEX('Pliegos Tarifarios (Quilicura)'!$J:$J,MATCH($B688,'Pliegos Tarifarios (Quilicura)'!$A:$A,0)))/1.19</f>
        <v>83.547454117647064</v>
      </c>
      <c r="R688" s="19">
        <f>INDEX('Pliegos Tarifarios (Quilicura)'!$K:$K,MATCH($B688,'Pliegos Tarifarios (Quilicura)'!$A:$A,0))</f>
        <v>729.75599999999997</v>
      </c>
      <c r="S688" s="21">
        <f t="shared" si="33"/>
        <v>25210.64687881765</v>
      </c>
      <c r="T688" s="21">
        <f t="shared" si="34"/>
        <v>4790.0229069753532</v>
      </c>
      <c r="U688" s="19">
        <v>0</v>
      </c>
      <c r="V688" s="21">
        <f t="shared" si="35"/>
        <v>30000.669785793005</v>
      </c>
    </row>
    <row r="689" spans="1:22" x14ac:dyDescent="0.3">
      <c r="A689" s="7" t="s">
        <v>149</v>
      </c>
      <c r="B689" s="7">
        <v>10</v>
      </c>
      <c r="C689" s="8" t="s">
        <v>186</v>
      </c>
      <c r="D689" s="7" t="s">
        <v>244</v>
      </c>
      <c r="E689" s="7" t="s">
        <v>121</v>
      </c>
      <c r="F689" s="8" t="s">
        <v>245</v>
      </c>
      <c r="G689" s="7" t="s">
        <v>30</v>
      </c>
      <c r="H689" s="9">
        <v>126.86199999999999</v>
      </c>
      <c r="I689" s="9">
        <v>0.34160000000000001</v>
      </c>
      <c r="J689" s="9">
        <v>0.34160000000000001</v>
      </c>
      <c r="K689" s="10">
        <v>1</v>
      </c>
      <c r="L689" s="9">
        <v>4.2300000000000004</v>
      </c>
      <c r="M689" s="19">
        <f>H689*INDEX('Pliegos Tarifarios (Quilicura)'!$B:$B,MATCH($B689,'Pliegos Tarifarios (Quilicura)'!$A:$A,0))</f>
        <v>16715.717705999999</v>
      </c>
      <c r="N689" s="19">
        <f>I689*INDEX('Pliegos Tarifarios (Quilicura)'!$C:$C,MATCH($B689,'Pliegos Tarifarios (Quilicura)'!$A:$A,0))</f>
        <v>1186.6036224000002</v>
      </c>
      <c r="O689" s="19">
        <f>J689*INDEX('Pliegos Tarifarios (Quilicura)'!$D:$D,MATCH($B689,'Pliegos Tarifarios (Quilicura)'!$A:$A,0))</f>
        <v>4968.7786679999999</v>
      </c>
      <c r="P689" s="19">
        <f>H689*INDEX('Pliegos Tarifarios (Quilicura)'!$E:$E,MATCH($B689,'Pliegos Tarifarios (Quilicura)'!$A:$A,0))</f>
        <v>1652.2506879999999</v>
      </c>
      <c r="Q689" s="19" cm="1">
        <f t="array" ref="Q689">H689*_xlfn.IFS(H689&lt;=350,INDEX('Pliegos Tarifarios (Quilicura)'!$F:$F,MATCH($B689,'Pliegos Tarifarios (Quilicura)'!$A:$A,0)),H689&lt;=500,INDEX('Pliegos Tarifarios (Quilicura)'!$G:$G,MATCH($B689,'Pliegos Tarifarios (Quilicura)'!$A:$A,0)),H689&lt;=1000,INDEX('Pliegos Tarifarios (Quilicura)'!$H:$H,MATCH($B689,'Pliegos Tarifarios (Quilicura)'!$A:$A,0)),H689&lt;=5000,INDEX('Pliegos Tarifarios (Quilicura)'!$I:$I,MATCH($B689,'Pliegos Tarifarios (Quilicura)'!$A:$A,0)),H689&gt;5000,INDEX('Pliegos Tarifarios (Quilicura)'!$J:$J,MATCH($B689,'Pliegos Tarifarios (Quilicura)'!$A:$A,0)))/1.19</f>
        <v>83.579670588235288</v>
      </c>
      <c r="R689" s="19">
        <f>INDEX('Pliegos Tarifarios (Quilicura)'!$K:$K,MATCH($B689,'Pliegos Tarifarios (Quilicura)'!$A:$A,0))</f>
        <v>729.75599999999997</v>
      </c>
      <c r="S689" s="21">
        <f t="shared" si="33"/>
        <v>25336.686354988236</v>
      </c>
      <c r="T689" s="21">
        <f t="shared" si="34"/>
        <v>4813.970407447765</v>
      </c>
      <c r="U689" s="19">
        <v>0</v>
      </c>
      <c r="V689" s="21">
        <f t="shared" si="35"/>
        <v>30150.656762436003</v>
      </c>
    </row>
    <row r="690" spans="1:22" x14ac:dyDescent="0.3">
      <c r="A690" s="7" t="s">
        <v>149</v>
      </c>
      <c r="B690" s="7">
        <v>10</v>
      </c>
      <c r="C690" s="8" t="s">
        <v>186</v>
      </c>
      <c r="D690" s="7" t="s">
        <v>246</v>
      </c>
      <c r="E690" s="7" t="s">
        <v>121</v>
      </c>
      <c r="F690" s="8" t="s">
        <v>247</v>
      </c>
      <c r="G690" s="7" t="s">
        <v>30</v>
      </c>
      <c r="H690" s="9">
        <v>126.71469999999999</v>
      </c>
      <c r="I690" s="9">
        <v>0.34160000000000001</v>
      </c>
      <c r="J690" s="9">
        <v>0.33229999999999998</v>
      </c>
      <c r="K690" s="10">
        <v>0.97277517564402805</v>
      </c>
      <c r="L690" s="9">
        <v>4.22</v>
      </c>
      <c r="M690" s="19">
        <f>H690*INDEX('Pliegos Tarifarios (Quilicura)'!$B:$B,MATCH($B690,'Pliegos Tarifarios (Quilicura)'!$A:$A,0))</f>
        <v>16696.3090161</v>
      </c>
      <c r="N690" s="19">
        <f>I690*INDEX('Pliegos Tarifarios (Quilicura)'!$C:$C,MATCH($B690,'Pliegos Tarifarios (Quilicura)'!$A:$A,0))</f>
        <v>1186.6036224000002</v>
      </c>
      <c r="O690" s="19">
        <f>J690*INDEX('Pliegos Tarifarios (Quilicura)'!$D:$D,MATCH($B690,'Pliegos Tarifarios (Quilicura)'!$A:$A,0))</f>
        <v>4833.5045414999995</v>
      </c>
      <c r="P690" s="19">
        <f>H690*INDEX('Pliegos Tarifarios (Quilicura)'!$E:$E,MATCH($B690,'Pliegos Tarifarios (Quilicura)'!$A:$A,0))</f>
        <v>1650.3322527999999</v>
      </c>
      <c r="Q690" s="19" cm="1">
        <f t="array" ref="Q690">H690*_xlfn.IFS(H690&lt;=350,INDEX('Pliegos Tarifarios (Quilicura)'!$F:$F,MATCH($B690,'Pliegos Tarifarios (Quilicura)'!$A:$A,0)),H690&lt;=500,INDEX('Pliegos Tarifarios (Quilicura)'!$G:$G,MATCH($B690,'Pliegos Tarifarios (Quilicura)'!$A:$A,0)),H690&lt;=1000,INDEX('Pliegos Tarifarios (Quilicura)'!$H:$H,MATCH($B690,'Pliegos Tarifarios (Quilicura)'!$A:$A,0)),H690&lt;=5000,INDEX('Pliegos Tarifarios (Quilicura)'!$I:$I,MATCH($B690,'Pliegos Tarifarios (Quilicura)'!$A:$A,0)),H690&gt;5000,INDEX('Pliegos Tarifarios (Quilicura)'!$J:$J,MATCH($B690,'Pliegos Tarifarios (Quilicura)'!$A:$A,0)))/1.19</f>
        <v>83.482625882352934</v>
      </c>
      <c r="R690" s="19">
        <f>INDEX('Pliegos Tarifarios (Quilicura)'!$K:$K,MATCH($B690,'Pliegos Tarifarios (Quilicura)'!$A:$A,0))</f>
        <v>729.75599999999997</v>
      </c>
      <c r="S690" s="21">
        <f t="shared" si="33"/>
        <v>25179.988058682353</v>
      </c>
      <c r="T690" s="21">
        <f t="shared" si="34"/>
        <v>4784.1977311496476</v>
      </c>
      <c r="U690" s="19">
        <v>0</v>
      </c>
      <c r="V690" s="21">
        <f t="shared" si="35"/>
        <v>29964.185789832001</v>
      </c>
    </row>
    <row r="691" spans="1:22" x14ac:dyDescent="0.3">
      <c r="A691" s="7" t="s">
        <v>149</v>
      </c>
      <c r="B691" s="7">
        <v>10</v>
      </c>
      <c r="C691" s="8" t="s">
        <v>186</v>
      </c>
      <c r="D691" s="7" t="s">
        <v>248</v>
      </c>
      <c r="E691" s="7" t="s">
        <v>121</v>
      </c>
      <c r="F691" s="8" t="s">
        <v>249</v>
      </c>
      <c r="G691" s="7" t="s">
        <v>30</v>
      </c>
      <c r="H691" s="9">
        <v>126.9409</v>
      </c>
      <c r="I691" s="9">
        <v>0.34689999999999999</v>
      </c>
      <c r="J691" s="9">
        <v>0.33110000000000001</v>
      </c>
      <c r="K691" s="10">
        <v>0.95445373306428372</v>
      </c>
      <c r="L691" s="9">
        <v>4.2300000000000004</v>
      </c>
      <c r="M691" s="19">
        <f>H691*INDEX('Pliegos Tarifarios (Quilicura)'!$B:$B,MATCH($B691,'Pliegos Tarifarios (Quilicura)'!$A:$A,0))</f>
        <v>16726.113806699999</v>
      </c>
      <c r="N691" s="19">
        <f>I691*INDEX('Pliegos Tarifarios (Quilicura)'!$C:$C,MATCH($B691,'Pliegos Tarifarios (Quilicura)'!$A:$A,0))</f>
        <v>1205.0140415999999</v>
      </c>
      <c r="O691" s="19">
        <f>J691*INDEX('Pliegos Tarifarios (Quilicura)'!$D:$D,MATCH($B691,'Pliegos Tarifarios (Quilicura)'!$A:$A,0))</f>
        <v>4816.0498154999996</v>
      </c>
      <c r="P691" s="19">
        <f>H691*INDEX('Pliegos Tarifarios (Quilicura)'!$E:$E,MATCH($B691,'Pliegos Tarifarios (Quilicura)'!$A:$A,0))</f>
        <v>1653.2782815999999</v>
      </c>
      <c r="Q691" s="19" cm="1">
        <f t="array" ref="Q691">H691*_xlfn.IFS(H691&lt;=350,INDEX('Pliegos Tarifarios (Quilicura)'!$F:$F,MATCH($B691,'Pliegos Tarifarios (Quilicura)'!$A:$A,0)),H691&lt;=500,INDEX('Pliegos Tarifarios (Quilicura)'!$G:$G,MATCH($B691,'Pliegos Tarifarios (Quilicura)'!$A:$A,0)),H691&lt;=1000,INDEX('Pliegos Tarifarios (Quilicura)'!$H:$H,MATCH($B691,'Pliegos Tarifarios (Quilicura)'!$A:$A,0)),H691&lt;=5000,INDEX('Pliegos Tarifarios (Quilicura)'!$I:$I,MATCH($B691,'Pliegos Tarifarios (Quilicura)'!$A:$A,0)),H691&gt;5000,INDEX('Pliegos Tarifarios (Quilicura)'!$J:$J,MATCH($B691,'Pliegos Tarifarios (Quilicura)'!$A:$A,0)))/1.19</f>
        <v>83.631651764705893</v>
      </c>
      <c r="R691" s="19">
        <f>INDEX('Pliegos Tarifarios (Quilicura)'!$K:$K,MATCH($B691,'Pliegos Tarifarios (Quilicura)'!$A:$A,0))</f>
        <v>729.75599999999997</v>
      </c>
      <c r="S691" s="21">
        <f t="shared" si="33"/>
        <v>25213.843597164705</v>
      </c>
      <c r="T691" s="21">
        <f t="shared" si="34"/>
        <v>4790.6302834612943</v>
      </c>
      <c r="U691" s="19">
        <v>0</v>
      </c>
      <c r="V691" s="21">
        <f t="shared" si="35"/>
        <v>30004.473880625999</v>
      </c>
    </row>
    <row r="692" spans="1:22" x14ac:dyDescent="0.3">
      <c r="A692" s="7" t="s">
        <v>149</v>
      </c>
      <c r="B692" s="7">
        <v>10</v>
      </c>
      <c r="C692" s="8" t="s">
        <v>186</v>
      </c>
      <c r="D692" s="7" t="s">
        <v>250</v>
      </c>
      <c r="E692" s="7" t="s">
        <v>121</v>
      </c>
      <c r="F692" s="8" t="s">
        <v>251</v>
      </c>
      <c r="G692" s="7" t="s">
        <v>30</v>
      </c>
      <c r="H692" s="9">
        <v>126.7114</v>
      </c>
      <c r="I692" s="9">
        <v>0.33439999999999998</v>
      </c>
      <c r="J692" s="9">
        <v>0.32850000000000001</v>
      </c>
      <c r="K692" s="10">
        <v>0.98235645933014371</v>
      </c>
      <c r="L692" s="9">
        <v>4.22</v>
      </c>
      <c r="M692" s="19">
        <f>H692*INDEX('Pliegos Tarifarios (Quilicura)'!$B:$B,MATCH($B692,'Pliegos Tarifarios (Quilicura)'!$A:$A,0))</f>
        <v>16695.874198199999</v>
      </c>
      <c r="N692" s="19">
        <f>I692*INDEX('Pliegos Tarifarios (Quilicura)'!$C:$C,MATCH($B692,'Pliegos Tarifarios (Quilicura)'!$A:$A,0))</f>
        <v>1161.5932416000001</v>
      </c>
      <c r="O692" s="19">
        <f>J692*INDEX('Pliegos Tarifarios (Quilicura)'!$D:$D,MATCH($B692,'Pliegos Tarifarios (Quilicura)'!$A:$A,0))</f>
        <v>4778.2312425</v>
      </c>
      <c r="P692" s="19">
        <f>H692*INDEX('Pliegos Tarifarios (Quilicura)'!$E:$E,MATCH($B692,'Pliegos Tarifarios (Quilicura)'!$A:$A,0))</f>
        <v>1650.2892735999999</v>
      </c>
      <c r="Q692" s="19" cm="1">
        <f t="array" ref="Q692">H692*_xlfn.IFS(H692&lt;=350,INDEX('Pliegos Tarifarios (Quilicura)'!$F:$F,MATCH($B692,'Pliegos Tarifarios (Quilicura)'!$A:$A,0)),H692&lt;=500,INDEX('Pliegos Tarifarios (Quilicura)'!$G:$G,MATCH($B692,'Pliegos Tarifarios (Quilicura)'!$A:$A,0)),H692&lt;=1000,INDEX('Pliegos Tarifarios (Quilicura)'!$H:$H,MATCH($B692,'Pliegos Tarifarios (Quilicura)'!$A:$A,0)),H692&lt;=5000,INDEX('Pliegos Tarifarios (Quilicura)'!$I:$I,MATCH($B692,'Pliegos Tarifarios (Quilicura)'!$A:$A,0)),H692&gt;5000,INDEX('Pliegos Tarifarios (Quilicura)'!$J:$J,MATCH($B692,'Pliegos Tarifarios (Quilicura)'!$A:$A,0)))/1.19</f>
        <v>83.48045176470589</v>
      </c>
      <c r="R692" s="19">
        <f>INDEX('Pliegos Tarifarios (Quilicura)'!$K:$K,MATCH($B692,'Pliegos Tarifarios (Quilicura)'!$A:$A,0))</f>
        <v>729.75599999999997</v>
      </c>
      <c r="S692" s="21">
        <f t="shared" si="33"/>
        <v>25099.224407664704</v>
      </c>
      <c r="T692" s="21">
        <f t="shared" si="34"/>
        <v>4768.8526374562935</v>
      </c>
      <c r="U692" s="19">
        <v>0</v>
      </c>
      <c r="V692" s="21">
        <f t="shared" si="35"/>
        <v>29868.077045120997</v>
      </c>
    </row>
    <row r="693" spans="1:22" x14ac:dyDescent="0.3">
      <c r="A693" s="7" t="s">
        <v>149</v>
      </c>
      <c r="B693" s="7">
        <v>10</v>
      </c>
      <c r="C693" s="8" t="s">
        <v>186</v>
      </c>
      <c r="D693" s="7" t="s">
        <v>252</v>
      </c>
      <c r="E693" s="7" t="s">
        <v>121</v>
      </c>
      <c r="F693" s="8" t="s">
        <v>253</v>
      </c>
      <c r="G693" s="7" t="s">
        <v>30</v>
      </c>
      <c r="H693" s="9">
        <v>126.67400000000001</v>
      </c>
      <c r="I693" s="9">
        <v>0.33750000000000002</v>
      </c>
      <c r="J693" s="9">
        <v>0.33339999999999997</v>
      </c>
      <c r="K693" s="10">
        <v>0.98785185185185176</v>
      </c>
      <c r="L693" s="9">
        <v>4.22</v>
      </c>
      <c r="M693" s="19">
        <f>H693*INDEX('Pliegos Tarifarios (Quilicura)'!$B:$B,MATCH($B693,'Pliegos Tarifarios (Quilicura)'!$A:$A,0))</f>
        <v>16690.946262000001</v>
      </c>
      <c r="N693" s="19">
        <f>I693*INDEX('Pliegos Tarifarios (Quilicura)'!$C:$C,MATCH($B693,'Pliegos Tarifarios (Quilicura)'!$A:$A,0))</f>
        <v>1172.3616000000002</v>
      </c>
      <c r="O693" s="19">
        <f>J693*INDEX('Pliegos Tarifarios (Quilicura)'!$D:$D,MATCH($B693,'Pliegos Tarifarios (Quilicura)'!$A:$A,0))</f>
        <v>4849.5047069999991</v>
      </c>
      <c r="P693" s="19">
        <f>H693*INDEX('Pliegos Tarifarios (Quilicura)'!$E:$E,MATCH($B693,'Pliegos Tarifarios (Quilicura)'!$A:$A,0))</f>
        <v>1649.8021759999999</v>
      </c>
      <c r="Q693" s="19" cm="1">
        <f t="array" ref="Q693">H693*_xlfn.IFS(H693&lt;=350,INDEX('Pliegos Tarifarios (Quilicura)'!$F:$F,MATCH($B693,'Pliegos Tarifarios (Quilicura)'!$A:$A,0)),H693&lt;=500,INDEX('Pliegos Tarifarios (Quilicura)'!$G:$G,MATCH($B693,'Pliegos Tarifarios (Quilicura)'!$A:$A,0)),H693&lt;=1000,INDEX('Pliegos Tarifarios (Quilicura)'!$H:$H,MATCH($B693,'Pliegos Tarifarios (Quilicura)'!$A:$A,0)),H693&lt;=5000,INDEX('Pliegos Tarifarios (Quilicura)'!$I:$I,MATCH($B693,'Pliegos Tarifarios (Quilicura)'!$A:$A,0)),H693&gt;5000,INDEX('Pliegos Tarifarios (Quilicura)'!$J:$J,MATCH($B693,'Pliegos Tarifarios (Quilicura)'!$A:$A,0)))/1.19</f>
        <v>83.455811764705899</v>
      </c>
      <c r="R693" s="19">
        <f>INDEX('Pliegos Tarifarios (Quilicura)'!$K:$K,MATCH($B693,'Pliegos Tarifarios (Quilicura)'!$A:$A,0))</f>
        <v>729.75599999999997</v>
      </c>
      <c r="S693" s="21">
        <f t="shared" si="33"/>
        <v>25175.82655676471</v>
      </c>
      <c r="T693" s="21">
        <f t="shared" si="34"/>
        <v>4783.4070457852949</v>
      </c>
      <c r="U693" s="19">
        <v>0</v>
      </c>
      <c r="V693" s="21">
        <f t="shared" si="35"/>
        <v>29959.233602550004</v>
      </c>
    </row>
    <row r="694" spans="1:22" x14ac:dyDescent="0.3">
      <c r="A694" s="7" t="s">
        <v>149</v>
      </c>
      <c r="B694" s="7">
        <v>10</v>
      </c>
      <c r="C694" s="8" t="s">
        <v>186</v>
      </c>
      <c r="D694" s="7" t="s">
        <v>254</v>
      </c>
      <c r="E694" s="7" t="s">
        <v>121</v>
      </c>
      <c r="F694" s="8" t="s">
        <v>255</v>
      </c>
      <c r="G694" s="7" t="s">
        <v>30</v>
      </c>
      <c r="H694" s="9">
        <v>126.6862</v>
      </c>
      <c r="I694" s="9">
        <v>0.33750000000000002</v>
      </c>
      <c r="J694" s="9">
        <v>0.33589999999999998</v>
      </c>
      <c r="K694" s="10">
        <v>0.99525925925925918</v>
      </c>
      <c r="L694" s="9">
        <v>4.22</v>
      </c>
      <c r="M694" s="19">
        <f>H694*INDEX('Pliegos Tarifarios (Quilicura)'!$B:$B,MATCH($B694,'Pliegos Tarifarios (Quilicura)'!$A:$A,0))</f>
        <v>16692.5537706</v>
      </c>
      <c r="N694" s="19">
        <f>I694*INDEX('Pliegos Tarifarios (Quilicura)'!$C:$C,MATCH($B694,'Pliegos Tarifarios (Quilicura)'!$A:$A,0))</f>
        <v>1172.3616000000002</v>
      </c>
      <c r="O694" s="19">
        <f>J694*INDEX('Pliegos Tarifarios (Quilicura)'!$D:$D,MATCH($B694,'Pliegos Tarifarios (Quilicura)'!$A:$A,0))</f>
        <v>4885.8687194999993</v>
      </c>
      <c r="P694" s="19">
        <f>H694*INDEX('Pliegos Tarifarios (Quilicura)'!$E:$E,MATCH($B694,'Pliegos Tarifarios (Quilicura)'!$A:$A,0))</f>
        <v>1649.9610687999998</v>
      </c>
      <c r="Q694" s="19" cm="1">
        <f t="array" ref="Q694">H694*_xlfn.IFS(H694&lt;=350,INDEX('Pliegos Tarifarios (Quilicura)'!$F:$F,MATCH($B694,'Pliegos Tarifarios (Quilicura)'!$A:$A,0)),H694&lt;=500,INDEX('Pliegos Tarifarios (Quilicura)'!$G:$G,MATCH($B694,'Pliegos Tarifarios (Quilicura)'!$A:$A,0)),H694&lt;=1000,INDEX('Pliegos Tarifarios (Quilicura)'!$H:$H,MATCH($B694,'Pliegos Tarifarios (Quilicura)'!$A:$A,0)),H694&lt;=5000,INDEX('Pliegos Tarifarios (Quilicura)'!$I:$I,MATCH($B694,'Pliegos Tarifarios (Quilicura)'!$A:$A,0)),H694&gt;5000,INDEX('Pliegos Tarifarios (Quilicura)'!$J:$J,MATCH($B694,'Pliegos Tarifarios (Quilicura)'!$A:$A,0)))/1.19</f>
        <v>83.463849411764713</v>
      </c>
      <c r="R694" s="19">
        <f>INDEX('Pliegos Tarifarios (Quilicura)'!$K:$K,MATCH($B694,'Pliegos Tarifarios (Quilicura)'!$A:$A,0))</f>
        <v>729.75599999999997</v>
      </c>
      <c r="S694" s="21">
        <f t="shared" si="33"/>
        <v>25213.965008311763</v>
      </c>
      <c r="T694" s="21">
        <f t="shared" si="34"/>
        <v>4790.6533515792353</v>
      </c>
      <c r="U694" s="19">
        <v>0</v>
      </c>
      <c r="V694" s="21">
        <f t="shared" si="35"/>
        <v>30004.618359890999</v>
      </c>
    </row>
    <row r="695" spans="1:22" x14ac:dyDescent="0.3">
      <c r="A695" s="7" t="s">
        <v>149</v>
      </c>
      <c r="B695" s="7">
        <v>10</v>
      </c>
      <c r="C695" s="8" t="s">
        <v>186</v>
      </c>
      <c r="D695" s="7" t="s">
        <v>256</v>
      </c>
      <c r="E695" s="7" t="s">
        <v>121</v>
      </c>
      <c r="F695" s="8" t="s">
        <v>257</v>
      </c>
      <c r="G695" s="7" t="s">
        <v>30</v>
      </c>
      <c r="H695" s="9">
        <v>126.80800000000001</v>
      </c>
      <c r="I695" s="9">
        <v>0.33650000000000002</v>
      </c>
      <c r="J695" s="9">
        <v>0.33150000000000002</v>
      </c>
      <c r="K695" s="10">
        <v>0.98514115898959875</v>
      </c>
      <c r="L695" s="9">
        <v>4.2300000000000004</v>
      </c>
      <c r="M695" s="19">
        <f>H695*INDEX('Pliegos Tarifarios (Quilicura)'!$B:$B,MATCH($B695,'Pliegos Tarifarios (Quilicura)'!$A:$A,0))</f>
        <v>16708.602504000002</v>
      </c>
      <c r="N695" s="19">
        <f>I695*INDEX('Pliegos Tarifarios (Quilicura)'!$C:$C,MATCH($B695,'Pliegos Tarifarios (Quilicura)'!$A:$A,0))</f>
        <v>1168.8879360000001</v>
      </c>
      <c r="O695" s="19">
        <f>J695*INDEX('Pliegos Tarifarios (Quilicura)'!$D:$D,MATCH($B695,'Pliegos Tarifarios (Quilicura)'!$A:$A,0))</f>
        <v>4821.8680574999998</v>
      </c>
      <c r="P695" s="19">
        <f>H695*INDEX('Pliegos Tarifarios (Quilicura)'!$E:$E,MATCH($B695,'Pliegos Tarifarios (Quilicura)'!$A:$A,0))</f>
        <v>1651.5473919999999</v>
      </c>
      <c r="Q695" s="19" cm="1">
        <f t="array" ref="Q695">H695*_xlfn.IFS(H695&lt;=350,INDEX('Pliegos Tarifarios (Quilicura)'!$F:$F,MATCH($B695,'Pliegos Tarifarios (Quilicura)'!$A:$A,0)),H695&lt;=500,INDEX('Pliegos Tarifarios (Quilicura)'!$G:$G,MATCH($B695,'Pliegos Tarifarios (Quilicura)'!$A:$A,0)),H695&lt;=1000,INDEX('Pliegos Tarifarios (Quilicura)'!$H:$H,MATCH($B695,'Pliegos Tarifarios (Quilicura)'!$A:$A,0)),H695&lt;=5000,INDEX('Pliegos Tarifarios (Quilicura)'!$I:$I,MATCH($B695,'Pliegos Tarifarios (Quilicura)'!$A:$A,0)),H695&gt;5000,INDEX('Pliegos Tarifarios (Quilicura)'!$J:$J,MATCH($B695,'Pliegos Tarifarios (Quilicura)'!$A:$A,0)))/1.19</f>
        <v>83.544094117647063</v>
      </c>
      <c r="R695" s="19">
        <f>INDEX('Pliegos Tarifarios (Quilicura)'!$K:$K,MATCH($B695,'Pliegos Tarifarios (Quilicura)'!$A:$A,0))</f>
        <v>729.75599999999997</v>
      </c>
      <c r="S695" s="21">
        <f t="shared" si="33"/>
        <v>25164.205983617649</v>
      </c>
      <c r="T695" s="21">
        <f t="shared" si="34"/>
        <v>4781.1991368873532</v>
      </c>
      <c r="U695" s="19">
        <v>0</v>
      </c>
      <c r="V695" s="21">
        <f t="shared" si="35"/>
        <v>29945.405120505002</v>
      </c>
    </row>
    <row r="696" spans="1:22" x14ac:dyDescent="0.3">
      <c r="A696" s="7" t="s">
        <v>149</v>
      </c>
      <c r="B696" s="7">
        <v>10</v>
      </c>
      <c r="C696" s="8" t="s">
        <v>186</v>
      </c>
      <c r="D696" s="7" t="s">
        <v>258</v>
      </c>
      <c r="E696" s="7" t="s">
        <v>121</v>
      </c>
      <c r="F696" s="8" t="s">
        <v>259</v>
      </c>
      <c r="G696" s="7" t="s">
        <v>30</v>
      </c>
      <c r="H696" s="9">
        <v>126.90009999999999</v>
      </c>
      <c r="I696" s="9">
        <v>0.33960000000000001</v>
      </c>
      <c r="J696" s="9">
        <v>0.33019999999999999</v>
      </c>
      <c r="K696" s="10">
        <v>0.9723203769140164</v>
      </c>
      <c r="L696" s="9">
        <v>4.2300000000000004</v>
      </c>
      <c r="M696" s="19">
        <f>H696*INDEX('Pliegos Tarifarios (Quilicura)'!$B:$B,MATCH($B696,'Pliegos Tarifarios (Quilicura)'!$A:$A,0))</f>
        <v>16720.737876300002</v>
      </c>
      <c r="N696" s="19">
        <f>I696*INDEX('Pliegos Tarifarios (Quilicura)'!$C:$C,MATCH($B696,'Pliegos Tarifarios (Quilicura)'!$A:$A,0))</f>
        <v>1179.6562944000002</v>
      </c>
      <c r="O696" s="19">
        <f>J696*INDEX('Pliegos Tarifarios (Quilicura)'!$D:$D,MATCH($B696,'Pliegos Tarifarios (Quilicura)'!$A:$A,0))</f>
        <v>4802.9587709999996</v>
      </c>
      <c r="P696" s="19">
        <f>H696*INDEX('Pliegos Tarifarios (Quilicura)'!$E:$E,MATCH($B696,'Pliegos Tarifarios (Quilicura)'!$A:$A,0))</f>
        <v>1652.7469023999997</v>
      </c>
      <c r="Q696" s="19" cm="1">
        <f t="array" ref="Q696">H696*_xlfn.IFS(H696&lt;=350,INDEX('Pliegos Tarifarios (Quilicura)'!$F:$F,MATCH($B696,'Pliegos Tarifarios (Quilicura)'!$A:$A,0)),H696&lt;=500,INDEX('Pliegos Tarifarios (Quilicura)'!$G:$G,MATCH($B696,'Pliegos Tarifarios (Quilicura)'!$A:$A,0)),H696&lt;=1000,INDEX('Pliegos Tarifarios (Quilicura)'!$H:$H,MATCH($B696,'Pliegos Tarifarios (Quilicura)'!$A:$A,0)),H696&lt;=5000,INDEX('Pliegos Tarifarios (Quilicura)'!$I:$I,MATCH($B696,'Pliegos Tarifarios (Quilicura)'!$A:$A,0)),H696&gt;5000,INDEX('Pliegos Tarifarios (Quilicura)'!$J:$J,MATCH($B696,'Pliegos Tarifarios (Quilicura)'!$A:$A,0)))/1.19</f>
        <v>83.604771764705887</v>
      </c>
      <c r="R696" s="19">
        <f>INDEX('Pliegos Tarifarios (Quilicura)'!$K:$K,MATCH($B696,'Pliegos Tarifarios (Quilicura)'!$A:$A,0))</f>
        <v>729.75599999999997</v>
      </c>
      <c r="S696" s="21">
        <f t="shared" si="33"/>
        <v>25169.460615864708</v>
      </c>
      <c r="T696" s="21">
        <f t="shared" si="34"/>
        <v>4782.1975170142941</v>
      </c>
      <c r="U696" s="19">
        <v>0</v>
      </c>
      <c r="V696" s="21">
        <f t="shared" si="35"/>
        <v>29951.658132879002</v>
      </c>
    </row>
    <row r="697" spans="1:22" x14ac:dyDescent="0.3">
      <c r="A697" s="7" t="s">
        <v>149</v>
      </c>
      <c r="B697" s="7">
        <v>10</v>
      </c>
      <c r="C697" s="8" t="s">
        <v>186</v>
      </c>
      <c r="D697" s="7" t="s">
        <v>260</v>
      </c>
      <c r="E697" s="7" t="s">
        <v>121</v>
      </c>
      <c r="F697" s="8" t="s">
        <v>261</v>
      </c>
      <c r="G697" s="7" t="s">
        <v>16</v>
      </c>
      <c r="H697" s="9">
        <v>1042.6016</v>
      </c>
      <c r="I697" s="9">
        <v>2.8216000000000001</v>
      </c>
      <c r="J697" s="9">
        <v>2.7864</v>
      </c>
      <c r="K697" s="10">
        <v>0.98752480861922309</v>
      </c>
      <c r="L697" s="9">
        <v>34.75</v>
      </c>
      <c r="M697" s="19">
        <f>H697*INDEX('Pliegos Tarifarios (Quilicura)'!$B:$B,MATCH($B697,'Pliegos Tarifarios (Quilicura)'!$A:$A,0))</f>
        <v>137376.3146208</v>
      </c>
      <c r="N697" s="19">
        <f>I697*INDEX('Pliegos Tarifarios (Quilicura)'!$C:$C,MATCH($B697,'Pliegos Tarifarios (Quilicura)'!$A:$A,0))</f>
        <v>9801.2903424000015</v>
      </c>
      <c r="O697" s="19">
        <f>J697*INDEX('Pliegos Tarifarios (Quilicura)'!$D:$D,MATCH($B697,'Pliegos Tarifarios (Quilicura)'!$A:$A,0))</f>
        <v>40529.873771999999</v>
      </c>
      <c r="P697" s="19">
        <f>H697*INDEX('Pliegos Tarifarios (Quilicura)'!$E:$E,MATCH($B697,'Pliegos Tarifarios (Quilicura)'!$A:$A,0))</f>
        <v>13578.843238399999</v>
      </c>
      <c r="Q697" s="19" cm="1">
        <f t="array" ref="Q697">H697*_xlfn.IFS(H697&lt;=350,INDEX('Pliegos Tarifarios (Quilicura)'!$F:$F,MATCH($B697,'Pliegos Tarifarios (Quilicura)'!$A:$A,0)),H697&lt;=500,INDEX('Pliegos Tarifarios (Quilicura)'!$G:$G,MATCH($B697,'Pliegos Tarifarios (Quilicura)'!$A:$A,0)),H697&lt;=1000,INDEX('Pliegos Tarifarios (Quilicura)'!$H:$H,MATCH($B697,'Pliegos Tarifarios (Quilicura)'!$A:$A,0)),H697&lt;=5000,INDEX('Pliegos Tarifarios (Quilicura)'!$I:$I,MATCH($B697,'Pliegos Tarifarios (Quilicura)'!$A:$A,0)),H697&gt;5000,INDEX('Pliegos Tarifarios (Quilicura)'!$J:$J,MATCH($B697,'Pliegos Tarifarios (Quilicura)'!$A:$A,0)))/1.19</f>
        <v>3128.6809357983193</v>
      </c>
      <c r="R697" s="19">
        <f>INDEX('Pliegos Tarifarios (Quilicura)'!$K:$K,MATCH($B697,'Pliegos Tarifarios (Quilicura)'!$A:$A,0))</f>
        <v>729.75599999999997</v>
      </c>
      <c r="S697" s="21">
        <f t="shared" si="33"/>
        <v>205144.75890939831</v>
      </c>
      <c r="T697" s="21">
        <f t="shared" si="34"/>
        <v>38977.50419278568</v>
      </c>
      <c r="U697" s="19">
        <v>0</v>
      </c>
      <c r="V697" s="21">
        <f t="shared" si="35"/>
        <v>244122.26310218399</v>
      </c>
    </row>
    <row r="698" spans="1:22" x14ac:dyDescent="0.3">
      <c r="A698" s="7" t="s">
        <v>149</v>
      </c>
      <c r="B698" s="7">
        <v>10</v>
      </c>
      <c r="C698" s="8" t="s">
        <v>186</v>
      </c>
      <c r="D698" s="7" t="s">
        <v>262</v>
      </c>
      <c r="E698" s="7" t="s">
        <v>121</v>
      </c>
      <c r="F698" s="8" t="s">
        <v>263</v>
      </c>
      <c r="G698" s="7" t="s">
        <v>16</v>
      </c>
      <c r="H698" s="9">
        <v>1043.1596</v>
      </c>
      <c r="I698" s="9">
        <v>2.7845</v>
      </c>
      <c r="J698" s="9">
        <v>2.7623000000000002</v>
      </c>
      <c r="K698" s="10">
        <v>0.99202729394864431</v>
      </c>
      <c r="L698" s="9">
        <v>34.770000000000003</v>
      </c>
      <c r="M698" s="19">
        <f>H698*INDEX('Pliegos Tarifarios (Quilicura)'!$B:$B,MATCH($B698,'Pliegos Tarifarios (Quilicura)'!$A:$A,0))</f>
        <v>137449.83837479999</v>
      </c>
      <c r="N698" s="19">
        <f>I698*INDEX('Pliegos Tarifarios (Quilicura)'!$C:$C,MATCH($B698,'Pliegos Tarifarios (Quilicura)'!$A:$A,0))</f>
        <v>9672.4174080000012</v>
      </c>
      <c r="O698" s="19">
        <f>J698*INDEX('Pliegos Tarifarios (Quilicura)'!$D:$D,MATCH($B698,'Pliegos Tarifarios (Quilicura)'!$A:$A,0))</f>
        <v>40179.324691499998</v>
      </c>
      <c r="P698" s="19">
        <f>H698*INDEX('Pliegos Tarifarios (Quilicura)'!$E:$E,MATCH($B698,'Pliegos Tarifarios (Quilicura)'!$A:$A,0))</f>
        <v>13586.110630399999</v>
      </c>
      <c r="Q698" s="19" cm="1">
        <f t="array" ref="Q698">H698*_xlfn.IFS(H698&lt;=350,INDEX('Pliegos Tarifarios (Quilicura)'!$F:$F,MATCH($B698,'Pliegos Tarifarios (Quilicura)'!$A:$A,0)),H698&lt;=500,INDEX('Pliegos Tarifarios (Quilicura)'!$G:$G,MATCH($B698,'Pliegos Tarifarios (Quilicura)'!$A:$A,0)),H698&lt;=1000,INDEX('Pliegos Tarifarios (Quilicura)'!$H:$H,MATCH($B698,'Pliegos Tarifarios (Quilicura)'!$A:$A,0)),H698&lt;=5000,INDEX('Pliegos Tarifarios (Quilicura)'!$I:$I,MATCH($B698,'Pliegos Tarifarios (Quilicura)'!$A:$A,0)),H698&gt;5000,INDEX('Pliegos Tarifarios (Quilicura)'!$J:$J,MATCH($B698,'Pliegos Tarifarios (Quilicura)'!$A:$A,0)))/1.19</f>
        <v>3130.3554047058819</v>
      </c>
      <c r="R698" s="19">
        <f>INDEX('Pliegos Tarifarios (Quilicura)'!$K:$K,MATCH($B698,'Pliegos Tarifarios (Quilicura)'!$A:$A,0))</f>
        <v>729.75599999999997</v>
      </c>
      <c r="S698" s="21">
        <f t="shared" si="33"/>
        <v>204747.80250940585</v>
      </c>
      <c r="T698" s="21">
        <f t="shared" si="34"/>
        <v>38902.082476787116</v>
      </c>
      <c r="U698" s="19">
        <v>0</v>
      </c>
      <c r="V698" s="21">
        <f t="shared" si="35"/>
        <v>243649.88498619298</v>
      </c>
    </row>
    <row r="699" spans="1:22" x14ac:dyDescent="0.3">
      <c r="A699" s="7" t="s">
        <v>149</v>
      </c>
      <c r="B699" s="7">
        <v>10</v>
      </c>
      <c r="C699" s="8" t="s">
        <v>186</v>
      </c>
      <c r="D699" s="7" t="s">
        <v>264</v>
      </c>
      <c r="E699" s="7" t="s">
        <v>121</v>
      </c>
      <c r="F699" s="8" t="s">
        <v>265</v>
      </c>
      <c r="G699" s="7" t="s">
        <v>16</v>
      </c>
      <c r="H699" s="9">
        <v>845.21159999999998</v>
      </c>
      <c r="I699" s="9">
        <v>2.2513999999999998</v>
      </c>
      <c r="J699" s="9">
        <v>2.2098</v>
      </c>
      <c r="K699" s="10">
        <v>0.98152260815492587</v>
      </c>
      <c r="L699" s="9">
        <v>28.17</v>
      </c>
      <c r="M699" s="19">
        <f>H699*INDEX('Pliegos Tarifarios (Quilicura)'!$B:$B,MATCH($B699,'Pliegos Tarifarios (Quilicura)'!$A:$A,0))</f>
        <v>111367.6160508</v>
      </c>
      <c r="N699" s="19">
        <f>I699*INDEX('Pliegos Tarifarios (Quilicura)'!$C:$C,MATCH($B699,'Pliegos Tarifarios (Quilicura)'!$A:$A,0))</f>
        <v>7820.6071296</v>
      </c>
      <c r="O699" s="19">
        <f>J699*INDEX('Pliegos Tarifarios (Quilicura)'!$D:$D,MATCH($B699,'Pliegos Tarifarios (Quilicura)'!$A:$A,0))</f>
        <v>32142.877928999998</v>
      </c>
      <c r="P699" s="19">
        <f>H699*INDEX('Pliegos Tarifarios (Quilicura)'!$E:$E,MATCH($B699,'Pliegos Tarifarios (Quilicura)'!$A:$A,0))</f>
        <v>11008.035878399998</v>
      </c>
      <c r="Q699" s="19" cm="1">
        <f t="array" ref="Q699">H699*_xlfn.IFS(H699&lt;=350,INDEX('Pliegos Tarifarios (Quilicura)'!$F:$F,MATCH($B699,'Pliegos Tarifarios (Quilicura)'!$A:$A,0)),H699&lt;=500,INDEX('Pliegos Tarifarios (Quilicura)'!$G:$G,MATCH($B699,'Pliegos Tarifarios (Quilicura)'!$A:$A,0)),H699&lt;=1000,INDEX('Pliegos Tarifarios (Quilicura)'!$H:$H,MATCH($B699,'Pliegos Tarifarios (Quilicura)'!$A:$A,0)),H699&lt;=5000,INDEX('Pliegos Tarifarios (Quilicura)'!$I:$I,MATCH($B699,'Pliegos Tarifarios (Quilicura)'!$A:$A,0)),H699&gt;5000,INDEX('Pliegos Tarifarios (Quilicura)'!$J:$J,MATCH($B699,'Pliegos Tarifarios (Quilicura)'!$A:$A,0)))/1.19</f>
        <v>1982.340819831933</v>
      </c>
      <c r="R699" s="19">
        <f>INDEX('Pliegos Tarifarios (Quilicura)'!$K:$K,MATCH($B699,'Pliegos Tarifarios (Quilicura)'!$A:$A,0))</f>
        <v>729.75599999999997</v>
      </c>
      <c r="S699" s="21">
        <f t="shared" si="33"/>
        <v>165051.23380763194</v>
      </c>
      <c r="T699" s="21">
        <f t="shared" si="34"/>
        <v>31359.734423450071</v>
      </c>
      <c r="U699" s="19">
        <v>0</v>
      </c>
      <c r="V699" s="21">
        <f t="shared" si="35"/>
        <v>196410.96823108202</v>
      </c>
    </row>
    <row r="700" spans="1:22" x14ac:dyDescent="0.3">
      <c r="A700" s="7" t="s">
        <v>149</v>
      </c>
      <c r="B700" s="7">
        <v>10</v>
      </c>
      <c r="C700" s="8" t="s">
        <v>186</v>
      </c>
      <c r="D700" s="7" t="s">
        <v>266</v>
      </c>
      <c r="E700" s="7" t="s">
        <v>121</v>
      </c>
      <c r="F700" s="8" t="s">
        <v>267</v>
      </c>
      <c r="G700" s="7" t="s">
        <v>16</v>
      </c>
      <c r="H700" s="9">
        <v>347.47519999999997</v>
      </c>
      <c r="I700" s="9">
        <v>0.92279999999999995</v>
      </c>
      <c r="J700" s="9">
        <v>0.9052</v>
      </c>
      <c r="K700" s="10">
        <v>0.98092761161681841</v>
      </c>
      <c r="L700" s="9">
        <v>11.58</v>
      </c>
      <c r="M700" s="19">
        <f>H700*INDEX('Pliegos Tarifarios (Quilicura)'!$B:$B,MATCH($B700,'Pliegos Tarifarios (Quilicura)'!$A:$A,0))</f>
        <v>45784.374777599995</v>
      </c>
      <c r="N700" s="19">
        <f>I700*INDEX('Pliegos Tarifarios (Quilicura)'!$C:$C,MATCH($B700,'Pliegos Tarifarios (Quilicura)'!$A:$A,0))</f>
        <v>3205.4971392000002</v>
      </c>
      <c r="O700" s="19">
        <f>J700*INDEX('Pliegos Tarifarios (Quilicura)'!$D:$D,MATCH($B700,'Pliegos Tarifarios (Quilicura)'!$A:$A,0))</f>
        <v>13166.681645999999</v>
      </c>
      <c r="P700" s="19">
        <f>H700*INDEX('Pliegos Tarifarios (Quilicura)'!$E:$E,MATCH($B700,'Pliegos Tarifarios (Quilicura)'!$A:$A,0))</f>
        <v>4525.5170047999991</v>
      </c>
      <c r="Q700" s="19" cm="1">
        <f t="array" ref="Q700">H700*_xlfn.IFS(H700&lt;=350,INDEX('Pliegos Tarifarios (Quilicura)'!$F:$F,MATCH($B700,'Pliegos Tarifarios (Quilicura)'!$A:$A,0)),H700&lt;=500,INDEX('Pliegos Tarifarios (Quilicura)'!$G:$G,MATCH($B700,'Pliegos Tarifarios (Quilicura)'!$A:$A,0)),H700&lt;=1000,INDEX('Pliegos Tarifarios (Quilicura)'!$H:$H,MATCH($B700,'Pliegos Tarifarios (Quilicura)'!$A:$A,0)),H700&lt;=5000,INDEX('Pliegos Tarifarios (Quilicura)'!$I:$I,MATCH($B700,'Pliegos Tarifarios (Quilicura)'!$A:$A,0)),H700&gt;5000,INDEX('Pliegos Tarifarios (Quilicura)'!$J:$J,MATCH($B700,'Pliegos Tarifarios (Quilicura)'!$A:$A,0)))/1.19</f>
        <v>228.92483764705881</v>
      </c>
      <c r="R700" s="19">
        <f>INDEX('Pliegos Tarifarios (Quilicura)'!$K:$K,MATCH($B700,'Pliegos Tarifarios (Quilicura)'!$A:$A,0))</f>
        <v>729.75599999999997</v>
      </c>
      <c r="S700" s="21">
        <f t="shared" si="33"/>
        <v>67640.751405247051</v>
      </c>
      <c r="T700" s="21">
        <f t="shared" si="34"/>
        <v>12851.74276699694</v>
      </c>
      <c r="U700" s="19">
        <v>0</v>
      </c>
      <c r="V700" s="21">
        <f t="shared" si="35"/>
        <v>80492.494172243983</v>
      </c>
    </row>
    <row r="701" spans="1:22" x14ac:dyDescent="0.3">
      <c r="A701" s="7" t="s">
        <v>149</v>
      </c>
      <c r="B701" s="7">
        <v>10</v>
      </c>
      <c r="C701" s="8" t="s">
        <v>186</v>
      </c>
      <c r="D701" s="7" t="s">
        <v>268</v>
      </c>
      <c r="E701" s="7" t="s">
        <v>121</v>
      </c>
      <c r="F701" s="8" t="s">
        <v>269</v>
      </c>
      <c r="G701" s="7" t="s">
        <v>16</v>
      </c>
      <c r="H701" s="9">
        <v>263.09129999999999</v>
      </c>
      <c r="I701" s="9">
        <v>0.72519999999999996</v>
      </c>
      <c r="J701" s="9">
        <v>0.68859999999999999</v>
      </c>
      <c r="K701" s="10">
        <v>0.94953116381687819</v>
      </c>
      <c r="L701" s="9">
        <v>8.77</v>
      </c>
      <c r="M701" s="19">
        <f>H701*INDEX('Pliegos Tarifarios (Quilicura)'!$B:$B,MATCH($B701,'Pliegos Tarifarios (Quilicura)'!$A:$A,0))</f>
        <v>34665.698961900001</v>
      </c>
      <c r="N701" s="19">
        <f>I701*INDEX('Pliegos Tarifarios (Quilicura)'!$C:$C,MATCH($B701,'Pliegos Tarifarios (Quilicura)'!$A:$A,0))</f>
        <v>2519.1011328</v>
      </c>
      <c r="O701" s="19">
        <f>J701*INDEX('Pliegos Tarifarios (Quilicura)'!$D:$D,MATCH($B701,'Pliegos Tarifarios (Quilicura)'!$A:$A,0))</f>
        <v>10016.103603</v>
      </c>
      <c r="P701" s="19">
        <f>H701*INDEX('Pliegos Tarifarios (Quilicura)'!$E:$E,MATCH($B701,'Pliegos Tarifarios (Quilicura)'!$A:$A,0))</f>
        <v>3426.5010911999998</v>
      </c>
      <c r="Q701" s="19" cm="1">
        <f t="array" ref="Q701">H701*_xlfn.IFS(H701&lt;=350,INDEX('Pliegos Tarifarios (Quilicura)'!$F:$F,MATCH($B701,'Pliegos Tarifarios (Quilicura)'!$A:$A,0)),H701&lt;=500,INDEX('Pliegos Tarifarios (Quilicura)'!$G:$G,MATCH($B701,'Pliegos Tarifarios (Quilicura)'!$A:$A,0)),H701&lt;=1000,INDEX('Pliegos Tarifarios (Quilicura)'!$H:$H,MATCH($B701,'Pliegos Tarifarios (Quilicura)'!$A:$A,0)),H701&lt;=5000,INDEX('Pliegos Tarifarios (Quilicura)'!$I:$I,MATCH($B701,'Pliegos Tarifarios (Quilicura)'!$A:$A,0)),H701&gt;5000,INDEX('Pliegos Tarifarios (Quilicura)'!$J:$J,MATCH($B701,'Pliegos Tarifarios (Quilicura)'!$A:$A,0)))/1.19</f>
        <v>173.33073882352943</v>
      </c>
      <c r="R701" s="19">
        <f>INDEX('Pliegos Tarifarios (Quilicura)'!$K:$K,MATCH($B701,'Pliegos Tarifarios (Quilicura)'!$A:$A,0))</f>
        <v>729.75599999999997</v>
      </c>
      <c r="S701" s="21">
        <f t="shared" si="33"/>
        <v>51530.491527723534</v>
      </c>
      <c r="T701" s="21">
        <f t="shared" si="34"/>
        <v>9790.7933902674722</v>
      </c>
      <c r="U701" s="19">
        <v>0</v>
      </c>
      <c r="V701" s="21">
        <f t="shared" si="35"/>
        <v>61321.284917991004</v>
      </c>
    </row>
    <row r="702" spans="1:22" x14ac:dyDescent="0.3">
      <c r="A702" s="7" t="s">
        <v>149</v>
      </c>
      <c r="B702" s="7">
        <v>10</v>
      </c>
      <c r="C702" s="8" t="s">
        <v>186</v>
      </c>
      <c r="D702" s="7" t="s">
        <v>270</v>
      </c>
      <c r="E702" s="7" t="s">
        <v>121</v>
      </c>
      <c r="F702" s="8" t="s">
        <v>271</v>
      </c>
      <c r="G702" s="7" t="s">
        <v>16</v>
      </c>
      <c r="H702" s="9">
        <v>115.7285</v>
      </c>
      <c r="I702" s="9">
        <v>0.30599999999999999</v>
      </c>
      <c r="J702" s="9">
        <v>0.30599999999999999</v>
      </c>
      <c r="K702" s="10">
        <v>1</v>
      </c>
      <c r="L702" s="9">
        <v>3.86</v>
      </c>
      <c r="M702" s="19">
        <f>H702*INDEX('Pliegos Tarifarios (Quilicura)'!$B:$B,MATCH($B702,'Pliegos Tarifarios (Quilicura)'!$A:$A,0))</f>
        <v>15248.734345500001</v>
      </c>
      <c r="N702" s="19">
        <f>I702*INDEX('Pliegos Tarifarios (Quilicura)'!$C:$C,MATCH($B702,'Pliegos Tarifarios (Quilicura)'!$A:$A,0))</f>
        <v>1062.941184</v>
      </c>
      <c r="O702" s="19">
        <f>J702*INDEX('Pliegos Tarifarios (Quilicura)'!$D:$D,MATCH($B702,'Pliegos Tarifarios (Quilicura)'!$A:$A,0))</f>
        <v>4450.9551299999994</v>
      </c>
      <c r="P702" s="19">
        <f>H702*INDEX('Pliegos Tarifarios (Quilicura)'!$E:$E,MATCH($B702,'Pliegos Tarifarios (Quilicura)'!$A:$A,0))</f>
        <v>1507.2479839999999</v>
      </c>
      <c r="Q702" s="19" cm="1">
        <f t="array" ref="Q702">H702*_xlfn.IFS(H702&lt;=350,INDEX('Pliegos Tarifarios (Quilicura)'!$F:$F,MATCH($B702,'Pliegos Tarifarios (Quilicura)'!$A:$A,0)),H702&lt;=500,INDEX('Pliegos Tarifarios (Quilicura)'!$G:$G,MATCH($B702,'Pliegos Tarifarios (Quilicura)'!$A:$A,0)),H702&lt;=1000,INDEX('Pliegos Tarifarios (Quilicura)'!$H:$H,MATCH($B702,'Pliegos Tarifarios (Quilicura)'!$A:$A,0)),H702&lt;=5000,INDEX('Pliegos Tarifarios (Quilicura)'!$I:$I,MATCH($B702,'Pliegos Tarifarios (Quilicura)'!$A:$A,0)),H702&gt;5000,INDEX('Pliegos Tarifarios (Quilicura)'!$J:$J,MATCH($B702,'Pliegos Tarifarios (Quilicura)'!$A:$A,0)))/1.19</f>
        <v>76.24465882352942</v>
      </c>
      <c r="R702" s="19">
        <f>INDEX('Pliegos Tarifarios (Quilicura)'!$K:$K,MATCH($B702,'Pliegos Tarifarios (Quilicura)'!$A:$A,0))</f>
        <v>729.75599999999997</v>
      </c>
      <c r="S702" s="21">
        <f t="shared" si="33"/>
        <v>23075.87930232353</v>
      </c>
      <c r="T702" s="21">
        <f t="shared" si="34"/>
        <v>4384.4170674414709</v>
      </c>
      <c r="U702" s="19">
        <v>0</v>
      </c>
      <c r="V702" s="21">
        <f t="shared" si="35"/>
        <v>27460.296369765001</v>
      </c>
    </row>
    <row r="703" spans="1:22" x14ac:dyDescent="0.3">
      <c r="A703" s="7" t="s">
        <v>149</v>
      </c>
      <c r="B703" s="7">
        <v>10</v>
      </c>
      <c r="C703" s="8" t="s">
        <v>186</v>
      </c>
      <c r="D703" s="7" t="s">
        <v>272</v>
      </c>
      <c r="E703" s="7" t="s">
        <v>121</v>
      </c>
      <c r="F703" s="8" t="s">
        <v>273</v>
      </c>
      <c r="G703" s="7" t="s">
        <v>16</v>
      </c>
      <c r="H703" s="9">
        <v>1920.1783</v>
      </c>
      <c r="I703" s="9">
        <v>5.1424000000000003</v>
      </c>
      <c r="J703" s="9">
        <v>5.1424000000000003</v>
      </c>
      <c r="K703" s="10">
        <v>1</v>
      </c>
      <c r="L703" s="9">
        <v>64.010000000000005</v>
      </c>
      <c r="M703" s="19">
        <f>H703*INDEX('Pliegos Tarifarios (Quilicura)'!$B:$B,MATCH($B703,'Pliegos Tarifarios (Quilicura)'!$A:$A,0))</f>
        <v>253008.4533429</v>
      </c>
      <c r="N703" s="19">
        <f>I703*INDEX('Pliegos Tarifarios (Quilicura)'!$C:$C,MATCH($B703,'Pliegos Tarifarios (Quilicura)'!$A:$A,0))</f>
        <v>17862.969753600002</v>
      </c>
      <c r="O703" s="19">
        <f>J703*INDEX('Pliegos Tarifarios (Quilicura)'!$D:$D,MATCH($B703,'Pliegos Tarifarios (Quilicura)'!$A:$A,0))</f>
        <v>74799.319151999996</v>
      </c>
      <c r="P703" s="19">
        <f>H703*INDEX('Pliegos Tarifarios (Quilicura)'!$E:$E,MATCH($B703,'Pliegos Tarifarios (Quilicura)'!$A:$A,0))</f>
        <v>25008.402179199998</v>
      </c>
      <c r="Q703" s="19" cm="1">
        <f t="array" ref="Q703">H703*_xlfn.IFS(H703&lt;=350,INDEX('Pliegos Tarifarios (Quilicura)'!$F:$F,MATCH($B703,'Pliegos Tarifarios (Quilicura)'!$A:$A,0)),H703&lt;=500,INDEX('Pliegos Tarifarios (Quilicura)'!$G:$G,MATCH($B703,'Pliegos Tarifarios (Quilicura)'!$A:$A,0)),H703&lt;=1000,INDEX('Pliegos Tarifarios (Quilicura)'!$H:$H,MATCH($B703,'Pliegos Tarifarios (Quilicura)'!$A:$A,0)),H703&lt;=5000,INDEX('Pliegos Tarifarios (Quilicura)'!$I:$I,MATCH($B703,'Pliegos Tarifarios (Quilicura)'!$A:$A,0)),H703&gt;5000,INDEX('Pliegos Tarifarios (Quilicura)'!$J:$J,MATCH($B703,'Pliegos Tarifarios (Quilicura)'!$A:$A,0)))/1.19</f>
        <v>5762.1484952100836</v>
      </c>
      <c r="R703" s="19">
        <f>INDEX('Pliegos Tarifarios (Quilicura)'!$K:$K,MATCH($B703,'Pliegos Tarifarios (Quilicura)'!$A:$A,0))</f>
        <v>729.75599999999997</v>
      </c>
      <c r="S703" s="21">
        <f t="shared" si="33"/>
        <v>377171.04892291006</v>
      </c>
      <c r="T703" s="21">
        <f t="shared" si="34"/>
        <v>71662.499295352914</v>
      </c>
      <c r="U703" s="19">
        <v>0</v>
      </c>
      <c r="V703" s="21">
        <f t="shared" si="35"/>
        <v>448833.54821826296</v>
      </c>
    </row>
    <row r="704" spans="1:22" x14ac:dyDescent="0.3">
      <c r="A704" s="3" t="s">
        <v>150</v>
      </c>
      <c r="B704" s="3">
        <v>11</v>
      </c>
      <c r="C704" s="4" t="s">
        <v>186</v>
      </c>
      <c r="D704" s="3" t="s">
        <v>187</v>
      </c>
      <c r="E704" s="3" t="s">
        <v>14</v>
      </c>
      <c r="F704" s="4" t="s">
        <v>15</v>
      </c>
      <c r="G704" s="3" t="s">
        <v>16</v>
      </c>
      <c r="H704" s="5">
        <v>12639.154</v>
      </c>
      <c r="I704" s="5">
        <v>34.677399999999999</v>
      </c>
      <c r="J704" s="5">
        <v>33.936199999999999</v>
      </c>
      <c r="K704" s="6">
        <v>0.97862584853535739</v>
      </c>
      <c r="L704" s="5">
        <v>407.71</v>
      </c>
      <c r="M704" s="19">
        <f>H704*INDEX('Pliegos Tarifarios (Quilicura)'!$B:$B,MATCH($B704,'Pliegos Tarifarios (Quilicura)'!$A:$A,0))</f>
        <v>1665372.8485020001</v>
      </c>
      <c r="N704" s="19">
        <f>I704*INDEX('Pliegos Tarifarios (Quilicura)'!$C:$C,MATCH($B704,'Pliegos Tarifarios (Quilicura)'!$A:$A,0))</f>
        <v>120517.93999219999</v>
      </c>
      <c r="O704" s="19">
        <f>J704*INDEX('Pliegos Tarifarios (Quilicura)'!$D:$D,MATCH($B704,'Pliegos Tarifarios (Quilicura)'!$A:$A,0))</f>
        <v>493760.57892639999</v>
      </c>
      <c r="P704" s="19">
        <f>H704*INDEX('Pliegos Tarifarios (Quilicura)'!$E:$E,MATCH($B704,'Pliegos Tarifarios (Quilicura)'!$A:$A,0))</f>
        <v>164612.34169599999</v>
      </c>
      <c r="Q704" s="19" cm="1">
        <f t="array" ref="Q704">H704*_xlfn.IFS(H704&lt;=350,INDEX('Pliegos Tarifarios (Quilicura)'!$F:$F,MATCH($B704,'Pliegos Tarifarios (Quilicura)'!$A:$A,0)),H704&lt;=500,INDEX('Pliegos Tarifarios (Quilicura)'!$G:$G,MATCH($B704,'Pliegos Tarifarios (Quilicura)'!$A:$A,0)),H704&lt;=1000,INDEX('Pliegos Tarifarios (Quilicura)'!$H:$H,MATCH($B704,'Pliegos Tarifarios (Quilicura)'!$A:$A,0)),H704&lt;=5000,INDEX('Pliegos Tarifarios (Quilicura)'!$I:$I,MATCH($B704,'Pliegos Tarifarios (Quilicura)'!$A:$A,0)),H704&gt;5000,INDEX('Pliegos Tarifarios (Quilicura)'!$J:$J,MATCH($B704,'Pliegos Tarifarios (Quilicura)'!$A:$A,0)))/1.19</f>
        <v>41475.543168067234</v>
      </c>
      <c r="R704" s="19">
        <f>INDEX('Pliegos Tarifarios (Quilicura)'!$K:$K,MATCH($B704,'Pliegos Tarifarios (Quilicura)'!$A:$A,0))</f>
        <v>732.99199999999996</v>
      </c>
      <c r="S704" s="21">
        <f t="shared" si="33"/>
        <v>2486472.2442846675</v>
      </c>
      <c r="T704" s="21">
        <f t="shared" si="34"/>
        <v>472429.72641408682</v>
      </c>
      <c r="U704" s="19">
        <v>0</v>
      </c>
      <c r="V704" s="21">
        <f t="shared" si="35"/>
        <v>2958901.9706987543</v>
      </c>
    </row>
    <row r="705" spans="1:22" x14ac:dyDescent="0.3">
      <c r="A705" s="3" t="s">
        <v>150</v>
      </c>
      <c r="B705" s="3">
        <v>11</v>
      </c>
      <c r="C705" s="4" t="s">
        <v>186</v>
      </c>
      <c r="D705" s="3" t="s">
        <v>188</v>
      </c>
      <c r="E705" s="3" t="s">
        <v>18</v>
      </c>
      <c r="F705" s="4" t="s">
        <v>19</v>
      </c>
      <c r="G705" s="3" t="s">
        <v>16</v>
      </c>
      <c r="H705" s="5">
        <v>6302.2802000000001</v>
      </c>
      <c r="I705" s="5">
        <v>17.1266</v>
      </c>
      <c r="J705" s="5">
        <v>17.126300000000001</v>
      </c>
      <c r="K705" s="6">
        <v>0.99998248338841333</v>
      </c>
      <c r="L705" s="5">
        <v>203.3</v>
      </c>
      <c r="M705" s="19">
        <f>H705*INDEX('Pliegos Tarifarios (Quilicura)'!$B:$B,MATCH($B705,'Pliegos Tarifarios (Quilicura)'!$A:$A,0))</f>
        <v>830407.34599260008</v>
      </c>
      <c r="N705" s="19">
        <f>I705*INDEX('Pliegos Tarifarios (Quilicura)'!$C:$C,MATCH($B705,'Pliegos Tarifarios (Quilicura)'!$A:$A,0))</f>
        <v>59521.837019799998</v>
      </c>
      <c r="O705" s="19">
        <f>J705*INDEX('Pliegos Tarifarios (Quilicura)'!$D:$D,MATCH($B705,'Pliegos Tarifarios (Quilicura)'!$A:$A,0))</f>
        <v>249182.04757360002</v>
      </c>
      <c r="P705" s="19">
        <f>H705*INDEX('Pliegos Tarifarios (Quilicura)'!$E:$E,MATCH($B705,'Pliegos Tarifarios (Quilicura)'!$A:$A,0))</f>
        <v>82080.897324799997</v>
      </c>
      <c r="Q705" s="19" cm="1">
        <f t="array" ref="Q705">H705*_xlfn.IFS(H705&lt;=350,INDEX('Pliegos Tarifarios (Quilicura)'!$F:$F,MATCH($B705,'Pliegos Tarifarios (Quilicura)'!$A:$A,0)),H705&lt;=500,INDEX('Pliegos Tarifarios (Quilicura)'!$G:$G,MATCH($B705,'Pliegos Tarifarios (Quilicura)'!$A:$A,0)),H705&lt;=1000,INDEX('Pliegos Tarifarios (Quilicura)'!$H:$H,MATCH($B705,'Pliegos Tarifarios (Quilicura)'!$A:$A,0)),H705&lt;=5000,INDEX('Pliegos Tarifarios (Quilicura)'!$I:$I,MATCH($B705,'Pliegos Tarifarios (Quilicura)'!$A:$A,0)),H705&gt;5000,INDEX('Pliegos Tarifarios (Quilicura)'!$J:$J,MATCH($B705,'Pliegos Tarifarios (Quilicura)'!$A:$A,0)))/1.19</f>
        <v>20681.011916806725</v>
      </c>
      <c r="R705" s="19">
        <f>INDEX('Pliegos Tarifarios (Quilicura)'!$K:$K,MATCH($B705,'Pliegos Tarifarios (Quilicura)'!$A:$A,0))</f>
        <v>732.99199999999996</v>
      </c>
      <c r="S705" s="21">
        <f t="shared" ref="S705:S768" si="36">SUM(M705:R705)</f>
        <v>1242606.1318276068</v>
      </c>
      <c r="T705" s="21">
        <f t="shared" ref="T705:T768" si="37">S705*0.19</f>
        <v>236095.1650472453</v>
      </c>
      <c r="U705" s="19">
        <v>0</v>
      </c>
      <c r="V705" s="21">
        <f t="shared" ref="V705:V768" si="38">SUM(S705:T705)</f>
        <v>1478701.2968748522</v>
      </c>
    </row>
    <row r="706" spans="1:22" x14ac:dyDescent="0.3">
      <c r="A706" s="3" t="s">
        <v>150</v>
      </c>
      <c r="B706" s="3">
        <v>11</v>
      </c>
      <c r="C706" s="4" t="s">
        <v>186</v>
      </c>
      <c r="D706" s="3" t="s">
        <v>189</v>
      </c>
      <c r="E706" s="3" t="s">
        <v>18</v>
      </c>
      <c r="F706" s="4" t="s">
        <v>21</v>
      </c>
      <c r="G706" s="3" t="s">
        <v>16</v>
      </c>
      <c r="H706" s="5">
        <v>5039.7551000000003</v>
      </c>
      <c r="I706" s="5">
        <v>13.9648</v>
      </c>
      <c r="J706" s="5">
        <v>13.7273</v>
      </c>
      <c r="K706" s="6">
        <v>0.98299295371219064</v>
      </c>
      <c r="L706" s="5">
        <v>162.57</v>
      </c>
      <c r="M706" s="19">
        <f>H706*INDEX('Pliegos Tarifarios (Quilicura)'!$B:$B,MATCH($B706,'Pliegos Tarifarios (Quilicura)'!$A:$A,0))</f>
        <v>664053.25124130002</v>
      </c>
      <c r="N706" s="19">
        <f>I706*INDEX('Pliegos Tarifarios (Quilicura)'!$C:$C,MATCH($B706,'Pliegos Tarifarios (Quilicura)'!$A:$A,0))</f>
        <v>48533.307814399996</v>
      </c>
      <c r="O706" s="19">
        <f>J706*INDEX('Pliegos Tarifarios (Quilicura)'!$D:$D,MATCH($B706,'Pliegos Tarifarios (Quilicura)'!$A:$A,0))</f>
        <v>199727.71244559999</v>
      </c>
      <c r="P706" s="19">
        <f>H706*INDEX('Pliegos Tarifarios (Quilicura)'!$E:$E,MATCH($B706,'Pliegos Tarifarios (Quilicura)'!$A:$A,0))</f>
        <v>65637.770422400004</v>
      </c>
      <c r="Q706" s="19" cm="1">
        <f t="array" ref="Q706">H706*_xlfn.IFS(H706&lt;=350,INDEX('Pliegos Tarifarios (Quilicura)'!$F:$F,MATCH($B706,'Pliegos Tarifarios (Quilicura)'!$A:$A,0)),H706&lt;=500,INDEX('Pliegos Tarifarios (Quilicura)'!$G:$G,MATCH($B706,'Pliegos Tarifarios (Quilicura)'!$A:$A,0)),H706&lt;=1000,INDEX('Pliegos Tarifarios (Quilicura)'!$H:$H,MATCH($B706,'Pliegos Tarifarios (Quilicura)'!$A:$A,0)),H706&lt;=5000,INDEX('Pliegos Tarifarios (Quilicura)'!$I:$I,MATCH($B706,'Pliegos Tarifarios (Quilicura)'!$A:$A,0)),H706&gt;5000,INDEX('Pliegos Tarifarios (Quilicura)'!$J:$J,MATCH($B706,'Pliegos Tarifarios (Quilicura)'!$A:$A,0)))/1.19</f>
        <v>16538.019886974791</v>
      </c>
      <c r="R706" s="19">
        <f>INDEX('Pliegos Tarifarios (Quilicura)'!$K:$K,MATCH($B706,'Pliegos Tarifarios (Quilicura)'!$A:$A,0))</f>
        <v>732.99199999999996</v>
      </c>
      <c r="S706" s="21">
        <f t="shared" si="36"/>
        <v>995223.0538106747</v>
      </c>
      <c r="T706" s="21">
        <f t="shared" si="37"/>
        <v>189092.38022402819</v>
      </c>
      <c r="U706" s="19">
        <v>0</v>
      </c>
      <c r="V706" s="21">
        <f t="shared" si="38"/>
        <v>1184315.4340347028</v>
      </c>
    </row>
    <row r="707" spans="1:22" x14ac:dyDescent="0.3">
      <c r="A707" s="3" t="s">
        <v>150</v>
      </c>
      <c r="B707" s="3">
        <v>11</v>
      </c>
      <c r="C707" s="4" t="s">
        <v>186</v>
      </c>
      <c r="D707" s="3" t="s">
        <v>190</v>
      </c>
      <c r="E707" s="3" t="s">
        <v>18</v>
      </c>
      <c r="F707" s="4" t="s">
        <v>23</v>
      </c>
      <c r="G707" s="3" t="s">
        <v>16</v>
      </c>
      <c r="H707" s="5">
        <v>4211.4188000000004</v>
      </c>
      <c r="I707" s="5">
        <v>11.4939</v>
      </c>
      <c r="J707" s="5">
        <v>11.4939</v>
      </c>
      <c r="K707" s="6">
        <v>1</v>
      </c>
      <c r="L707" s="5">
        <v>135.85</v>
      </c>
      <c r="M707" s="19">
        <f>H707*INDEX('Pliegos Tarifarios (Quilicura)'!$B:$B,MATCH($B707,'Pliegos Tarifarios (Quilicura)'!$A:$A,0))</f>
        <v>554909.17534440011</v>
      </c>
      <c r="N707" s="19">
        <f>I707*INDEX('Pliegos Tarifarios (Quilicura)'!$C:$C,MATCH($B707,'Pliegos Tarifarios (Quilicura)'!$A:$A,0))</f>
        <v>39945.9345417</v>
      </c>
      <c r="O707" s="19">
        <f>J707*INDEX('Pliegos Tarifarios (Quilicura)'!$D:$D,MATCH($B707,'Pliegos Tarifarios (Quilicura)'!$A:$A,0))</f>
        <v>167232.47500080001</v>
      </c>
      <c r="P707" s="19">
        <f>H707*INDEX('Pliegos Tarifarios (Quilicura)'!$E:$E,MATCH($B707,'Pliegos Tarifarios (Quilicura)'!$A:$A,0))</f>
        <v>54849.518451199998</v>
      </c>
      <c r="Q707" s="19" cm="1">
        <f t="array" ref="Q707">H707*_xlfn.IFS(H707&lt;=350,INDEX('Pliegos Tarifarios (Quilicura)'!$F:$F,MATCH($B707,'Pliegos Tarifarios (Quilicura)'!$A:$A,0)),H707&lt;=500,INDEX('Pliegos Tarifarios (Quilicura)'!$G:$G,MATCH($B707,'Pliegos Tarifarios (Quilicura)'!$A:$A,0)),H707&lt;=1000,INDEX('Pliegos Tarifarios (Quilicura)'!$H:$H,MATCH($B707,'Pliegos Tarifarios (Quilicura)'!$A:$A,0)),H707&lt;=5000,INDEX('Pliegos Tarifarios (Quilicura)'!$I:$I,MATCH($B707,'Pliegos Tarifarios (Quilicura)'!$A:$A,0)),H707&gt;5000,INDEX('Pliegos Tarifarios (Quilicura)'!$J:$J,MATCH($B707,'Pliegos Tarifarios (Quilicura)'!$A:$A,0)))/1.19</f>
        <v>12637.795407394959</v>
      </c>
      <c r="R707" s="19">
        <f>INDEX('Pliegos Tarifarios (Quilicura)'!$K:$K,MATCH($B707,'Pliegos Tarifarios (Quilicura)'!$A:$A,0))</f>
        <v>732.99199999999996</v>
      </c>
      <c r="S707" s="21">
        <f t="shared" si="36"/>
        <v>830307.89074549498</v>
      </c>
      <c r="T707" s="21">
        <f t="shared" si="37"/>
        <v>157758.49924164405</v>
      </c>
      <c r="U707" s="19">
        <v>0</v>
      </c>
      <c r="V707" s="21">
        <f t="shared" si="38"/>
        <v>988066.38998713903</v>
      </c>
    </row>
    <row r="708" spans="1:22" x14ac:dyDescent="0.3">
      <c r="A708" s="3" t="s">
        <v>150</v>
      </c>
      <c r="B708" s="3">
        <v>11</v>
      </c>
      <c r="C708" s="4" t="s">
        <v>186</v>
      </c>
      <c r="D708" s="3" t="s">
        <v>191</v>
      </c>
      <c r="E708" s="3" t="s">
        <v>18</v>
      </c>
      <c r="F708" s="4" t="s">
        <v>25</v>
      </c>
      <c r="G708" s="3" t="s">
        <v>16</v>
      </c>
      <c r="H708" s="5">
        <v>4536.3562000000002</v>
      </c>
      <c r="I708" s="5">
        <v>12.4833</v>
      </c>
      <c r="J708" s="5">
        <v>12.3302</v>
      </c>
      <c r="K708" s="6">
        <v>0.98773561478134786</v>
      </c>
      <c r="L708" s="5">
        <v>146.33000000000001</v>
      </c>
      <c r="M708" s="19">
        <f>H708*INDEX('Pliegos Tarifarios (Quilicura)'!$B:$B,MATCH($B708,'Pliegos Tarifarios (Quilicura)'!$A:$A,0))</f>
        <v>597723.90198060009</v>
      </c>
      <c r="N708" s="19">
        <f>I708*INDEX('Pliegos Tarifarios (Quilicura)'!$C:$C,MATCH($B708,'Pliegos Tarifarios (Quilicura)'!$A:$A,0))</f>
        <v>43384.498269899996</v>
      </c>
      <c r="O708" s="19">
        <f>J708*INDEX('Pliegos Tarifarios (Quilicura)'!$D:$D,MATCH($B708,'Pliegos Tarifarios (Quilicura)'!$A:$A,0))</f>
        <v>179400.36569440001</v>
      </c>
      <c r="P708" s="19">
        <f>H708*INDEX('Pliegos Tarifarios (Quilicura)'!$E:$E,MATCH($B708,'Pliegos Tarifarios (Quilicura)'!$A:$A,0))</f>
        <v>59081.503148799995</v>
      </c>
      <c r="Q708" s="19" cm="1">
        <f t="array" ref="Q708">H708*_xlfn.IFS(H708&lt;=350,INDEX('Pliegos Tarifarios (Quilicura)'!$F:$F,MATCH($B708,'Pliegos Tarifarios (Quilicura)'!$A:$A,0)),H708&lt;=500,INDEX('Pliegos Tarifarios (Quilicura)'!$G:$G,MATCH($B708,'Pliegos Tarifarios (Quilicura)'!$A:$A,0)),H708&lt;=1000,INDEX('Pliegos Tarifarios (Quilicura)'!$H:$H,MATCH($B708,'Pliegos Tarifarios (Quilicura)'!$A:$A,0)),H708&lt;=5000,INDEX('Pliegos Tarifarios (Quilicura)'!$I:$I,MATCH($B708,'Pliegos Tarifarios (Quilicura)'!$A:$A,0)),H708&gt;5000,INDEX('Pliegos Tarifarios (Quilicura)'!$J:$J,MATCH($B708,'Pliegos Tarifarios (Quilicura)'!$A:$A,0)))/1.19</f>
        <v>13612.880664033613</v>
      </c>
      <c r="R708" s="19">
        <f>INDEX('Pliegos Tarifarios (Quilicura)'!$K:$K,MATCH($B708,'Pliegos Tarifarios (Quilicura)'!$A:$A,0))</f>
        <v>732.99199999999996</v>
      </c>
      <c r="S708" s="21">
        <f t="shared" si="36"/>
        <v>893936.14175773365</v>
      </c>
      <c r="T708" s="21">
        <f t="shared" si="37"/>
        <v>169847.8669339694</v>
      </c>
      <c r="U708" s="19">
        <v>0</v>
      </c>
      <c r="V708" s="21">
        <f t="shared" si="38"/>
        <v>1063784.008691703</v>
      </c>
    </row>
    <row r="709" spans="1:22" x14ac:dyDescent="0.3">
      <c r="A709" s="3" t="s">
        <v>150</v>
      </c>
      <c r="B709" s="3">
        <v>11</v>
      </c>
      <c r="C709" s="4" t="s">
        <v>186</v>
      </c>
      <c r="D709" s="3" t="s">
        <v>192</v>
      </c>
      <c r="E709" s="3" t="s">
        <v>18</v>
      </c>
      <c r="F709" s="4" t="s">
        <v>27</v>
      </c>
      <c r="G709" s="3" t="s">
        <v>16</v>
      </c>
      <c r="H709" s="5">
        <v>3031.0077000000001</v>
      </c>
      <c r="I709" s="5">
        <v>8.4152000000000005</v>
      </c>
      <c r="J709" s="5">
        <v>8.4152000000000005</v>
      </c>
      <c r="K709" s="6">
        <v>1</v>
      </c>
      <c r="L709" s="5">
        <v>97.77</v>
      </c>
      <c r="M709" s="19">
        <f>H709*INDEX('Pliegos Tarifarios (Quilicura)'!$B:$B,MATCH($B709,'Pliegos Tarifarios (Quilicura)'!$A:$A,0))</f>
        <v>399374.66757510003</v>
      </c>
      <c r="N709" s="19">
        <f>I709*INDEX('Pliegos Tarifarios (Quilicura)'!$C:$C,MATCH($B709,'Pliegos Tarifarios (Quilicura)'!$A:$A,0))</f>
        <v>29246.211325600001</v>
      </c>
      <c r="O709" s="19">
        <f>J709*INDEX('Pliegos Tarifarios (Quilicura)'!$D:$D,MATCH($B709,'Pliegos Tarifarios (Quilicura)'!$A:$A,0))</f>
        <v>122438.39981440001</v>
      </c>
      <c r="P709" s="19">
        <f>H709*INDEX('Pliegos Tarifarios (Quilicura)'!$E:$E,MATCH($B709,'Pliegos Tarifarios (Quilicura)'!$A:$A,0))</f>
        <v>39475.844284799998</v>
      </c>
      <c r="Q709" s="19" cm="1">
        <f t="array" ref="Q709">H709*_xlfn.IFS(H709&lt;=350,INDEX('Pliegos Tarifarios (Quilicura)'!$F:$F,MATCH($B709,'Pliegos Tarifarios (Quilicura)'!$A:$A,0)),H709&lt;=500,INDEX('Pliegos Tarifarios (Quilicura)'!$G:$G,MATCH($B709,'Pliegos Tarifarios (Quilicura)'!$A:$A,0)),H709&lt;=1000,INDEX('Pliegos Tarifarios (Quilicura)'!$H:$H,MATCH($B709,'Pliegos Tarifarios (Quilicura)'!$A:$A,0)),H709&lt;=5000,INDEX('Pliegos Tarifarios (Quilicura)'!$I:$I,MATCH($B709,'Pliegos Tarifarios (Quilicura)'!$A:$A,0)),H709&gt;5000,INDEX('Pliegos Tarifarios (Quilicura)'!$J:$J,MATCH($B709,'Pliegos Tarifarios (Quilicura)'!$A:$A,0)))/1.19</f>
        <v>9095.570165294117</v>
      </c>
      <c r="R709" s="19">
        <f>INDEX('Pliegos Tarifarios (Quilicura)'!$K:$K,MATCH($B709,'Pliegos Tarifarios (Quilicura)'!$A:$A,0))</f>
        <v>732.99199999999996</v>
      </c>
      <c r="S709" s="21">
        <f t="shared" si="36"/>
        <v>600363.6851651941</v>
      </c>
      <c r="T709" s="21">
        <f t="shared" si="37"/>
        <v>114069.10018138688</v>
      </c>
      <c r="U709" s="19">
        <v>0</v>
      </c>
      <c r="V709" s="21">
        <f t="shared" si="38"/>
        <v>714432.78534658102</v>
      </c>
    </row>
    <row r="710" spans="1:22" x14ac:dyDescent="0.3">
      <c r="A710" s="3" t="s">
        <v>150</v>
      </c>
      <c r="B710" s="3">
        <v>11</v>
      </c>
      <c r="C710" s="4" t="s">
        <v>186</v>
      </c>
      <c r="D710" s="3" t="s">
        <v>193</v>
      </c>
      <c r="E710" s="3" t="s">
        <v>18</v>
      </c>
      <c r="F710" s="4" t="s">
        <v>29</v>
      </c>
      <c r="G710" s="3" t="s">
        <v>30</v>
      </c>
      <c r="H710" s="5">
        <v>1009.3898</v>
      </c>
      <c r="I710" s="5">
        <v>2.7732000000000001</v>
      </c>
      <c r="J710" s="5">
        <v>2.7732000000000001</v>
      </c>
      <c r="K710" s="6">
        <v>1</v>
      </c>
      <c r="L710" s="5">
        <v>32.56</v>
      </c>
      <c r="M710" s="19">
        <f>H710*INDEX('Pliegos Tarifarios (Quilicura)'!$B:$B,MATCH($B710,'Pliegos Tarifarios (Quilicura)'!$A:$A,0))</f>
        <v>133000.2282174</v>
      </c>
      <c r="N710" s="19">
        <f>I710*INDEX('Pliegos Tarifarios (Quilicura)'!$C:$C,MATCH($B710,'Pliegos Tarifarios (Quilicura)'!$A:$A,0))</f>
        <v>9637.9875995999992</v>
      </c>
      <c r="O710" s="19">
        <f>J710*INDEX('Pliegos Tarifarios (Quilicura)'!$D:$D,MATCH($B710,'Pliegos Tarifarios (Quilicura)'!$A:$A,0))</f>
        <v>40349.150390400006</v>
      </c>
      <c r="P710" s="19">
        <f>H710*INDEX('Pliegos Tarifarios (Quilicura)'!$E:$E,MATCH($B710,'Pliegos Tarifarios (Quilicura)'!$A:$A,0))</f>
        <v>13146.2927552</v>
      </c>
      <c r="Q710" s="19" cm="1">
        <f t="array" ref="Q710">H710*_xlfn.IFS(H710&lt;=350,INDEX('Pliegos Tarifarios (Quilicura)'!$F:$F,MATCH($B710,'Pliegos Tarifarios (Quilicura)'!$A:$A,0)),H710&lt;=500,INDEX('Pliegos Tarifarios (Quilicura)'!$G:$G,MATCH($B710,'Pliegos Tarifarios (Quilicura)'!$A:$A,0)),H710&lt;=1000,INDEX('Pliegos Tarifarios (Quilicura)'!$H:$H,MATCH($B710,'Pliegos Tarifarios (Quilicura)'!$A:$A,0)),H710&lt;=5000,INDEX('Pliegos Tarifarios (Quilicura)'!$I:$I,MATCH($B710,'Pliegos Tarifarios (Quilicura)'!$A:$A,0)),H710&gt;5000,INDEX('Pliegos Tarifarios (Quilicura)'!$J:$J,MATCH($B710,'Pliegos Tarifarios (Quilicura)'!$A:$A,0)))/1.19</f>
        <v>3029.0176267226889</v>
      </c>
      <c r="R710" s="19">
        <f>INDEX('Pliegos Tarifarios (Quilicura)'!$K:$K,MATCH($B710,'Pliegos Tarifarios (Quilicura)'!$A:$A,0))</f>
        <v>732.99199999999996</v>
      </c>
      <c r="S710" s="21">
        <f t="shared" si="36"/>
        <v>199895.66858932268</v>
      </c>
      <c r="T710" s="21">
        <f t="shared" si="37"/>
        <v>37980.17703197131</v>
      </c>
      <c r="U710" s="19">
        <v>0</v>
      </c>
      <c r="V710" s="21">
        <f t="shared" si="38"/>
        <v>237875.84562129399</v>
      </c>
    </row>
    <row r="711" spans="1:22" x14ac:dyDescent="0.3">
      <c r="A711" s="3" t="s">
        <v>150</v>
      </c>
      <c r="B711" s="3">
        <v>11</v>
      </c>
      <c r="C711" s="4" t="s">
        <v>186</v>
      </c>
      <c r="D711" s="3" t="s">
        <v>194</v>
      </c>
      <c r="E711" s="3" t="s">
        <v>18</v>
      </c>
      <c r="F711" s="4" t="s">
        <v>32</v>
      </c>
      <c r="G711" s="3" t="s">
        <v>16</v>
      </c>
      <c r="H711" s="5">
        <v>3031.4766</v>
      </c>
      <c r="I711" s="5">
        <v>8.2908000000000008</v>
      </c>
      <c r="J711" s="5">
        <v>8.0154999999999994</v>
      </c>
      <c r="K711" s="6">
        <v>0.96679451922613002</v>
      </c>
      <c r="L711" s="5">
        <v>97.79</v>
      </c>
      <c r="M711" s="19">
        <f>H711*INDEX('Pliegos Tarifarios (Quilicura)'!$B:$B,MATCH($B711,'Pliegos Tarifarios (Quilicura)'!$A:$A,0))</f>
        <v>399436.45124580001</v>
      </c>
      <c r="N711" s="19">
        <f>I711*INDEX('Pliegos Tarifarios (Quilicura)'!$C:$C,MATCH($B711,'Pliegos Tarifarios (Quilicura)'!$A:$A,0))</f>
        <v>28813.871192400002</v>
      </c>
      <c r="O711" s="19">
        <f>J711*INDEX('Pliegos Tarifarios (Quilicura)'!$D:$D,MATCH($B711,'Pliegos Tarifarios (Quilicura)'!$A:$A,0))</f>
        <v>116622.89591599999</v>
      </c>
      <c r="P711" s="19">
        <f>H711*INDEX('Pliegos Tarifarios (Quilicura)'!$E:$E,MATCH($B711,'Pliegos Tarifarios (Quilicura)'!$A:$A,0))</f>
        <v>39481.951238399997</v>
      </c>
      <c r="Q711" s="19" cm="1">
        <f t="array" ref="Q711">H711*_xlfn.IFS(H711&lt;=350,INDEX('Pliegos Tarifarios (Quilicura)'!$F:$F,MATCH($B711,'Pliegos Tarifarios (Quilicura)'!$A:$A,0)),H711&lt;=500,INDEX('Pliegos Tarifarios (Quilicura)'!$G:$G,MATCH($B711,'Pliegos Tarifarios (Quilicura)'!$A:$A,0)),H711&lt;=1000,INDEX('Pliegos Tarifarios (Quilicura)'!$H:$H,MATCH($B711,'Pliegos Tarifarios (Quilicura)'!$A:$A,0)),H711&lt;=5000,INDEX('Pliegos Tarifarios (Quilicura)'!$I:$I,MATCH($B711,'Pliegos Tarifarios (Quilicura)'!$A:$A,0)),H711&gt;5000,INDEX('Pliegos Tarifarios (Quilicura)'!$J:$J,MATCH($B711,'Pliegos Tarifarios (Quilicura)'!$A:$A,0)))/1.19</f>
        <v>9096.9772593277303</v>
      </c>
      <c r="R711" s="19">
        <f>INDEX('Pliegos Tarifarios (Quilicura)'!$K:$K,MATCH($B711,'Pliegos Tarifarios (Quilicura)'!$A:$A,0))</f>
        <v>732.99199999999996</v>
      </c>
      <c r="S711" s="21">
        <f t="shared" si="36"/>
        <v>594185.13885192771</v>
      </c>
      <c r="T711" s="21">
        <f t="shared" si="37"/>
        <v>112895.17638186627</v>
      </c>
      <c r="U711" s="19">
        <v>0</v>
      </c>
      <c r="V711" s="21">
        <f t="shared" si="38"/>
        <v>707080.31523379404</v>
      </c>
    </row>
    <row r="712" spans="1:22" x14ac:dyDescent="0.3">
      <c r="A712" s="3" t="s">
        <v>150</v>
      </c>
      <c r="B712" s="3">
        <v>11</v>
      </c>
      <c r="C712" s="4" t="s">
        <v>186</v>
      </c>
      <c r="D712" s="3" t="s">
        <v>195</v>
      </c>
      <c r="E712" s="3" t="s">
        <v>34</v>
      </c>
      <c r="F712" s="4" t="s">
        <v>35</v>
      </c>
      <c r="G712" s="3" t="s">
        <v>30</v>
      </c>
      <c r="H712" s="5">
        <v>1260.1205</v>
      </c>
      <c r="I712" s="5">
        <v>3.5015999999999998</v>
      </c>
      <c r="J712" s="5">
        <v>3.5015999999999998</v>
      </c>
      <c r="K712" s="6">
        <v>1</v>
      </c>
      <c r="L712" s="5">
        <v>40.65</v>
      </c>
      <c r="M712" s="19">
        <f>H712*INDEX('Pliegos Tarifarios (Quilicura)'!$B:$B,MATCH($B712,'Pliegos Tarifarios (Quilicura)'!$A:$A,0))</f>
        <v>166037.2574415</v>
      </c>
      <c r="N712" s="19">
        <f>I712*INDEX('Pliegos Tarifarios (Quilicura)'!$C:$C,MATCH($B712,'Pliegos Tarifarios (Quilicura)'!$A:$A,0))</f>
        <v>12169.471144799998</v>
      </c>
      <c r="O712" s="19">
        <f>J712*INDEX('Pliegos Tarifarios (Quilicura)'!$D:$D,MATCH($B712,'Pliegos Tarifarios (Quilicura)'!$A:$A,0))</f>
        <v>50947.131475199996</v>
      </c>
      <c r="P712" s="19">
        <f>H712*INDEX('Pliegos Tarifarios (Quilicura)'!$E:$E,MATCH($B712,'Pliegos Tarifarios (Quilicura)'!$A:$A,0))</f>
        <v>16411.809391999999</v>
      </c>
      <c r="Q712" s="19" cm="1">
        <f t="array" ref="Q712">H712*_xlfn.IFS(H712&lt;=350,INDEX('Pliegos Tarifarios (Quilicura)'!$F:$F,MATCH($B712,'Pliegos Tarifarios (Quilicura)'!$A:$A,0)),H712&lt;=500,INDEX('Pliegos Tarifarios (Quilicura)'!$G:$G,MATCH($B712,'Pliegos Tarifarios (Quilicura)'!$A:$A,0)),H712&lt;=1000,INDEX('Pliegos Tarifarios (Quilicura)'!$H:$H,MATCH($B712,'Pliegos Tarifarios (Quilicura)'!$A:$A,0)),H712&lt;=5000,INDEX('Pliegos Tarifarios (Quilicura)'!$I:$I,MATCH($B712,'Pliegos Tarifarios (Quilicura)'!$A:$A,0)),H712&gt;5000,INDEX('Pliegos Tarifarios (Quilicura)'!$J:$J,MATCH($B712,'Pliegos Tarifarios (Quilicura)'!$A:$A,0)))/1.19</f>
        <v>3781.4204247899161</v>
      </c>
      <c r="R712" s="19">
        <f>INDEX('Pliegos Tarifarios (Quilicura)'!$K:$K,MATCH($B712,'Pliegos Tarifarios (Quilicura)'!$A:$A,0))</f>
        <v>732.99199999999996</v>
      </c>
      <c r="S712" s="21">
        <f t="shared" si="36"/>
        <v>250080.0818782899</v>
      </c>
      <c r="T712" s="21">
        <f t="shared" si="37"/>
        <v>47515.215556875082</v>
      </c>
      <c r="U712" s="19">
        <v>0</v>
      </c>
      <c r="V712" s="21">
        <f t="shared" si="38"/>
        <v>297595.29743516498</v>
      </c>
    </row>
    <row r="713" spans="1:22" x14ac:dyDescent="0.3">
      <c r="A713" s="3" t="s">
        <v>150</v>
      </c>
      <c r="B713" s="3">
        <v>11</v>
      </c>
      <c r="C713" s="4" t="s">
        <v>186</v>
      </c>
      <c r="D713" s="3" t="s">
        <v>196</v>
      </c>
      <c r="E713" s="3" t="s">
        <v>34</v>
      </c>
      <c r="F713" s="4" t="s">
        <v>37</v>
      </c>
      <c r="G713" s="3" t="s">
        <v>30</v>
      </c>
      <c r="H713" s="5">
        <v>1010.7</v>
      </c>
      <c r="I713" s="5">
        <v>2.7772000000000001</v>
      </c>
      <c r="J713" s="5">
        <v>2.7227000000000001</v>
      </c>
      <c r="K713" s="6">
        <v>0.98037591819098369</v>
      </c>
      <c r="L713" s="5">
        <v>32.6</v>
      </c>
      <c r="M713" s="19">
        <f>H713*INDEX('Pliegos Tarifarios (Quilicura)'!$B:$B,MATCH($B713,'Pliegos Tarifarios (Quilicura)'!$A:$A,0))</f>
        <v>133172.86410000001</v>
      </c>
      <c r="N713" s="19">
        <f>I713*INDEX('Pliegos Tarifarios (Quilicura)'!$C:$C,MATCH($B713,'Pliegos Tarifarios (Quilicura)'!$A:$A,0))</f>
        <v>9651.8892116000006</v>
      </c>
      <c r="O713" s="19">
        <f>J713*INDEX('Pliegos Tarifarios (Quilicura)'!$D:$D,MATCH($B713,'Pliegos Tarifarios (Quilicura)'!$A:$A,0))</f>
        <v>39614.391954400002</v>
      </c>
      <c r="P713" s="19">
        <f>H713*INDEX('Pliegos Tarifarios (Quilicura)'!$E:$E,MATCH($B713,'Pliegos Tarifarios (Quilicura)'!$A:$A,0))</f>
        <v>13163.3568</v>
      </c>
      <c r="Q713" s="19" cm="1">
        <f t="array" ref="Q713">H713*_xlfn.IFS(H713&lt;=350,INDEX('Pliegos Tarifarios (Quilicura)'!$F:$F,MATCH($B713,'Pliegos Tarifarios (Quilicura)'!$A:$A,0)),H713&lt;=500,INDEX('Pliegos Tarifarios (Quilicura)'!$G:$G,MATCH($B713,'Pliegos Tarifarios (Quilicura)'!$A:$A,0)),H713&lt;=1000,INDEX('Pliegos Tarifarios (Quilicura)'!$H:$H,MATCH($B713,'Pliegos Tarifarios (Quilicura)'!$A:$A,0)),H713&lt;=5000,INDEX('Pliegos Tarifarios (Quilicura)'!$I:$I,MATCH($B713,'Pliegos Tarifarios (Quilicura)'!$A:$A,0)),H713&gt;5000,INDEX('Pliegos Tarifarios (Quilicura)'!$J:$J,MATCH($B713,'Pliegos Tarifarios (Quilicura)'!$A:$A,0)))/1.19</f>
        <v>3032.9493277310926</v>
      </c>
      <c r="R713" s="19">
        <f>INDEX('Pliegos Tarifarios (Quilicura)'!$K:$K,MATCH($B713,'Pliegos Tarifarios (Quilicura)'!$A:$A,0))</f>
        <v>732.99199999999996</v>
      </c>
      <c r="S713" s="21">
        <f t="shared" si="36"/>
        <v>199368.44339373111</v>
      </c>
      <c r="T713" s="21">
        <f t="shared" si="37"/>
        <v>37880.004244808915</v>
      </c>
      <c r="U713" s="19">
        <v>0</v>
      </c>
      <c r="V713" s="21">
        <f t="shared" si="38"/>
        <v>237248.44763854003</v>
      </c>
    </row>
    <row r="714" spans="1:22" x14ac:dyDescent="0.3">
      <c r="A714" s="3" t="s">
        <v>150</v>
      </c>
      <c r="B714" s="3">
        <v>11</v>
      </c>
      <c r="C714" s="4" t="s">
        <v>186</v>
      </c>
      <c r="D714" s="3" t="s">
        <v>197</v>
      </c>
      <c r="E714" s="3" t="s">
        <v>34</v>
      </c>
      <c r="F714" s="4" t="s">
        <v>39</v>
      </c>
      <c r="G714" s="3" t="s">
        <v>30</v>
      </c>
      <c r="H714" s="5">
        <v>1010.4247</v>
      </c>
      <c r="I714" s="5">
        <v>2.7509999999999999</v>
      </c>
      <c r="J714" s="5">
        <v>2.7389999999999999</v>
      </c>
      <c r="K714" s="6">
        <v>0.99563794983642306</v>
      </c>
      <c r="L714" s="5">
        <v>32.590000000000003</v>
      </c>
      <c r="M714" s="19">
        <f>H714*INDEX('Pliegos Tarifarios (Quilicura)'!$B:$B,MATCH($B714,'Pliegos Tarifarios (Quilicura)'!$A:$A,0))</f>
        <v>133136.58974610001</v>
      </c>
      <c r="N714" s="19">
        <f>I714*INDEX('Pliegos Tarifarios (Quilicura)'!$C:$C,MATCH($B714,'Pliegos Tarifarios (Quilicura)'!$A:$A,0))</f>
        <v>9560.8336529999997</v>
      </c>
      <c r="O714" s="19">
        <f>J714*INDEX('Pliegos Tarifarios (Quilicura)'!$D:$D,MATCH($B714,'Pliegos Tarifarios (Quilicura)'!$A:$A,0))</f>
        <v>39851.551608000002</v>
      </c>
      <c r="P714" s="19">
        <f>H714*INDEX('Pliegos Tarifarios (Quilicura)'!$E:$E,MATCH($B714,'Pliegos Tarifarios (Quilicura)'!$A:$A,0))</f>
        <v>13159.7712928</v>
      </c>
      <c r="Q714" s="19" cm="1">
        <f t="array" ref="Q714">H714*_xlfn.IFS(H714&lt;=350,INDEX('Pliegos Tarifarios (Quilicura)'!$F:$F,MATCH($B714,'Pliegos Tarifarios (Quilicura)'!$A:$A,0)),H714&lt;=500,INDEX('Pliegos Tarifarios (Quilicura)'!$G:$G,MATCH($B714,'Pliegos Tarifarios (Quilicura)'!$A:$A,0)),H714&lt;=1000,INDEX('Pliegos Tarifarios (Quilicura)'!$H:$H,MATCH($B714,'Pliegos Tarifarios (Quilicura)'!$A:$A,0)),H714&lt;=5000,INDEX('Pliegos Tarifarios (Quilicura)'!$I:$I,MATCH($B714,'Pliegos Tarifarios (Quilicura)'!$A:$A,0)),H714&gt;5000,INDEX('Pliegos Tarifarios (Quilicura)'!$J:$J,MATCH($B714,'Pliegos Tarifarios (Quilicura)'!$A:$A,0)))/1.19</f>
        <v>3032.1231963865548</v>
      </c>
      <c r="R714" s="19">
        <f>INDEX('Pliegos Tarifarios (Quilicura)'!$K:$K,MATCH($B714,'Pliegos Tarifarios (Quilicura)'!$A:$A,0))</f>
        <v>732.99199999999996</v>
      </c>
      <c r="S714" s="21">
        <f t="shared" si="36"/>
        <v>199473.86149628658</v>
      </c>
      <c r="T714" s="21">
        <f t="shared" si="37"/>
        <v>37900.033684294453</v>
      </c>
      <c r="U714" s="19">
        <v>0</v>
      </c>
      <c r="V714" s="21">
        <f t="shared" si="38"/>
        <v>237373.89518058102</v>
      </c>
    </row>
    <row r="715" spans="1:22" x14ac:dyDescent="0.3">
      <c r="A715" s="3" t="s">
        <v>150</v>
      </c>
      <c r="B715" s="3">
        <v>11</v>
      </c>
      <c r="C715" s="4" t="s">
        <v>186</v>
      </c>
      <c r="D715" s="3" t="s">
        <v>198</v>
      </c>
      <c r="E715" s="3" t="s">
        <v>34</v>
      </c>
      <c r="F715" s="4" t="s">
        <v>41</v>
      </c>
      <c r="G715" s="3" t="s">
        <v>30</v>
      </c>
      <c r="H715" s="5">
        <v>756.4751</v>
      </c>
      <c r="I715" s="5">
        <v>2.0871</v>
      </c>
      <c r="J715" s="5">
        <v>2.0787</v>
      </c>
      <c r="K715" s="6">
        <v>0.99597527669972696</v>
      </c>
      <c r="L715" s="5">
        <v>24.4</v>
      </c>
      <c r="M715" s="19">
        <f>H715*INDEX('Pliegos Tarifarios (Quilicura)'!$B:$B,MATCH($B715,'Pliegos Tarifarios (Quilicura)'!$A:$A,0))</f>
        <v>99675.428601300009</v>
      </c>
      <c r="N715" s="19">
        <f>I715*INDEX('Pliegos Tarifarios (Quilicura)'!$C:$C,MATCH($B715,'Pliegos Tarifarios (Quilicura)'!$A:$A,0))</f>
        <v>7253.5136012999992</v>
      </c>
      <c r="O715" s="19">
        <f>J715*INDEX('Pliegos Tarifarios (Quilicura)'!$D:$D,MATCH($B715,'Pliegos Tarifarios (Quilicura)'!$A:$A,0))</f>
        <v>30244.403186400003</v>
      </c>
      <c r="P715" s="19">
        <f>H715*INDEX('Pliegos Tarifarios (Quilicura)'!$E:$E,MATCH($B715,'Pliegos Tarifarios (Quilicura)'!$A:$A,0))</f>
        <v>9852.3317023999989</v>
      </c>
      <c r="Q715" s="19" cm="1">
        <f t="array" ref="Q715">H715*_xlfn.IFS(H715&lt;=350,INDEX('Pliegos Tarifarios (Quilicura)'!$F:$F,MATCH($B715,'Pliegos Tarifarios (Quilicura)'!$A:$A,0)),H715&lt;=500,INDEX('Pliegos Tarifarios (Quilicura)'!$G:$G,MATCH($B715,'Pliegos Tarifarios (Quilicura)'!$A:$A,0)),H715&lt;=1000,INDEX('Pliegos Tarifarios (Quilicura)'!$H:$H,MATCH($B715,'Pliegos Tarifarios (Quilicura)'!$A:$A,0)),H715&lt;=5000,INDEX('Pliegos Tarifarios (Quilicura)'!$I:$I,MATCH($B715,'Pliegos Tarifarios (Quilicura)'!$A:$A,0)),H715&gt;5000,INDEX('Pliegos Tarifarios (Quilicura)'!$J:$J,MATCH($B715,'Pliegos Tarifarios (Quilicura)'!$A:$A,0)))/1.19</f>
        <v>1774.2201715126055</v>
      </c>
      <c r="R715" s="19">
        <f>INDEX('Pliegos Tarifarios (Quilicura)'!$K:$K,MATCH($B715,'Pliegos Tarifarios (Quilicura)'!$A:$A,0))</f>
        <v>732.99199999999996</v>
      </c>
      <c r="S715" s="21">
        <f t="shared" si="36"/>
        <v>149532.88926291262</v>
      </c>
      <c r="T715" s="21">
        <f t="shared" si="37"/>
        <v>28411.248959953398</v>
      </c>
      <c r="U715" s="19">
        <v>0</v>
      </c>
      <c r="V715" s="21">
        <f t="shared" si="38"/>
        <v>177944.13822286602</v>
      </c>
    </row>
    <row r="716" spans="1:22" x14ac:dyDescent="0.3">
      <c r="A716" s="3" t="s">
        <v>150</v>
      </c>
      <c r="B716" s="3">
        <v>11</v>
      </c>
      <c r="C716" s="4" t="s">
        <v>186</v>
      </c>
      <c r="D716" s="3" t="s">
        <v>199</v>
      </c>
      <c r="E716" s="3" t="s">
        <v>34</v>
      </c>
      <c r="F716" s="4" t="s">
        <v>43</v>
      </c>
      <c r="G716" s="3" t="s">
        <v>30</v>
      </c>
      <c r="H716" s="5">
        <v>757.54190000000006</v>
      </c>
      <c r="I716" s="5">
        <v>2.0617000000000001</v>
      </c>
      <c r="J716" s="5">
        <v>2.0251000000000001</v>
      </c>
      <c r="K716" s="6">
        <v>0.98224765969830719</v>
      </c>
      <c r="L716" s="5">
        <v>24.44</v>
      </c>
      <c r="M716" s="19">
        <f>H716*INDEX('Pliegos Tarifarios (Quilicura)'!$B:$B,MATCH($B716,'Pliegos Tarifarios (Quilicura)'!$A:$A,0))</f>
        <v>99815.993369700009</v>
      </c>
      <c r="N716" s="19">
        <f>I716*INDEX('Pliegos Tarifarios (Quilicura)'!$C:$C,MATCH($B716,'Pliegos Tarifarios (Quilicura)'!$A:$A,0))</f>
        <v>7165.2383651</v>
      </c>
      <c r="O716" s="19">
        <f>J716*INDEX('Pliegos Tarifarios (Quilicura)'!$D:$D,MATCH($B716,'Pliegos Tarifarios (Quilicura)'!$A:$A,0))</f>
        <v>29464.540767200004</v>
      </c>
      <c r="P716" s="19">
        <f>H716*INDEX('Pliegos Tarifarios (Quilicura)'!$E:$E,MATCH($B716,'Pliegos Tarifarios (Quilicura)'!$A:$A,0))</f>
        <v>9866.2257055999999</v>
      </c>
      <c r="Q716" s="19" cm="1">
        <f t="array" ref="Q716">H716*_xlfn.IFS(H716&lt;=350,INDEX('Pliegos Tarifarios (Quilicura)'!$F:$F,MATCH($B716,'Pliegos Tarifarios (Quilicura)'!$A:$A,0)),H716&lt;=500,INDEX('Pliegos Tarifarios (Quilicura)'!$G:$G,MATCH($B716,'Pliegos Tarifarios (Quilicura)'!$A:$A,0)),H716&lt;=1000,INDEX('Pliegos Tarifarios (Quilicura)'!$H:$H,MATCH($B716,'Pliegos Tarifarios (Quilicura)'!$A:$A,0)),H716&lt;=5000,INDEX('Pliegos Tarifarios (Quilicura)'!$I:$I,MATCH($B716,'Pliegos Tarifarios (Quilicura)'!$A:$A,0)),H716&gt;5000,INDEX('Pliegos Tarifarios (Quilicura)'!$J:$J,MATCH($B716,'Pliegos Tarifarios (Quilicura)'!$A:$A,0)))/1.19</f>
        <v>1776.7222209243703</v>
      </c>
      <c r="R716" s="19">
        <f>INDEX('Pliegos Tarifarios (Quilicura)'!$K:$K,MATCH($B716,'Pliegos Tarifarios (Quilicura)'!$A:$A,0))</f>
        <v>732.99199999999996</v>
      </c>
      <c r="S716" s="21">
        <f t="shared" si="36"/>
        <v>148821.71242852436</v>
      </c>
      <c r="T716" s="21">
        <f t="shared" si="37"/>
        <v>28276.125361419628</v>
      </c>
      <c r="U716" s="19">
        <v>0</v>
      </c>
      <c r="V716" s="21">
        <f t="shared" si="38"/>
        <v>177097.83778994399</v>
      </c>
    </row>
    <row r="717" spans="1:22" x14ac:dyDescent="0.3">
      <c r="A717" s="3" t="s">
        <v>150</v>
      </c>
      <c r="B717" s="3">
        <v>11</v>
      </c>
      <c r="C717" s="4" t="s">
        <v>186</v>
      </c>
      <c r="D717" s="3" t="s">
        <v>200</v>
      </c>
      <c r="E717" s="3" t="s">
        <v>34</v>
      </c>
      <c r="F717" s="4" t="s">
        <v>45</v>
      </c>
      <c r="G717" s="3" t="s">
        <v>30</v>
      </c>
      <c r="H717" s="5">
        <v>756.4393</v>
      </c>
      <c r="I717" s="5">
        <v>2.0600999999999998</v>
      </c>
      <c r="J717" s="5">
        <v>2.0600999999999998</v>
      </c>
      <c r="K717" s="6">
        <v>1</v>
      </c>
      <c r="L717" s="5">
        <v>24.4</v>
      </c>
      <c r="M717" s="19">
        <f>H717*INDEX('Pliegos Tarifarios (Quilicura)'!$B:$B,MATCH($B717,'Pliegos Tarifarios (Quilicura)'!$A:$A,0))</f>
        <v>99670.711485899999</v>
      </c>
      <c r="N717" s="19">
        <f>I717*INDEX('Pliegos Tarifarios (Quilicura)'!$C:$C,MATCH($B717,'Pliegos Tarifarios (Quilicura)'!$A:$A,0))</f>
        <v>7159.6777202999992</v>
      </c>
      <c r="O717" s="19">
        <f>J717*INDEX('Pliegos Tarifarios (Quilicura)'!$D:$D,MATCH($B717,'Pliegos Tarifarios (Quilicura)'!$A:$A,0))</f>
        <v>29973.779287199999</v>
      </c>
      <c r="P717" s="19">
        <f>H717*INDEX('Pliegos Tarifarios (Quilicura)'!$E:$E,MATCH($B717,'Pliegos Tarifarios (Quilicura)'!$A:$A,0))</f>
        <v>9851.8654431999985</v>
      </c>
      <c r="Q717" s="19" cm="1">
        <f t="array" ref="Q717">H717*_xlfn.IFS(H717&lt;=350,INDEX('Pliegos Tarifarios (Quilicura)'!$F:$F,MATCH($B717,'Pliegos Tarifarios (Quilicura)'!$A:$A,0)),H717&lt;=500,INDEX('Pliegos Tarifarios (Quilicura)'!$G:$G,MATCH($B717,'Pliegos Tarifarios (Quilicura)'!$A:$A,0)),H717&lt;=1000,INDEX('Pliegos Tarifarios (Quilicura)'!$H:$H,MATCH($B717,'Pliegos Tarifarios (Quilicura)'!$A:$A,0)),H717&lt;=5000,INDEX('Pliegos Tarifarios (Quilicura)'!$I:$I,MATCH($B717,'Pliegos Tarifarios (Quilicura)'!$A:$A,0)),H717&gt;5000,INDEX('Pliegos Tarifarios (Quilicura)'!$J:$J,MATCH($B717,'Pliegos Tarifarios (Quilicura)'!$A:$A,0)))/1.19</f>
        <v>1774.1362069747902</v>
      </c>
      <c r="R717" s="19">
        <f>INDEX('Pliegos Tarifarios (Quilicura)'!$K:$K,MATCH($B717,'Pliegos Tarifarios (Quilicura)'!$A:$A,0))</f>
        <v>732.99199999999996</v>
      </c>
      <c r="S717" s="21">
        <f t="shared" si="36"/>
        <v>149163.16214357477</v>
      </c>
      <c r="T717" s="21">
        <f t="shared" si="37"/>
        <v>28341.000807279204</v>
      </c>
      <c r="U717" s="19">
        <v>0</v>
      </c>
      <c r="V717" s="21">
        <f t="shared" si="38"/>
        <v>177504.16295085396</v>
      </c>
    </row>
    <row r="718" spans="1:22" x14ac:dyDescent="0.3">
      <c r="A718" s="3" t="s">
        <v>150</v>
      </c>
      <c r="B718" s="3">
        <v>11</v>
      </c>
      <c r="C718" s="4" t="s">
        <v>186</v>
      </c>
      <c r="D718" s="3" t="s">
        <v>201</v>
      </c>
      <c r="E718" s="3" t="s">
        <v>47</v>
      </c>
      <c r="F718" s="4" t="s">
        <v>48</v>
      </c>
      <c r="G718" s="3" t="s">
        <v>30</v>
      </c>
      <c r="H718" s="5">
        <v>755.36969999999997</v>
      </c>
      <c r="I718" s="5">
        <v>2.1168</v>
      </c>
      <c r="J718" s="5">
        <v>2.1168</v>
      </c>
      <c r="K718" s="6">
        <v>1</v>
      </c>
      <c r="L718" s="5">
        <v>24.37</v>
      </c>
      <c r="M718" s="19">
        <f>H718*INDEX('Pliegos Tarifarios (Quilicura)'!$B:$B,MATCH($B718,'Pliegos Tarifarios (Quilicura)'!$A:$A,0))</f>
        <v>99529.777781099998</v>
      </c>
      <c r="N718" s="19">
        <f>I718*INDEX('Pliegos Tarifarios (Quilicura)'!$C:$C,MATCH($B718,'Pliegos Tarifarios (Quilicura)'!$A:$A,0))</f>
        <v>7356.7330703999996</v>
      </c>
      <c r="O718" s="19">
        <f>J718*INDEX('Pliegos Tarifarios (Quilicura)'!$D:$D,MATCH($B718,'Pliegos Tarifarios (Quilicura)'!$A:$A,0))</f>
        <v>30798.7456896</v>
      </c>
      <c r="P718" s="19">
        <f>H718*INDEX('Pliegos Tarifarios (Quilicura)'!$E:$E,MATCH($B718,'Pliegos Tarifarios (Quilicura)'!$A:$A,0))</f>
        <v>9837.9349727999997</v>
      </c>
      <c r="Q718" s="19" cm="1">
        <f t="array" ref="Q718">H718*_xlfn.IFS(H718&lt;=350,INDEX('Pliegos Tarifarios (Quilicura)'!$F:$F,MATCH($B718,'Pliegos Tarifarios (Quilicura)'!$A:$A,0)),H718&lt;=500,INDEX('Pliegos Tarifarios (Quilicura)'!$G:$G,MATCH($B718,'Pliegos Tarifarios (Quilicura)'!$A:$A,0)),H718&lt;=1000,INDEX('Pliegos Tarifarios (Quilicura)'!$H:$H,MATCH($B718,'Pliegos Tarifarios (Quilicura)'!$A:$A,0)),H718&lt;=5000,INDEX('Pliegos Tarifarios (Quilicura)'!$I:$I,MATCH($B718,'Pliegos Tarifarios (Quilicura)'!$A:$A,0)),H718&gt;5000,INDEX('Pliegos Tarifarios (Quilicura)'!$J:$J,MATCH($B718,'Pliegos Tarifarios (Quilicura)'!$A:$A,0)))/1.19</f>
        <v>1771.6275905042021</v>
      </c>
      <c r="R718" s="19">
        <f>INDEX('Pliegos Tarifarios (Quilicura)'!$K:$K,MATCH($B718,'Pliegos Tarifarios (Quilicura)'!$A:$A,0))</f>
        <v>732.99199999999996</v>
      </c>
      <c r="S718" s="21">
        <f t="shared" si="36"/>
        <v>150027.81110440422</v>
      </c>
      <c r="T718" s="21">
        <f t="shared" si="37"/>
        <v>28505.284109836801</v>
      </c>
      <c r="U718" s="19">
        <v>0</v>
      </c>
      <c r="V718" s="21">
        <f t="shared" si="38"/>
        <v>178533.09521424101</v>
      </c>
    </row>
    <row r="719" spans="1:22" x14ac:dyDescent="0.3">
      <c r="A719" s="3" t="s">
        <v>150</v>
      </c>
      <c r="B719" s="3">
        <v>11</v>
      </c>
      <c r="C719" s="4" t="s">
        <v>186</v>
      </c>
      <c r="D719" s="3" t="s">
        <v>202</v>
      </c>
      <c r="E719" s="3" t="s">
        <v>47</v>
      </c>
      <c r="F719" s="4" t="s">
        <v>50</v>
      </c>
      <c r="G719" s="3" t="s">
        <v>30</v>
      </c>
      <c r="H719" s="5">
        <v>755.66330000000005</v>
      </c>
      <c r="I719" s="5">
        <v>2.0792000000000002</v>
      </c>
      <c r="J719" s="5">
        <v>2.0352000000000001</v>
      </c>
      <c r="K719" s="6">
        <v>0.97883801462100806</v>
      </c>
      <c r="L719" s="5">
        <v>24.38</v>
      </c>
      <c r="M719" s="19">
        <f>H719*INDEX('Pliegos Tarifarios (Quilicura)'!$B:$B,MATCH($B719,'Pliegos Tarifarios (Quilicura)'!$A:$A,0))</f>
        <v>99568.463397900006</v>
      </c>
      <c r="N719" s="19">
        <f>I719*INDEX('Pliegos Tarifarios (Quilicura)'!$C:$C,MATCH($B719,'Pliegos Tarifarios (Quilicura)'!$A:$A,0))</f>
        <v>7226.0579176000001</v>
      </c>
      <c r="O719" s="19">
        <f>J719*INDEX('Pliegos Tarifarios (Quilicura)'!$D:$D,MATCH($B719,'Pliegos Tarifarios (Quilicura)'!$A:$A,0))</f>
        <v>29611.492454400002</v>
      </c>
      <c r="P719" s="19">
        <f>H719*INDEX('Pliegos Tarifarios (Quilicura)'!$E:$E,MATCH($B719,'Pliegos Tarifarios (Quilicura)'!$A:$A,0))</f>
        <v>9841.7588192000003</v>
      </c>
      <c r="Q719" s="19" cm="1">
        <f t="array" ref="Q719">H719*_xlfn.IFS(H719&lt;=350,INDEX('Pliegos Tarifarios (Quilicura)'!$F:$F,MATCH($B719,'Pliegos Tarifarios (Quilicura)'!$A:$A,0)),H719&lt;=500,INDEX('Pliegos Tarifarios (Quilicura)'!$G:$G,MATCH($B719,'Pliegos Tarifarios (Quilicura)'!$A:$A,0)),H719&lt;=1000,INDEX('Pliegos Tarifarios (Quilicura)'!$H:$H,MATCH($B719,'Pliegos Tarifarios (Quilicura)'!$A:$A,0)),H719&lt;=5000,INDEX('Pliegos Tarifarios (Quilicura)'!$I:$I,MATCH($B719,'Pliegos Tarifarios (Quilicura)'!$A:$A,0)),H719&gt;5000,INDEX('Pliegos Tarifarios (Quilicura)'!$J:$J,MATCH($B719,'Pliegos Tarifarios (Quilicura)'!$A:$A,0)))/1.19</f>
        <v>1772.3161935294122</v>
      </c>
      <c r="R719" s="19">
        <f>INDEX('Pliegos Tarifarios (Quilicura)'!$K:$K,MATCH($B719,'Pliegos Tarifarios (Quilicura)'!$A:$A,0))</f>
        <v>732.99199999999996</v>
      </c>
      <c r="S719" s="21">
        <f t="shared" si="36"/>
        <v>148753.08078262943</v>
      </c>
      <c r="T719" s="21">
        <f t="shared" si="37"/>
        <v>28263.085348699591</v>
      </c>
      <c r="U719" s="19">
        <v>0</v>
      </c>
      <c r="V719" s="21">
        <f t="shared" si="38"/>
        <v>177016.16613132902</v>
      </c>
    </row>
    <row r="720" spans="1:22" x14ac:dyDescent="0.3">
      <c r="A720" s="3" t="s">
        <v>150</v>
      </c>
      <c r="B720" s="3">
        <v>11</v>
      </c>
      <c r="C720" s="4" t="s">
        <v>186</v>
      </c>
      <c r="D720" s="3" t="s">
        <v>203</v>
      </c>
      <c r="E720" s="3" t="s">
        <v>52</v>
      </c>
      <c r="F720" s="4" t="s">
        <v>53</v>
      </c>
      <c r="G720" s="3" t="s">
        <v>30</v>
      </c>
      <c r="H720" s="5">
        <v>757.30169999999998</v>
      </c>
      <c r="I720" s="5">
        <v>2.1046</v>
      </c>
      <c r="J720" s="5">
        <v>2.0445000000000002</v>
      </c>
      <c r="K720" s="6">
        <v>0.97144350470398189</v>
      </c>
      <c r="L720" s="5">
        <v>24.43</v>
      </c>
      <c r="M720" s="19">
        <f>H720*INDEX('Pliegos Tarifarios (Quilicura)'!$B:$B,MATCH($B720,'Pliegos Tarifarios (Quilicura)'!$A:$A,0))</f>
        <v>99784.3438971</v>
      </c>
      <c r="N720" s="19">
        <f>I720*INDEX('Pliegos Tarifarios (Quilicura)'!$C:$C,MATCH($B720,'Pliegos Tarifarios (Quilicura)'!$A:$A,0))</f>
        <v>7314.3331537999993</v>
      </c>
      <c r="O720" s="19">
        <f>J720*INDEX('Pliegos Tarifarios (Quilicura)'!$D:$D,MATCH($B720,'Pliegos Tarifarios (Quilicura)'!$A:$A,0))</f>
        <v>29746.804404000002</v>
      </c>
      <c r="P720" s="19">
        <f>H720*INDEX('Pliegos Tarifarios (Quilicura)'!$E:$E,MATCH($B720,'Pliegos Tarifarios (Quilicura)'!$A:$A,0))</f>
        <v>9863.0973407999991</v>
      </c>
      <c r="Q720" s="19" cm="1">
        <f t="array" ref="Q720">H720*_xlfn.IFS(H720&lt;=350,INDEX('Pliegos Tarifarios (Quilicura)'!$F:$F,MATCH($B720,'Pliegos Tarifarios (Quilicura)'!$A:$A,0)),H720&lt;=500,INDEX('Pliegos Tarifarios (Quilicura)'!$G:$G,MATCH($B720,'Pliegos Tarifarios (Quilicura)'!$A:$A,0)),H720&lt;=1000,INDEX('Pliegos Tarifarios (Quilicura)'!$H:$H,MATCH($B720,'Pliegos Tarifarios (Quilicura)'!$A:$A,0)),H720&lt;=5000,INDEX('Pliegos Tarifarios (Quilicura)'!$I:$I,MATCH($B720,'Pliegos Tarifarios (Quilicura)'!$A:$A,0)),H720&gt;5000,INDEX('Pliegos Tarifarios (Quilicura)'!$J:$J,MATCH($B720,'Pliegos Tarifarios (Quilicura)'!$A:$A,0)))/1.19</f>
        <v>1776.1588610924371</v>
      </c>
      <c r="R720" s="19">
        <f>INDEX('Pliegos Tarifarios (Quilicura)'!$K:$K,MATCH($B720,'Pliegos Tarifarios (Quilicura)'!$A:$A,0))</f>
        <v>732.99199999999996</v>
      </c>
      <c r="S720" s="21">
        <f t="shared" si="36"/>
        <v>149217.72965679242</v>
      </c>
      <c r="T720" s="21">
        <f t="shared" si="37"/>
        <v>28351.36863479056</v>
      </c>
      <c r="U720" s="19">
        <v>0</v>
      </c>
      <c r="V720" s="21">
        <f t="shared" si="38"/>
        <v>177569.09829158298</v>
      </c>
    </row>
    <row r="721" spans="1:22" x14ac:dyDescent="0.3">
      <c r="A721" s="3" t="s">
        <v>150</v>
      </c>
      <c r="B721" s="3">
        <v>11</v>
      </c>
      <c r="C721" s="4" t="s">
        <v>186</v>
      </c>
      <c r="D721" s="3" t="s">
        <v>204</v>
      </c>
      <c r="E721" s="3" t="s">
        <v>55</v>
      </c>
      <c r="F721" s="4" t="s">
        <v>56</v>
      </c>
      <c r="G721" s="3" t="s">
        <v>30</v>
      </c>
      <c r="H721" s="5">
        <v>504.24209999999999</v>
      </c>
      <c r="I721" s="5">
        <v>1.3628</v>
      </c>
      <c r="J721" s="5">
        <v>1.3366</v>
      </c>
      <c r="K721" s="6">
        <v>0.98077487525682416</v>
      </c>
      <c r="L721" s="5">
        <v>16.27</v>
      </c>
      <c r="M721" s="19">
        <f>H721*INDEX('Pliegos Tarifarios (Quilicura)'!$B:$B,MATCH($B721,'Pliegos Tarifarios (Quilicura)'!$A:$A,0))</f>
        <v>66440.451822300005</v>
      </c>
      <c r="N721" s="19">
        <f>I721*INDEX('Pliegos Tarifarios (Quilicura)'!$C:$C,MATCH($B721,'Pliegos Tarifarios (Quilicura)'!$A:$A,0))</f>
        <v>4736.2792083999993</v>
      </c>
      <c r="O721" s="19">
        <f>J721*INDEX('Pliegos Tarifarios (Quilicura)'!$D:$D,MATCH($B721,'Pliegos Tarifarios (Quilicura)'!$A:$A,0))</f>
        <v>19447.0915952</v>
      </c>
      <c r="P721" s="19">
        <f>H721*INDEX('Pliegos Tarifarios (Quilicura)'!$E:$E,MATCH($B721,'Pliegos Tarifarios (Quilicura)'!$A:$A,0))</f>
        <v>6567.2491103999992</v>
      </c>
      <c r="Q721" s="19" cm="1">
        <f t="array" ref="Q721">H721*_xlfn.IFS(H721&lt;=350,INDEX('Pliegos Tarifarios (Quilicura)'!$F:$F,MATCH($B721,'Pliegos Tarifarios (Quilicura)'!$A:$A,0)),H721&lt;=500,INDEX('Pliegos Tarifarios (Quilicura)'!$G:$G,MATCH($B721,'Pliegos Tarifarios (Quilicura)'!$A:$A,0)),H721&lt;=1000,INDEX('Pliegos Tarifarios (Quilicura)'!$H:$H,MATCH($B721,'Pliegos Tarifarios (Quilicura)'!$A:$A,0)),H721&lt;=5000,INDEX('Pliegos Tarifarios (Quilicura)'!$I:$I,MATCH($B721,'Pliegos Tarifarios (Quilicura)'!$A:$A,0)),H721&gt;5000,INDEX('Pliegos Tarifarios (Quilicura)'!$J:$J,MATCH($B721,'Pliegos Tarifarios (Quilicura)'!$A:$A,0)))/1.19</f>
        <v>1182.6384042857144</v>
      </c>
      <c r="R721" s="19">
        <f>INDEX('Pliegos Tarifarios (Quilicura)'!$K:$K,MATCH($B721,'Pliegos Tarifarios (Quilicura)'!$A:$A,0))</f>
        <v>732.99199999999996</v>
      </c>
      <c r="S721" s="21">
        <f t="shared" si="36"/>
        <v>99106.702140585709</v>
      </c>
      <c r="T721" s="21">
        <f t="shared" si="37"/>
        <v>18830.273406711283</v>
      </c>
      <c r="U721" s="19">
        <v>0</v>
      </c>
      <c r="V721" s="21">
        <f t="shared" si="38"/>
        <v>117936.97554729698</v>
      </c>
    </row>
    <row r="722" spans="1:22" x14ac:dyDescent="0.3">
      <c r="A722" s="3" t="s">
        <v>150</v>
      </c>
      <c r="B722" s="3">
        <v>11</v>
      </c>
      <c r="C722" s="4" t="s">
        <v>186</v>
      </c>
      <c r="D722" s="3" t="s">
        <v>205</v>
      </c>
      <c r="E722" s="3" t="s">
        <v>58</v>
      </c>
      <c r="F722" s="4" t="s">
        <v>59</v>
      </c>
      <c r="G722" s="3" t="s">
        <v>30</v>
      </c>
      <c r="H722" s="5">
        <v>503.4153</v>
      </c>
      <c r="I722" s="5">
        <v>1.3697999999999999</v>
      </c>
      <c r="J722" s="5">
        <v>1.3476999999999999</v>
      </c>
      <c r="K722" s="6">
        <v>0.98386625784786097</v>
      </c>
      <c r="L722" s="5">
        <v>16.239999999999998</v>
      </c>
      <c r="M722" s="19">
        <f>H722*INDEX('Pliegos Tarifarios (Quilicura)'!$B:$B,MATCH($B722,'Pliegos Tarifarios (Quilicura)'!$A:$A,0))</f>
        <v>66331.510173900009</v>
      </c>
      <c r="N722" s="19">
        <f>I722*INDEX('Pliegos Tarifarios (Quilicura)'!$C:$C,MATCH($B722,'Pliegos Tarifarios (Quilicura)'!$A:$A,0))</f>
        <v>4760.6070293999992</v>
      </c>
      <c r="O722" s="19">
        <f>J722*INDEX('Pliegos Tarifarios (Quilicura)'!$D:$D,MATCH($B722,'Pliegos Tarifarios (Quilicura)'!$A:$A,0))</f>
        <v>19608.592954399999</v>
      </c>
      <c r="P722" s="19">
        <f>H722*INDEX('Pliegos Tarifarios (Quilicura)'!$E:$E,MATCH($B722,'Pliegos Tarifarios (Quilicura)'!$A:$A,0))</f>
        <v>6556.4808671999999</v>
      </c>
      <c r="Q722" s="19" cm="1">
        <f t="array" ref="Q722">H722*_xlfn.IFS(H722&lt;=350,INDEX('Pliegos Tarifarios (Quilicura)'!$F:$F,MATCH($B722,'Pliegos Tarifarios (Quilicura)'!$A:$A,0)),H722&lt;=500,INDEX('Pliegos Tarifarios (Quilicura)'!$G:$G,MATCH($B722,'Pliegos Tarifarios (Quilicura)'!$A:$A,0)),H722&lt;=1000,INDEX('Pliegos Tarifarios (Quilicura)'!$H:$H,MATCH($B722,'Pliegos Tarifarios (Quilicura)'!$A:$A,0)),H722&lt;=5000,INDEX('Pliegos Tarifarios (Quilicura)'!$I:$I,MATCH($B722,'Pliegos Tarifarios (Quilicura)'!$A:$A,0)),H722&gt;5000,INDEX('Pliegos Tarifarios (Quilicura)'!$J:$J,MATCH($B722,'Pliegos Tarifarios (Quilicura)'!$A:$A,0)))/1.19</f>
        <v>1180.6992456302523</v>
      </c>
      <c r="R722" s="19">
        <f>INDEX('Pliegos Tarifarios (Quilicura)'!$K:$K,MATCH($B722,'Pliegos Tarifarios (Quilicura)'!$A:$A,0))</f>
        <v>732.99199999999996</v>
      </c>
      <c r="S722" s="21">
        <f t="shared" si="36"/>
        <v>99170.882270530259</v>
      </c>
      <c r="T722" s="21">
        <f t="shared" si="37"/>
        <v>18842.467631400748</v>
      </c>
      <c r="U722" s="19">
        <v>0</v>
      </c>
      <c r="V722" s="21">
        <f t="shared" si="38"/>
        <v>118013.34990193101</v>
      </c>
    </row>
    <row r="723" spans="1:22" x14ac:dyDescent="0.3">
      <c r="A723" s="3" t="s">
        <v>150</v>
      </c>
      <c r="B723" s="3">
        <v>11</v>
      </c>
      <c r="C723" s="4" t="s">
        <v>186</v>
      </c>
      <c r="D723" s="3" t="s">
        <v>206</v>
      </c>
      <c r="E723" s="3" t="s">
        <v>61</v>
      </c>
      <c r="F723" s="4" t="s">
        <v>62</v>
      </c>
      <c r="G723" s="3" t="s">
        <v>30</v>
      </c>
      <c r="H723" s="5">
        <v>504.31130000000002</v>
      </c>
      <c r="I723" s="5">
        <v>1.4001999999999999</v>
      </c>
      <c r="J723" s="5">
        <v>1.3620000000000001</v>
      </c>
      <c r="K723" s="6">
        <v>0.97271818311669778</v>
      </c>
      <c r="L723" s="5">
        <v>16.27</v>
      </c>
      <c r="M723" s="19">
        <f>H723*INDEX('Pliegos Tarifarios (Quilicura)'!$B:$B,MATCH($B723,'Pliegos Tarifarios (Quilicura)'!$A:$A,0))</f>
        <v>66449.569821900004</v>
      </c>
      <c r="N723" s="19">
        <f>I723*INDEX('Pliegos Tarifarios (Quilicura)'!$C:$C,MATCH($B723,'Pliegos Tarifarios (Quilicura)'!$A:$A,0))</f>
        <v>4866.2592805999993</v>
      </c>
      <c r="O723" s="19">
        <f>J723*INDEX('Pliegos Tarifarios (Quilicura)'!$D:$D,MATCH($B723,'Pliegos Tarifarios (Quilicura)'!$A:$A,0))</f>
        <v>19816.653264</v>
      </c>
      <c r="P723" s="19">
        <f>H723*INDEX('Pliegos Tarifarios (Quilicura)'!$E:$E,MATCH($B723,'Pliegos Tarifarios (Quilicura)'!$A:$A,0))</f>
        <v>6568.1503711999994</v>
      </c>
      <c r="Q723" s="19" cm="1">
        <f t="array" ref="Q723">H723*_xlfn.IFS(H723&lt;=350,INDEX('Pliegos Tarifarios (Quilicura)'!$F:$F,MATCH($B723,'Pliegos Tarifarios (Quilicura)'!$A:$A,0)),H723&lt;=500,INDEX('Pliegos Tarifarios (Quilicura)'!$G:$G,MATCH($B723,'Pliegos Tarifarios (Quilicura)'!$A:$A,0)),H723&lt;=1000,INDEX('Pliegos Tarifarios (Quilicura)'!$H:$H,MATCH($B723,'Pliegos Tarifarios (Quilicura)'!$A:$A,0)),H723&lt;=5000,INDEX('Pliegos Tarifarios (Quilicura)'!$I:$I,MATCH($B723,'Pliegos Tarifarios (Quilicura)'!$A:$A,0)),H723&gt;5000,INDEX('Pliegos Tarifarios (Quilicura)'!$J:$J,MATCH($B723,'Pliegos Tarifarios (Quilicura)'!$A:$A,0)))/1.19</f>
        <v>1182.8007044537819</v>
      </c>
      <c r="R723" s="19">
        <f>INDEX('Pliegos Tarifarios (Quilicura)'!$K:$K,MATCH($B723,'Pliegos Tarifarios (Quilicura)'!$A:$A,0))</f>
        <v>732.99199999999996</v>
      </c>
      <c r="S723" s="21">
        <f t="shared" si="36"/>
        <v>99616.425442153792</v>
      </c>
      <c r="T723" s="21">
        <f t="shared" si="37"/>
        <v>18927.12083400922</v>
      </c>
      <c r="U723" s="19">
        <v>0</v>
      </c>
      <c r="V723" s="21">
        <f t="shared" si="38"/>
        <v>118543.54627616302</v>
      </c>
    </row>
    <row r="724" spans="1:22" x14ac:dyDescent="0.3">
      <c r="A724" s="3" t="s">
        <v>150</v>
      </c>
      <c r="B724" s="3">
        <v>11</v>
      </c>
      <c r="C724" s="4" t="s">
        <v>186</v>
      </c>
      <c r="D724" s="3" t="s">
        <v>207</v>
      </c>
      <c r="E724" s="3" t="s">
        <v>34</v>
      </c>
      <c r="F724" s="4" t="s">
        <v>64</v>
      </c>
      <c r="G724" s="3" t="s">
        <v>30</v>
      </c>
      <c r="H724" s="5">
        <v>1009.7711</v>
      </c>
      <c r="I724" s="5">
        <v>2.8517999999999999</v>
      </c>
      <c r="J724" s="5">
        <v>2.7408999999999999</v>
      </c>
      <c r="K724" s="6">
        <v>0.96111227996353177</v>
      </c>
      <c r="L724" s="5">
        <v>32.57</v>
      </c>
      <c r="M724" s="19">
        <f>H724*INDEX('Pliegos Tarifarios (Quilicura)'!$B:$B,MATCH($B724,'Pliegos Tarifarios (Quilicura)'!$A:$A,0))</f>
        <v>133050.4694493</v>
      </c>
      <c r="N724" s="19">
        <f>I724*INDEX('Pliegos Tarifarios (Quilicura)'!$C:$C,MATCH($B724,'Pliegos Tarifarios (Quilicura)'!$A:$A,0))</f>
        <v>9911.1542753999984</v>
      </c>
      <c r="O724" s="19">
        <f>J724*INDEX('Pliegos Tarifarios (Quilicura)'!$D:$D,MATCH($B724,'Pliegos Tarifarios (Quilicura)'!$A:$A,0))</f>
        <v>39879.195984799997</v>
      </c>
      <c r="P724" s="19">
        <f>H724*INDEX('Pliegos Tarifarios (Quilicura)'!$E:$E,MATCH($B724,'Pliegos Tarifarios (Quilicura)'!$A:$A,0))</f>
        <v>13151.258806399999</v>
      </c>
      <c r="Q724" s="19" cm="1">
        <f t="array" ref="Q724">H724*_xlfn.IFS(H724&lt;=350,INDEX('Pliegos Tarifarios (Quilicura)'!$F:$F,MATCH($B724,'Pliegos Tarifarios (Quilicura)'!$A:$A,0)),H724&lt;=500,INDEX('Pliegos Tarifarios (Quilicura)'!$G:$G,MATCH($B724,'Pliegos Tarifarios (Quilicura)'!$A:$A,0)),H724&lt;=1000,INDEX('Pliegos Tarifarios (Quilicura)'!$H:$H,MATCH($B724,'Pliegos Tarifarios (Quilicura)'!$A:$A,0)),H724&lt;=5000,INDEX('Pliegos Tarifarios (Quilicura)'!$I:$I,MATCH($B724,'Pliegos Tarifarios (Quilicura)'!$A:$A,0)),H724&gt;5000,INDEX('Pliegos Tarifarios (Quilicura)'!$J:$J,MATCH($B724,'Pliegos Tarifarios (Quilicura)'!$A:$A,0)))/1.19</f>
        <v>3030.1618471428569</v>
      </c>
      <c r="R724" s="19">
        <f>INDEX('Pliegos Tarifarios (Quilicura)'!$K:$K,MATCH($B724,'Pliegos Tarifarios (Quilicura)'!$A:$A,0))</f>
        <v>732.99199999999996</v>
      </c>
      <c r="S724" s="21">
        <f t="shared" si="36"/>
        <v>199755.23236304286</v>
      </c>
      <c r="T724" s="21">
        <f t="shared" si="37"/>
        <v>37953.494148978141</v>
      </c>
      <c r="U724" s="19">
        <v>0</v>
      </c>
      <c r="V724" s="21">
        <f t="shared" si="38"/>
        <v>237708.72651202101</v>
      </c>
    </row>
    <row r="725" spans="1:22" x14ac:dyDescent="0.3">
      <c r="A725" s="3" t="s">
        <v>150</v>
      </c>
      <c r="B725" s="3">
        <v>11</v>
      </c>
      <c r="C725" s="4" t="s">
        <v>186</v>
      </c>
      <c r="D725" s="3" t="s">
        <v>208</v>
      </c>
      <c r="E725" s="3" t="s">
        <v>34</v>
      </c>
      <c r="F725" s="4" t="s">
        <v>66</v>
      </c>
      <c r="G725" s="3" t="s">
        <v>30</v>
      </c>
      <c r="H725" s="5">
        <v>1006.6835</v>
      </c>
      <c r="I725" s="5">
        <v>2.7791999999999999</v>
      </c>
      <c r="J725" s="5">
        <v>2.7791999999999999</v>
      </c>
      <c r="K725" s="6">
        <v>1</v>
      </c>
      <c r="L725" s="5">
        <v>32.47</v>
      </c>
      <c r="M725" s="19">
        <f>H725*INDEX('Pliegos Tarifarios (Quilicura)'!$B:$B,MATCH($B725,'Pliegos Tarifarios (Quilicura)'!$A:$A,0))</f>
        <v>132643.6380105</v>
      </c>
      <c r="N725" s="19">
        <f>I725*INDEX('Pliegos Tarifarios (Quilicura)'!$C:$C,MATCH($B725,'Pliegos Tarifarios (Quilicura)'!$A:$A,0))</f>
        <v>9658.8400175999996</v>
      </c>
      <c r="O725" s="19">
        <f>J725*INDEX('Pliegos Tarifarios (Quilicura)'!$D:$D,MATCH($B725,'Pliegos Tarifarios (Quilicura)'!$A:$A,0))</f>
        <v>40436.448422399997</v>
      </c>
      <c r="P725" s="19">
        <f>H725*INDEX('Pliegos Tarifarios (Quilicura)'!$E:$E,MATCH($B725,'Pliegos Tarifarios (Quilicura)'!$A:$A,0))</f>
        <v>13111.045903999999</v>
      </c>
      <c r="Q725" s="19" cm="1">
        <f t="array" ref="Q725">H725*_xlfn.IFS(H725&lt;=350,INDEX('Pliegos Tarifarios (Quilicura)'!$F:$F,MATCH($B725,'Pliegos Tarifarios (Quilicura)'!$A:$A,0)),H725&lt;=500,INDEX('Pliegos Tarifarios (Quilicura)'!$G:$G,MATCH($B725,'Pliegos Tarifarios (Quilicura)'!$A:$A,0)),H725&lt;=1000,INDEX('Pliegos Tarifarios (Quilicura)'!$H:$H,MATCH($B725,'Pliegos Tarifarios (Quilicura)'!$A:$A,0)),H725&lt;=5000,INDEX('Pliegos Tarifarios (Quilicura)'!$I:$I,MATCH($B725,'Pliegos Tarifarios (Quilicura)'!$A:$A,0)),H725&gt;5000,INDEX('Pliegos Tarifarios (Quilicura)'!$J:$J,MATCH($B725,'Pliegos Tarifarios (Quilicura)'!$A:$A,0)))/1.19</f>
        <v>3020.8964525210085</v>
      </c>
      <c r="R725" s="19">
        <f>INDEX('Pliegos Tarifarios (Quilicura)'!$K:$K,MATCH($B725,'Pliegos Tarifarios (Quilicura)'!$A:$A,0))</f>
        <v>732.99199999999996</v>
      </c>
      <c r="S725" s="21">
        <f t="shared" si="36"/>
        <v>199603.86080702097</v>
      </c>
      <c r="T725" s="21">
        <f t="shared" si="37"/>
        <v>37924.733553333986</v>
      </c>
      <c r="U725" s="19">
        <v>0</v>
      </c>
      <c r="V725" s="21">
        <f t="shared" si="38"/>
        <v>237528.59436035497</v>
      </c>
    </row>
    <row r="726" spans="1:22" x14ac:dyDescent="0.3">
      <c r="A726" s="3" t="s">
        <v>150</v>
      </c>
      <c r="B726" s="3">
        <v>11</v>
      </c>
      <c r="C726" s="4" t="s">
        <v>186</v>
      </c>
      <c r="D726" s="3" t="s">
        <v>209</v>
      </c>
      <c r="E726" s="3" t="s">
        <v>34</v>
      </c>
      <c r="F726" s="4" t="s">
        <v>68</v>
      </c>
      <c r="G726" s="3" t="s">
        <v>30</v>
      </c>
      <c r="H726" s="5">
        <v>1009.5813000000001</v>
      </c>
      <c r="I726" s="5">
        <v>2.7528000000000001</v>
      </c>
      <c r="J726" s="5">
        <v>2.738</v>
      </c>
      <c r="K726" s="6">
        <v>0.99462365591397839</v>
      </c>
      <c r="L726" s="5">
        <v>32.57</v>
      </c>
      <c r="M726" s="19">
        <f>H726*INDEX('Pliegos Tarifarios (Quilicura)'!$B:$B,MATCH($B726,'Pliegos Tarifarios (Quilicura)'!$A:$A,0))</f>
        <v>133025.46083190001</v>
      </c>
      <c r="N726" s="19">
        <f>I726*INDEX('Pliegos Tarifarios (Quilicura)'!$C:$C,MATCH($B726,'Pliegos Tarifarios (Quilicura)'!$A:$A,0))</f>
        <v>9567.0893784</v>
      </c>
      <c r="O726" s="19">
        <f>J726*INDEX('Pliegos Tarifarios (Quilicura)'!$D:$D,MATCH($B726,'Pliegos Tarifarios (Quilicura)'!$A:$A,0))</f>
        <v>39837.001936000001</v>
      </c>
      <c r="P726" s="19">
        <f>H726*INDEX('Pliegos Tarifarios (Quilicura)'!$E:$E,MATCH($B726,'Pliegos Tarifarios (Quilicura)'!$A:$A,0))</f>
        <v>13148.7868512</v>
      </c>
      <c r="Q726" s="19" cm="1">
        <f t="array" ref="Q726">H726*_xlfn.IFS(H726&lt;=350,INDEX('Pliegos Tarifarios (Quilicura)'!$F:$F,MATCH($B726,'Pliegos Tarifarios (Quilicura)'!$A:$A,0)),H726&lt;=500,INDEX('Pliegos Tarifarios (Quilicura)'!$G:$G,MATCH($B726,'Pliegos Tarifarios (Quilicura)'!$A:$A,0)),H726&lt;=1000,INDEX('Pliegos Tarifarios (Quilicura)'!$H:$H,MATCH($B726,'Pliegos Tarifarios (Quilicura)'!$A:$A,0)),H726&lt;=5000,INDEX('Pliegos Tarifarios (Quilicura)'!$I:$I,MATCH($B726,'Pliegos Tarifarios (Quilicura)'!$A:$A,0)),H726&gt;5000,INDEX('Pliegos Tarifarios (Quilicura)'!$J:$J,MATCH($B726,'Pliegos Tarifarios (Quilicura)'!$A:$A,0)))/1.19</f>
        <v>3029.592287647059</v>
      </c>
      <c r="R726" s="19">
        <f>INDEX('Pliegos Tarifarios (Quilicura)'!$K:$K,MATCH($B726,'Pliegos Tarifarios (Quilicura)'!$A:$A,0))</f>
        <v>732.99199999999996</v>
      </c>
      <c r="S726" s="21">
        <f t="shared" si="36"/>
        <v>199340.92328514712</v>
      </c>
      <c r="T726" s="21">
        <f t="shared" si="37"/>
        <v>37874.775424177955</v>
      </c>
      <c r="U726" s="19">
        <v>0</v>
      </c>
      <c r="V726" s="21">
        <f t="shared" si="38"/>
        <v>237215.69870932508</v>
      </c>
    </row>
    <row r="727" spans="1:22" x14ac:dyDescent="0.3">
      <c r="A727" s="3" t="s">
        <v>150</v>
      </c>
      <c r="B727" s="3">
        <v>11</v>
      </c>
      <c r="C727" s="4" t="s">
        <v>186</v>
      </c>
      <c r="D727" s="3" t="s">
        <v>210</v>
      </c>
      <c r="E727" s="3" t="s">
        <v>70</v>
      </c>
      <c r="F727" s="4" t="s">
        <v>71</v>
      </c>
      <c r="G727" s="3" t="s">
        <v>30</v>
      </c>
      <c r="H727" s="5">
        <v>1262.4527</v>
      </c>
      <c r="I727" s="5">
        <v>3.4903</v>
      </c>
      <c r="J727" s="5">
        <v>3.4386999999999999</v>
      </c>
      <c r="K727" s="6">
        <v>0.98521617052975385</v>
      </c>
      <c r="L727" s="5">
        <v>40.72</v>
      </c>
      <c r="M727" s="19">
        <f>H727*INDEX('Pliegos Tarifarios (Quilicura)'!$B:$B,MATCH($B727,'Pliegos Tarifarios (Quilicura)'!$A:$A,0))</f>
        <v>166344.55511010002</v>
      </c>
      <c r="N727" s="19">
        <f>I727*INDEX('Pliegos Tarifarios (Quilicura)'!$C:$C,MATCH($B727,'Pliegos Tarifarios (Quilicura)'!$A:$A,0))</f>
        <v>12130.1990909</v>
      </c>
      <c r="O727" s="19">
        <f>J727*INDEX('Pliegos Tarifarios (Quilicura)'!$D:$D,MATCH($B727,'Pliegos Tarifarios (Quilicura)'!$A:$A,0))</f>
        <v>50031.957106399997</v>
      </c>
      <c r="P727" s="19">
        <f>H727*INDEX('Pliegos Tarifarios (Quilicura)'!$E:$E,MATCH($B727,'Pliegos Tarifarios (Quilicura)'!$A:$A,0))</f>
        <v>16442.183964799999</v>
      </c>
      <c r="Q727" s="19" cm="1">
        <f t="array" ref="Q727">H727*_xlfn.IFS(H727&lt;=350,INDEX('Pliegos Tarifarios (Quilicura)'!$F:$F,MATCH($B727,'Pliegos Tarifarios (Quilicura)'!$A:$A,0)),H727&lt;=500,INDEX('Pliegos Tarifarios (Quilicura)'!$G:$G,MATCH($B727,'Pliegos Tarifarios (Quilicura)'!$A:$A,0)),H727&lt;=1000,INDEX('Pliegos Tarifarios (Quilicura)'!$H:$H,MATCH($B727,'Pliegos Tarifarios (Quilicura)'!$A:$A,0)),H727&lt;=5000,INDEX('Pliegos Tarifarios (Quilicura)'!$I:$I,MATCH($B727,'Pliegos Tarifarios (Quilicura)'!$A:$A,0)),H727&gt;5000,INDEX('Pliegos Tarifarios (Quilicura)'!$J:$J,MATCH($B727,'Pliegos Tarifarios (Quilicura)'!$A:$A,0)))/1.19</f>
        <v>3788.4189846218487</v>
      </c>
      <c r="R727" s="19">
        <f>INDEX('Pliegos Tarifarios (Quilicura)'!$K:$K,MATCH($B727,'Pliegos Tarifarios (Quilicura)'!$A:$A,0))</f>
        <v>732.99199999999996</v>
      </c>
      <c r="S727" s="21">
        <f t="shared" si="36"/>
        <v>249470.30625682184</v>
      </c>
      <c r="T727" s="21">
        <f t="shared" si="37"/>
        <v>47399.358188796148</v>
      </c>
      <c r="U727" s="19">
        <v>0</v>
      </c>
      <c r="V727" s="21">
        <f t="shared" si="38"/>
        <v>296869.66444561799</v>
      </c>
    </row>
    <row r="728" spans="1:22" x14ac:dyDescent="0.3">
      <c r="A728" s="3" t="s">
        <v>150</v>
      </c>
      <c r="B728" s="3">
        <v>11</v>
      </c>
      <c r="C728" s="4" t="s">
        <v>186</v>
      </c>
      <c r="D728" s="3" t="s">
        <v>211</v>
      </c>
      <c r="E728" s="3" t="s">
        <v>73</v>
      </c>
      <c r="F728" s="4" t="s">
        <v>74</v>
      </c>
      <c r="G728" s="3" t="s">
        <v>16</v>
      </c>
      <c r="H728" s="5">
        <v>2018.2180000000001</v>
      </c>
      <c r="I728" s="5">
        <v>5.6223000000000001</v>
      </c>
      <c r="J728" s="5">
        <v>5.4684999999999997</v>
      </c>
      <c r="K728" s="6">
        <v>0.9726446472084378</v>
      </c>
      <c r="L728" s="5">
        <v>65.099999999999994</v>
      </c>
      <c r="M728" s="19">
        <f>H728*INDEX('Pliegos Tarifarios (Quilicura)'!$B:$B,MATCH($B728,'Pliegos Tarifarios (Quilicura)'!$A:$A,0))</f>
        <v>265926.45833400002</v>
      </c>
      <c r="N728" s="19">
        <f>I728*INDEX('Pliegos Tarifarios (Quilicura)'!$C:$C,MATCH($B728,'Pliegos Tarifarios (Quilicura)'!$A:$A,0))</f>
        <v>19539.7582869</v>
      </c>
      <c r="O728" s="19">
        <f>J728*INDEX('Pliegos Tarifarios (Quilicura)'!$D:$D,MATCH($B728,'Pliegos Tarifarios (Quilicura)'!$A:$A,0))</f>
        <v>79564.881332000004</v>
      </c>
      <c r="P728" s="19">
        <f>H728*INDEX('Pliegos Tarifarios (Quilicura)'!$E:$E,MATCH($B728,'Pliegos Tarifarios (Quilicura)'!$A:$A,0))</f>
        <v>26285.271231999999</v>
      </c>
      <c r="Q728" s="19" cm="1">
        <f t="array" ref="Q728">H728*_xlfn.IFS(H728&lt;=350,INDEX('Pliegos Tarifarios (Quilicura)'!$F:$F,MATCH($B728,'Pliegos Tarifarios (Quilicura)'!$A:$A,0)),H728&lt;=500,INDEX('Pliegos Tarifarios (Quilicura)'!$G:$G,MATCH($B728,'Pliegos Tarifarios (Quilicura)'!$A:$A,0)),H728&lt;=1000,INDEX('Pliegos Tarifarios (Quilicura)'!$H:$H,MATCH($B728,'Pliegos Tarifarios (Quilicura)'!$A:$A,0)),H728&lt;=5000,INDEX('Pliegos Tarifarios (Quilicura)'!$I:$I,MATCH($B728,'Pliegos Tarifarios (Quilicura)'!$A:$A,0)),H728&gt;5000,INDEX('Pliegos Tarifarios (Quilicura)'!$J:$J,MATCH($B728,'Pliegos Tarifarios (Quilicura)'!$A:$A,0)))/1.19</f>
        <v>6056.3499815126052</v>
      </c>
      <c r="R728" s="19">
        <f>INDEX('Pliegos Tarifarios (Quilicura)'!$K:$K,MATCH($B728,'Pliegos Tarifarios (Quilicura)'!$A:$A,0))</f>
        <v>732.99199999999996</v>
      </c>
      <c r="S728" s="21">
        <f t="shared" si="36"/>
        <v>398105.71116641269</v>
      </c>
      <c r="T728" s="21">
        <f t="shared" si="37"/>
        <v>75640.085121618409</v>
      </c>
      <c r="U728" s="19">
        <v>0</v>
      </c>
      <c r="V728" s="21">
        <f t="shared" si="38"/>
        <v>473745.7962880311</v>
      </c>
    </row>
    <row r="729" spans="1:22" x14ac:dyDescent="0.3">
      <c r="A729" s="3" t="s">
        <v>150</v>
      </c>
      <c r="B729" s="3">
        <v>11</v>
      </c>
      <c r="C729" s="4" t="s">
        <v>186</v>
      </c>
      <c r="D729" s="3" t="s">
        <v>212</v>
      </c>
      <c r="E729" s="3" t="s">
        <v>73</v>
      </c>
      <c r="F729" s="4" t="s">
        <v>76</v>
      </c>
      <c r="G729" s="3" t="s">
        <v>16</v>
      </c>
      <c r="H729" s="5">
        <v>1516.912</v>
      </c>
      <c r="I729" s="5">
        <v>4.2506000000000004</v>
      </c>
      <c r="J729" s="5">
        <v>4.2343999999999999</v>
      </c>
      <c r="K729" s="6">
        <v>0.99618877334964462</v>
      </c>
      <c r="L729" s="5">
        <v>48.93</v>
      </c>
      <c r="M729" s="19">
        <f>H729*INDEX('Pliegos Tarifarios (Quilicura)'!$B:$B,MATCH($B729,'Pliegos Tarifarios (Quilicura)'!$A:$A,0))</f>
        <v>199872.875856</v>
      </c>
      <c r="N729" s="19">
        <f>I729*INDEX('Pliegos Tarifarios (Quilicura)'!$C:$C,MATCH($B729,'Pliegos Tarifarios (Quilicura)'!$A:$A,0))</f>
        <v>14772.5479918</v>
      </c>
      <c r="O729" s="19">
        <f>J729*INDEX('Pliegos Tarifarios (Quilicura)'!$D:$D,MATCH($B729,'Pliegos Tarifarios (Quilicura)'!$A:$A,0))</f>
        <v>61609.131116800003</v>
      </c>
      <c r="P729" s="19">
        <f>H729*INDEX('Pliegos Tarifarios (Quilicura)'!$E:$E,MATCH($B729,'Pliegos Tarifarios (Quilicura)'!$A:$A,0))</f>
        <v>19756.261888000001</v>
      </c>
      <c r="Q729" s="19" cm="1">
        <f t="array" ref="Q729">H729*_xlfn.IFS(H729&lt;=350,INDEX('Pliegos Tarifarios (Quilicura)'!$F:$F,MATCH($B729,'Pliegos Tarifarios (Quilicura)'!$A:$A,0)),H729&lt;=500,INDEX('Pliegos Tarifarios (Quilicura)'!$G:$G,MATCH($B729,'Pliegos Tarifarios (Quilicura)'!$A:$A,0)),H729&lt;=1000,INDEX('Pliegos Tarifarios (Quilicura)'!$H:$H,MATCH($B729,'Pliegos Tarifarios (Quilicura)'!$A:$A,0)),H729&lt;=5000,INDEX('Pliegos Tarifarios (Quilicura)'!$I:$I,MATCH($B729,'Pliegos Tarifarios (Quilicura)'!$A:$A,0)),H729&gt;5000,INDEX('Pliegos Tarifarios (Quilicura)'!$J:$J,MATCH($B729,'Pliegos Tarifarios (Quilicura)'!$A:$A,0)))/1.19</f>
        <v>4552.0107159663867</v>
      </c>
      <c r="R729" s="19">
        <f>INDEX('Pliegos Tarifarios (Quilicura)'!$K:$K,MATCH($B729,'Pliegos Tarifarios (Quilicura)'!$A:$A,0))</f>
        <v>732.99199999999996</v>
      </c>
      <c r="S729" s="21">
        <f t="shared" si="36"/>
        <v>301295.81956856645</v>
      </c>
      <c r="T729" s="21">
        <f t="shared" si="37"/>
        <v>57246.205718027624</v>
      </c>
      <c r="U729" s="19">
        <v>0</v>
      </c>
      <c r="V729" s="21">
        <f t="shared" si="38"/>
        <v>358542.02528659406</v>
      </c>
    </row>
    <row r="730" spans="1:22" x14ac:dyDescent="0.3">
      <c r="A730" s="3" t="s">
        <v>150</v>
      </c>
      <c r="B730" s="3">
        <v>11</v>
      </c>
      <c r="C730" s="4" t="s">
        <v>186</v>
      </c>
      <c r="D730" s="3" t="s">
        <v>213</v>
      </c>
      <c r="E730" s="3" t="s">
        <v>78</v>
      </c>
      <c r="F730" s="4" t="s">
        <v>79</v>
      </c>
      <c r="G730" s="3" t="s">
        <v>16</v>
      </c>
      <c r="H730" s="5">
        <v>1258.2563</v>
      </c>
      <c r="I730" s="5">
        <v>3.4479000000000002</v>
      </c>
      <c r="J730" s="5">
        <v>3.3919999999999999</v>
      </c>
      <c r="K730" s="6">
        <v>0.98378723280837599</v>
      </c>
      <c r="L730" s="5">
        <v>40.590000000000003</v>
      </c>
      <c r="M730" s="19">
        <f>H730*INDEX('Pliegos Tarifarios (Quilicura)'!$B:$B,MATCH($B730,'Pliegos Tarifarios (Quilicura)'!$A:$A,0))</f>
        <v>165791.62485690002</v>
      </c>
      <c r="N730" s="19">
        <f>I730*INDEX('Pliegos Tarifarios (Quilicura)'!$C:$C,MATCH($B730,'Pliegos Tarifarios (Quilicura)'!$A:$A,0))</f>
        <v>11982.8420037</v>
      </c>
      <c r="O730" s="19">
        <f>J730*INDEX('Pliegos Tarifarios (Quilicura)'!$D:$D,MATCH($B730,'Pliegos Tarifarios (Quilicura)'!$A:$A,0))</f>
        <v>49352.487423999999</v>
      </c>
      <c r="P730" s="19">
        <f>H730*INDEX('Pliegos Tarifarios (Quilicura)'!$E:$E,MATCH($B730,'Pliegos Tarifarios (Quilicura)'!$A:$A,0))</f>
        <v>16387.530051199999</v>
      </c>
      <c r="Q730" s="19" cm="1">
        <f t="array" ref="Q730">H730*_xlfn.IFS(H730&lt;=350,INDEX('Pliegos Tarifarios (Quilicura)'!$F:$F,MATCH($B730,'Pliegos Tarifarios (Quilicura)'!$A:$A,0)),H730&lt;=500,INDEX('Pliegos Tarifarios (Quilicura)'!$G:$G,MATCH($B730,'Pliegos Tarifarios (Quilicura)'!$A:$A,0)),H730&lt;=1000,INDEX('Pliegos Tarifarios (Quilicura)'!$H:$H,MATCH($B730,'Pliegos Tarifarios (Quilicura)'!$A:$A,0)),H730&lt;=5000,INDEX('Pliegos Tarifarios (Quilicura)'!$I:$I,MATCH($B730,'Pliegos Tarifarios (Quilicura)'!$A:$A,0)),H730&gt;5000,INDEX('Pliegos Tarifarios (Quilicura)'!$J:$J,MATCH($B730,'Pliegos Tarifarios (Quilicura)'!$A:$A,0)))/1.19</f>
        <v>3775.8262582352941</v>
      </c>
      <c r="R730" s="19">
        <f>INDEX('Pliegos Tarifarios (Quilicura)'!$K:$K,MATCH($B730,'Pliegos Tarifarios (Quilicura)'!$A:$A,0))</f>
        <v>732.99199999999996</v>
      </c>
      <c r="S730" s="21">
        <f t="shared" si="36"/>
        <v>248023.30259403531</v>
      </c>
      <c r="T730" s="21">
        <f t="shared" si="37"/>
        <v>47124.427492866707</v>
      </c>
      <c r="U730" s="19">
        <v>0</v>
      </c>
      <c r="V730" s="21">
        <f t="shared" si="38"/>
        <v>295147.73008690204</v>
      </c>
    </row>
    <row r="731" spans="1:22" x14ac:dyDescent="0.3">
      <c r="A731" s="3" t="s">
        <v>150</v>
      </c>
      <c r="B731" s="3">
        <v>11</v>
      </c>
      <c r="C731" s="4" t="s">
        <v>186</v>
      </c>
      <c r="D731" s="3" t="s">
        <v>214</v>
      </c>
      <c r="E731" s="3" t="s">
        <v>78</v>
      </c>
      <c r="F731" s="4" t="s">
        <v>81</v>
      </c>
      <c r="G731" s="3" t="s">
        <v>16</v>
      </c>
      <c r="H731" s="5">
        <v>844.16219999999998</v>
      </c>
      <c r="I731" s="5">
        <v>2.3513000000000002</v>
      </c>
      <c r="J731" s="5">
        <v>2.2639</v>
      </c>
      <c r="K731" s="6">
        <v>0.96282907327861178</v>
      </c>
      <c r="L731" s="5">
        <v>27.23</v>
      </c>
      <c r="M731" s="19">
        <f>H731*INDEX('Pliegos Tarifarios (Quilicura)'!$B:$B,MATCH($B731,'Pliegos Tarifarios (Quilicura)'!$A:$A,0))</f>
        <v>111229.3439586</v>
      </c>
      <c r="N731" s="19">
        <f>I731*INDEX('Pliegos Tarifarios (Quilicura)'!$C:$C,MATCH($B731,'Pliegos Tarifarios (Quilicura)'!$A:$A,0))</f>
        <v>8171.7150738999999</v>
      </c>
      <c r="O731" s="19">
        <f>J731*INDEX('Pliegos Tarifarios (Quilicura)'!$D:$D,MATCH($B731,'Pliegos Tarifarios (Quilicura)'!$A:$A,0))</f>
        <v>32939.002440800003</v>
      </c>
      <c r="P731" s="19">
        <f>H731*INDEX('Pliegos Tarifarios (Quilicura)'!$E:$E,MATCH($B731,'Pliegos Tarifarios (Quilicura)'!$A:$A,0))</f>
        <v>10994.368492799998</v>
      </c>
      <c r="Q731" s="19" cm="1">
        <f t="array" ref="Q731">H731*_xlfn.IFS(H731&lt;=350,INDEX('Pliegos Tarifarios (Quilicura)'!$F:$F,MATCH($B731,'Pliegos Tarifarios (Quilicura)'!$A:$A,0)),H731&lt;=500,INDEX('Pliegos Tarifarios (Quilicura)'!$G:$G,MATCH($B731,'Pliegos Tarifarios (Quilicura)'!$A:$A,0)),H731&lt;=1000,INDEX('Pliegos Tarifarios (Quilicura)'!$H:$H,MATCH($B731,'Pliegos Tarifarios (Quilicura)'!$A:$A,0)),H731&lt;=5000,INDEX('Pliegos Tarifarios (Quilicura)'!$I:$I,MATCH($B731,'Pliegos Tarifarios (Quilicura)'!$A:$A,0)),H731&gt;5000,INDEX('Pliegos Tarifarios (Quilicura)'!$J:$J,MATCH($B731,'Pliegos Tarifarios (Quilicura)'!$A:$A,0)))/1.19</f>
        <v>1979.8795800000003</v>
      </c>
      <c r="R731" s="19">
        <f>INDEX('Pliegos Tarifarios (Quilicura)'!$K:$K,MATCH($B731,'Pliegos Tarifarios (Quilicura)'!$A:$A,0))</f>
        <v>732.99199999999996</v>
      </c>
      <c r="S731" s="21">
        <f t="shared" si="36"/>
        <v>166047.3015461</v>
      </c>
      <c r="T731" s="21">
        <f t="shared" si="37"/>
        <v>31548.987293759001</v>
      </c>
      <c r="U731" s="19">
        <v>0</v>
      </c>
      <c r="V731" s="21">
        <f t="shared" si="38"/>
        <v>197596.28883985901</v>
      </c>
    </row>
    <row r="732" spans="1:22" x14ac:dyDescent="0.3">
      <c r="A732" s="3" t="s">
        <v>150</v>
      </c>
      <c r="B732" s="3">
        <v>11</v>
      </c>
      <c r="C732" s="4" t="s">
        <v>186</v>
      </c>
      <c r="D732" s="3" t="s">
        <v>215</v>
      </c>
      <c r="E732" s="3" t="s">
        <v>78</v>
      </c>
      <c r="F732" s="4" t="s">
        <v>83</v>
      </c>
      <c r="G732" s="3" t="s">
        <v>16</v>
      </c>
      <c r="H732" s="5">
        <v>841.45659999999998</v>
      </c>
      <c r="I732" s="5">
        <v>2.3188</v>
      </c>
      <c r="J732" s="5">
        <v>2.3188</v>
      </c>
      <c r="K732" s="6">
        <v>1</v>
      </c>
      <c r="L732" s="5">
        <v>27.14</v>
      </c>
      <c r="M732" s="19">
        <f>H732*INDEX('Pliegos Tarifarios (Quilicura)'!$B:$B,MATCH($B732,'Pliegos Tarifarios (Quilicura)'!$A:$A,0))</f>
        <v>110872.8459858</v>
      </c>
      <c r="N732" s="19">
        <f>I732*INDEX('Pliegos Tarifarios (Quilicura)'!$C:$C,MATCH($B732,'Pliegos Tarifarios (Quilicura)'!$A:$A,0))</f>
        <v>8058.7644763999997</v>
      </c>
      <c r="O732" s="19">
        <f>J732*INDEX('Pliegos Tarifarios (Quilicura)'!$D:$D,MATCH($B732,'Pliegos Tarifarios (Quilicura)'!$A:$A,0))</f>
        <v>33737.779433600001</v>
      </c>
      <c r="P732" s="19">
        <f>H732*INDEX('Pliegos Tarifarios (Quilicura)'!$E:$E,MATCH($B732,'Pliegos Tarifarios (Quilicura)'!$A:$A,0))</f>
        <v>10959.130758399999</v>
      </c>
      <c r="Q732" s="19" cm="1">
        <f t="array" ref="Q732">H732*_xlfn.IFS(H732&lt;=350,INDEX('Pliegos Tarifarios (Quilicura)'!$F:$F,MATCH($B732,'Pliegos Tarifarios (Quilicura)'!$A:$A,0)),H732&lt;=500,INDEX('Pliegos Tarifarios (Quilicura)'!$G:$G,MATCH($B732,'Pliegos Tarifarios (Quilicura)'!$A:$A,0)),H732&lt;=1000,INDEX('Pliegos Tarifarios (Quilicura)'!$H:$H,MATCH($B732,'Pliegos Tarifarios (Quilicura)'!$A:$A,0)),H732&lt;=5000,INDEX('Pliegos Tarifarios (Quilicura)'!$I:$I,MATCH($B732,'Pliegos Tarifarios (Quilicura)'!$A:$A,0)),H732&gt;5000,INDEX('Pliegos Tarifarios (Quilicura)'!$J:$J,MATCH($B732,'Pliegos Tarifarios (Quilicura)'!$A:$A,0)))/1.19</f>
        <v>1973.5339248739499</v>
      </c>
      <c r="R732" s="19">
        <f>INDEX('Pliegos Tarifarios (Quilicura)'!$K:$K,MATCH($B732,'Pliegos Tarifarios (Quilicura)'!$A:$A,0))</f>
        <v>732.99199999999996</v>
      </c>
      <c r="S732" s="21">
        <f t="shared" si="36"/>
        <v>166335.04657907394</v>
      </c>
      <c r="T732" s="21">
        <f t="shared" si="37"/>
        <v>31603.65885002405</v>
      </c>
      <c r="U732" s="19">
        <v>0</v>
      </c>
      <c r="V732" s="21">
        <f t="shared" si="38"/>
        <v>197938.70542909799</v>
      </c>
    </row>
    <row r="733" spans="1:22" x14ac:dyDescent="0.3">
      <c r="A733" s="3" t="s">
        <v>150</v>
      </c>
      <c r="B733" s="3">
        <v>11</v>
      </c>
      <c r="C733" s="4" t="s">
        <v>186</v>
      </c>
      <c r="D733" s="3" t="s">
        <v>216</v>
      </c>
      <c r="E733" s="3" t="s">
        <v>78</v>
      </c>
      <c r="F733" s="4" t="s">
        <v>85</v>
      </c>
      <c r="G733" s="3" t="s">
        <v>16</v>
      </c>
      <c r="H733" s="5">
        <v>1008.2381</v>
      </c>
      <c r="I733" s="5">
        <v>2.7566999999999999</v>
      </c>
      <c r="J733" s="5">
        <v>2.7566999999999999</v>
      </c>
      <c r="K733" s="6">
        <v>1</v>
      </c>
      <c r="L733" s="5">
        <v>32.520000000000003</v>
      </c>
      <c r="M733" s="19">
        <f>H733*INDEX('Pliegos Tarifarios (Quilicura)'!$B:$B,MATCH($B733,'Pliegos Tarifarios (Quilicura)'!$A:$A,0))</f>
        <v>132848.47677030001</v>
      </c>
      <c r="N733" s="19">
        <f>I733*INDEX('Pliegos Tarifarios (Quilicura)'!$C:$C,MATCH($B733,'Pliegos Tarifarios (Quilicura)'!$A:$A,0))</f>
        <v>9580.6434500999985</v>
      </c>
      <c r="O733" s="19">
        <f>J733*INDEX('Pliegos Tarifarios (Quilicura)'!$D:$D,MATCH($B733,'Pliegos Tarifarios (Quilicura)'!$A:$A,0))</f>
        <v>40109.0808024</v>
      </c>
      <c r="P733" s="19">
        <f>H733*INDEX('Pliegos Tarifarios (Quilicura)'!$E:$E,MATCH($B733,'Pliegos Tarifarios (Quilicura)'!$A:$A,0))</f>
        <v>13131.2930144</v>
      </c>
      <c r="Q733" s="19" cm="1">
        <f t="array" ref="Q733">H733*_xlfn.IFS(H733&lt;=350,INDEX('Pliegos Tarifarios (Quilicura)'!$F:$F,MATCH($B733,'Pliegos Tarifarios (Quilicura)'!$A:$A,0)),H733&lt;=500,INDEX('Pliegos Tarifarios (Quilicura)'!$G:$G,MATCH($B733,'Pliegos Tarifarios (Quilicura)'!$A:$A,0)),H733&lt;=1000,INDEX('Pliegos Tarifarios (Quilicura)'!$H:$H,MATCH($B733,'Pliegos Tarifarios (Quilicura)'!$A:$A,0)),H733&lt;=5000,INDEX('Pliegos Tarifarios (Quilicura)'!$I:$I,MATCH($B733,'Pliegos Tarifarios (Quilicura)'!$A:$A,0)),H733&gt;5000,INDEX('Pliegos Tarifarios (Quilicura)'!$J:$J,MATCH($B733,'Pliegos Tarifarios (Quilicura)'!$A:$A,0)))/1.19</f>
        <v>3025.5615589075633</v>
      </c>
      <c r="R733" s="19">
        <f>INDEX('Pliegos Tarifarios (Quilicura)'!$K:$K,MATCH($B733,'Pliegos Tarifarios (Quilicura)'!$A:$A,0))</f>
        <v>732.99199999999996</v>
      </c>
      <c r="S733" s="21">
        <f t="shared" si="36"/>
        <v>199428.04759610756</v>
      </c>
      <c r="T733" s="21">
        <f t="shared" si="37"/>
        <v>37891.329043260434</v>
      </c>
      <c r="U733" s="19">
        <v>0</v>
      </c>
      <c r="V733" s="21">
        <f t="shared" si="38"/>
        <v>237319.37663936798</v>
      </c>
    </row>
    <row r="734" spans="1:22" x14ac:dyDescent="0.3">
      <c r="A734" s="3" t="s">
        <v>150</v>
      </c>
      <c r="B734" s="3">
        <v>11</v>
      </c>
      <c r="C734" s="4" t="s">
        <v>186</v>
      </c>
      <c r="D734" s="3" t="s">
        <v>217</v>
      </c>
      <c r="E734" s="3" t="s">
        <v>78</v>
      </c>
      <c r="F734" s="4" t="s">
        <v>87</v>
      </c>
      <c r="G734" s="3" t="s">
        <v>16</v>
      </c>
      <c r="H734" s="5">
        <v>1010.3536</v>
      </c>
      <c r="I734" s="5">
        <v>2.7841</v>
      </c>
      <c r="J734" s="5">
        <v>2.7841</v>
      </c>
      <c r="K734" s="6">
        <v>1</v>
      </c>
      <c r="L734" s="5">
        <v>32.590000000000003</v>
      </c>
      <c r="M734" s="19">
        <f>H734*INDEX('Pliegos Tarifarios (Quilicura)'!$B:$B,MATCH($B734,'Pliegos Tarifarios (Quilicura)'!$A:$A,0))</f>
        <v>133127.22139680001</v>
      </c>
      <c r="N734" s="19">
        <f>I734*INDEX('Pliegos Tarifarios (Quilicura)'!$C:$C,MATCH($B734,'Pliegos Tarifarios (Quilicura)'!$A:$A,0))</f>
        <v>9675.8694923000003</v>
      </c>
      <c r="O734" s="19">
        <f>J734*INDEX('Pliegos Tarifarios (Quilicura)'!$D:$D,MATCH($B734,'Pliegos Tarifarios (Quilicura)'!$A:$A,0))</f>
        <v>40507.741815200003</v>
      </c>
      <c r="P734" s="19">
        <f>H734*INDEX('Pliegos Tarifarios (Quilicura)'!$E:$E,MATCH($B734,'Pliegos Tarifarios (Quilicura)'!$A:$A,0))</f>
        <v>13158.845286399999</v>
      </c>
      <c r="Q734" s="19" cm="1">
        <f t="array" ref="Q734">H734*_xlfn.IFS(H734&lt;=350,INDEX('Pliegos Tarifarios (Quilicura)'!$F:$F,MATCH($B734,'Pliegos Tarifarios (Quilicura)'!$A:$A,0)),H734&lt;=500,INDEX('Pliegos Tarifarios (Quilicura)'!$G:$G,MATCH($B734,'Pliegos Tarifarios (Quilicura)'!$A:$A,0)),H734&lt;=1000,INDEX('Pliegos Tarifarios (Quilicura)'!$H:$H,MATCH($B734,'Pliegos Tarifarios (Quilicura)'!$A:$A,0)),H734&lt;=5000,INDEX('Pliegos Tarifarios (Quilicura)'!$I:$I,MATCH($B734,'Pliegos Tarifarios (Quilicura)'!$A:$A,0)),H734&gt;5000,INDEX('Pliegos Tarifarios (Quilicura)'!$J:$J,MATCH($B734,'Pliegos Tarifarios (Quilicura)'!$A:$A,0)))/1.19</f>
        <v>3031.9098366386552</v>
      </c>
      <c r="R734" s="19">
        <f>INDEX('Pliegos Tarifarios (Quilicura)'!$K:$K,MATCH($B734,'Pliegos Tarifarios (Quilicura)'!$A:$A,0))</f>
        <v>732.99199999999996</v>
      </c>
      <c r="S734" s="21">
        <f t="shared" si="36"/>
        <v>200234.57982733866</v>
      </c>
      <c r="T734" s="21">
        <f t="shared" si="37"/>
        <v>38044.570167194346</v>
      </c>
      <c r="U734" s="19">
        <v>0</v>
      </c>
      <c r="V734" s="21">
        <f t="shared" si="38"/>
        <v>238279.14999453301</v>
      </c>
    </row>
    <row r="735" spans="1:22" x14ac:dyDescent="0.3">
      <c r="A735" s="3" t="s">
        <v>150</v>
      </c>
      <c r="B735" s="3">
        <v>11</v>
      </c>
      <c r="C735" s="4" t="s">
        <v>186</v>
      </c>
      <c r="D735" s="3" t="s">
        <v>218</v>
      </c>
      <c r="E735" s="3" t="s">
        <v>78</v>
      </c>
      <c r="F735" s="4" t="s">
        <v>89</v>
      </c>
      <c r="G735" s="3" t="s">
        <v>16</v>
      </c>
      <c r="H735" s="5">
        <v>1262.8588999999999</v>
      </c>
      <c r="I735" s="5">
        <v>3.4826000000000001</v>
      </c>
      <c r="J735" s="5">
        <v>3.4074</v>
      </c>
      <c r="K735" s="6">
        <v>0.9784069373456612</v>
      </c>
      <c r="L735" s="5">
        <v>40.74</v>
      </c>
      <c r="M735" s="19">
        <f>H735*INDEX('Pliegos Tarifarios (Quilicura)'!$B:$B,MATCH($B735,'Pliegos Tarifarios (Quilicura)'!$A:$A,0))</f>
        <v>166398.07724069999</v>
      </c>
      <c r="N735" s="19">
        <f>I735*INDEX('Pliegos Tarifarios (Quilicura)'!$C:$C,MATCH($B735,'Pliegos Tarifarios (Quilicura)'!$A:$A,0))</f>
        <v>12103.4384878</v>
      </c>
      <c r="O735" s="19">
        <f>J735*INDEX('Pliegos Tarifarios (Quilicura)'!$D:$D,MATCH($B735,'Pliegos Tarifarios (Quilicura)'!$A:$A,0))</f>
        <v>49576.552372800004</v>
      </c>
      <c r="P735" s="19">
        <f>H735*INDEX('Pliegos Tarifarios (Quilicura)'!$E:$E,MATCH($B735,'Pliegos Tarifarios (Quilicura)'!$A:$A,0))</f>
        <v>16447.4743136</v>
      </c>
      <c r="Q735" s="19" cm="1">
        <f t="array" ref="Q735">H735*_xlfn.IFS(H735&lt;=350,INDEX('Pliegos Tarifarios (Quilicura)'!$F:$F,MATCH($B735,'Pliegos Tarifarios (Quilicura)'!$A:$A,0)),H735&lt;=500,INDEX('Pliegos Tarifarios (Quilicura)'!$G:$G,MATCH($B735,'Pliegos Tarifarios (Quilicura)'!$A:$A,0)),H735&lt;=1000,INDEX('Pliegos Tarifarios (Quilicura)'!$H:$H,MATCH($B735,'Pliegos Tarifarios (Quilicura)'!$A:$A,0)),H735&lt;=5000,INDEX('Pliegos Tarifarios (Quilicura)'!$I:$I,MATCH($B735,'Pliegos Tarifarios (Quilicura)'!$A:$A,0)),H735&gt;5000,INDEX('Pliegos Tarifarios (Quilicura)'!$J:$J,MATCH($B735,'Pliegos Tarifarios (Quilicura)'!$A:$A,0)))/1.19</f>
        <v>3789.6379259663859</v>
      </c>
      <c r="R735" s="19">
        <f>INDEX('Pliegos Tarifarios (Quilicura)'!$K:$K,MATCH($B735,'Pliegos Tarifarios (Quilicura)'!$A:$A,0))</f>
        <v>732.99199999999996</v>
      </c>
      <c r="S735" s="21">
        <f t="shared" si="36"/>
        <v>249048.17234086638</v>
      </c>
      <c r="T735" s="21">
        <f t="shared" si="37"/>
        <v>47319.152744764615</v>
      </c>
      <c r="U735" s="19">
        <v>0</v>
      </c>
      <c r="V735" s="21">
        <f t="shared" si="38"/>
        <v>296367.32508563099</v>
      </c>
    </row>
    <row r="736" spans="1:22" x14ac:dyDescent="0.3">
      <c r="A736" s="3" t="s">
        <v>150</v>
      </c>
      <c r="B736" s="3">
        <v>11</v>
      </c>
      <c r="C736" s="4" t="s">
        <v>186</v>
      </c>
      <c r="D736" s="3" t="s">
        <v>219</v>
      </c>
      <c r="E736" s="3" t="s">
        <v>91</v>
      </c>
      <c r="F736" s="4" t="s">
        <v>92</v>
      </c>
      <c r="G736" s="3" t="s">
        <v>16</v>
      </c>
      <c r="H736" s="5">
        <v>1010.0381</v>
      </c>
      <c r="I736" s="5">
        <v>2.7850999999999999</v>
      </c>
      <c r="J736" s="5">
        <v>2.6922000000000001</v>
      </c>
      <c r="K736" s="6">
        <v>0.96664392660945753</v>
      </c>
      <c r="L736" s="5">
        <v>32.58</v>
      </c>
      <c r="M736" s="19">
        <f>H736*INDEX('Pliegos Tarifarios (Quilicura)'!$B:$B,MATCH($B736,'Pliegos Tarifarios (Quilicura)'!$A:$A,0))</f>
        <v>133085.65017030001</v>
      </c>
      <c r="N736" s="19">
        <f>I736*INDEX('Pliegos Tarifarios (Quilicura)'!$C:$C,MATCH($B736,'Pliegos Tarifarios (Quilicura)'!$A:$A,0))</f>
        <v>9679.3448952999988</v>
      </c>
      <c r="O736" s="19">
        <f>J736*INDEX('Pliegos Tarifarios (Quilicura)'!$D:$D,MATCH($B736,'Pliegos Tarifarios (Quilicura)'!$A:$A,0))</f>
        <v>39170.626958400004</v>
      </c>
      <c r="P736" s="19">
        <f>H736*INDEX('Pliegos Tarifarios (Quilicura)'!$E:$E,MATCH($B736,'Pliegos Tarifarios (Quilicura)'!$A:$A,0))</f>
        <v>13154.736214399998</v>
      </c>
      <c r="Q736" s="19" cm="1">
        <f t="array" ref="Q736">H736*_xlfn.IFS(H736&lt;=350,INDEX('Pliegos Tarifarios (Quilicura)'!$F:$F,MATCH($B736,'Pliegos Tarifarios (Quilicura)'!$A:$A,0)),H736&lt;=500,INDEX('Pliegos Tarifarios (Quilicura)'!$G:$G,MATCH($B736,'Pliegos Tarifarios (Quilicura)'!$A:$A,0)),H736&lt;=1000,INDEX('Pliegos Tarifarios (Quilicura)'!$H:$H,MATCH($B736,'Pliegos Tarifarios (Quilicura)'!$A:$A,0)),H736&lt;=5000,INDEX('Pliegos Tarifarios (Quilicura)'!$I:$I,MATCH($B736,'Pliegos Tarifarios (Quilicura)'!$A:$A,0)),H736&gt;5000,INDEX('Pliegos Tarifarios (Quilicura)'!$J:$J,MATCH($B736,'Pliegos Tarifarios (Quilicura)'!$A:$A,0)))/1.19</f>
        <v>3030.963071512605</v>
      </c>
      <c r="R736" s="19">
        <f>INDEX('Pliegos Tarifarios (Quilicura)'!$K:$K,MATCH($B736,'Pliegos Tarifarios (Quilicura)'!$A:$A,0))</f>
        <v>732.99199999999996</v>
      </c>
      <c r="S736" s="21">
        <f t="shared" si="36"/>
        <v>198854.31330991263</v>
      </c>
      <c r="T736" s="21">
        <f t="shared" si="37"/>
        <v>37782.319528883403</v>
      </c>
      <c r="U736" s="19">
        <v>0</v>
      </c>
      <c r="V736" s="21">
        <f t="shared" si="38"/>
        <v>236636.63283879604</v>
      </c>
    </row>
    <row r="737" spans="1:22" x14ac:dyDescent="0.3">
      <c r="A737" s="3" t="s">
        <v>150</v>
      </c>
      <c r="B737" s="3">
        <v>11</v>
      </c>
      <c r="C737" s="4" t="s">
        <v>186</v>
      </c>
      <c r="D737" s="3" t="s">
        <v>220</v>
      </c>
      <c r="E737" s="3" t="s">
        <v>94</v>
      </c>
      <c r="F737" s="4" t="s">
        <v>95</v>
      </c>
      <c r="G737" s="3" t="s">
        <v>16</v>
      </c>
      <c r="H737" s="5">
        <v>756.87549999999999</v>
      </c>
      <c r="I737" s="5">
        <v>2.1105</v>
      </c>
      <c r="J737" s="5">
        <v>2.1105</v>
      </c>
      <c r="K737" s="6">
        <v>1</v>
      </c>
      <c r="L737" s="5">
        <v>24.42</v>
      </c>
      <c r="M737" s="19">
        <f>H737*INDEX('Pliegos Tarifarios (Quilicura)'!$B:$B,MATCH($B737,'Pliegos Tarifarios (Quilicura)'!$A:$A,0))</f>
        <v>99728.186506500002</v>
      </c>
      <c r="N737" s="19">
        <f>I737*INDEX('Pliegos Tarifarios (Quilicura)'!$C:$C,MATCH($B737,'Pliegos Tarifarios (Quilicura)'!$A:$A,0))</f>
        <v>7334.8380314999995</v>
      </c>
      <c r="O737" s="19">
        <f>J737*INDEX('Pliegos Tarifarios (Quilicura)'!$D:$D,MATCH($B737,'Pliegos Tarifarios (Quilicura)'!$A:$A,0))</f>
        <v>30707.082756000003</v>
      </c>
      <c r="P737" s="19">
        <f>H737*INDEX('Pliegos Tarifarios (Quilicura)'!$E:$E,MATCH($B737,'Pliegos Tarifarios (Quilicura)'!$A:$A,0))</f>
        <v>9857.546511999999</v>
      </c>
      <c r="Q737" s="19" cm="1">
        <f t="array" ref="Q737">H737*_xlfn.IFS(H737&lt;=350,INDEX('Pliegos Tarifarios (Quilicura)'!$F:$F,MATCH($B737,'Pliegos Tarifarios (Quilicura)'!$A:$A,0)),H737&lt;=500,INDEX('Pliegos Tarifarios (Quilicura)'!$G:$G,MATCH($B737,'Pliegos Tarifarios (Quilicura)'!$A:$A,0)),H737&lt;=1000,INDEX('Pliegos Tarifarios (Quilicura)'!$H:$H,MATCH($B737,'Pliegos Tarifarios (Quilicura)'!$A:$A,0)),H737&lt;=5000,INDEX('Pliegos Tarifarios (Quilicura)'!$I:$I,MATCH($B737,'Pliegos Tarifarios (Quilicura)'!$A:$A,0)),H737&gt;5000,INDEX('Pliegos Tarifarios (Quilicura)'!$J:$J,MATCH($B737,'Pliegos Tarifarios (Quilicura)'!$A:$A,0)))/1.19</f>
        <v>1775.1592609243698</v>
      </c>
      <c r="R737" s="19">
        <f>INDEX('Pliegos Tarifarios (Quilicura)'!$K:$K,MATCH($B737,'Pliegos Tarifarios (Quilicura)'!$A:$A,0))</f>
        <v>732.99199999999996</v>
      </c>
      <c r="S737" s="21">
        <f t="shared" si="36"/>
        <v>150135.80506692437</v>
      </c>
      <c r="T737" s="21">
        <f t="shared" si="37"/>
        <v>28525.802962715628</v>
      </c>
      <c r="U737" s="19">
        <v>0</v>
      </c>
      <c r="V737" s="21">
        <f t="shared" si="38"/>
        <v>178661.60802963999</v>
      </c>
    </row>
    <row r="738" spans="1:22" x14ac:dyDescent="0.3">
      <c r="A738" s="3" t="s">
        <v>150</v>
      </c>
      <c r="B738" s="3">
        <v>11</v>
      </c>
      <c r="C738" s="4" t="s">
        <v>186</v>
      </c>
      <c r="D738" s="3" t="s">
        <v>221</v>
      </c>
      <c r="E738" s="3" t="s">
        <v>91</v>
      </c>
      <c r="F738" s="4" t="s">
        <v>97</v>
      </c>
      <c r="G738" s="3" t="s">
        <v>16</v>
      </c>
      <c r="H738" s="5">
        <v>758.20719999999994</v>
      </c>
      <c r="I738" s="5">
        <v>2.0889000000000002</v>
      </c>
      <c r="J738" s="5">
        <v>2.0777999999999999</v>
      </c>
      <c r="K738" s="6">
        <v>0.99468619847766748</v>
      </c>
      <c r="L738" s="5">
        <v>24.46</v>
      </c>
      <c r="M738" s="19">
        <f>H738*INDEX('Pliegos Tarifarios (Quilicura)'!$B:$B,MATCH($B738,'Pliegos Tarifarios (Quilicura)'!$A:$A,0))</f>
        <v>99903.655293599993</v>
      </c>
      <c r="N738" s="19">
        <f>I738*INDEX('Pliegos Tarifarios (Quilicura)'!$C:$C,MATCH($B738,'Pliegos Tarifarios (Quilicura)'!$A:$A,0))</f>
        <v>7259.7693267000004</v>
      </c>
      <c r="O738" s="19">
        <f>J738*INDEX('Pliegos Tarifarios (Quilicura)'!$D:$D,MATCH($B738,'Pliegos Tarifarios (Quilicura)'!$A:$A,0))</f>
        <v>30231.308481599997</v>
      </c>
      <c r="P738" s="19">
        <f>H738*INDEX('Pliegos Tarifarios (Quilicura)'!$E:$E,MATCH($B738,'Pliegos Tarifarios (Quilicura)'!$A:$A,0))</f>
        <v>9874.8905727999991</v>
      </c>
      <c r="Q738" s="19" cm="1">
        <f t="array" ref="Q738">H738*_xlfn.IFS(H738&lt;=350,INDEX('Pliegos Tarifarios (Quilicura)'!$F:$F,MATCH($B738,'Pliegos Tarifarios (Quilicura)'!$A:$A,0)),H738&lt;=500,INDEX('Pliegos Tarifarios (Quilicura)'!$G:$G,MATCH($B738,'Pliegos Tarifarios (Quilicura)'!$A:$A,0)),H738&lt;=1000,INDEX('Pliegos Tarifarios (Quilicura)'!$H:$H,MATCH($B738,'Pliegos Tarifarios (Quilicura)'!$A:$A,0)),H738&lt;=5000,INDEX('Pliegos Tarifarios (Quilicura)'!$I:$I,MATCH($B738,'Pliegos Tarifarios (Quilicura)'!$A:$A,0)),H738&gt;5000,INDEX('Pliegos Tarifarios (Quilicura)'!$J:$J,MATCH($B738,'Pliegos Tarifarios (Quilicura)'!$A:$A,0)))/1.19</f>
        <v>1778.2826010084034</v>
      </c>
      <c r="R738" s="19">
        <f>INDEX('Pliegos Tarifarios (Quilicura)'!$K:$K,MATCH($B738,'Pliegos Tarifarios (Quilicura)'!$A:$A,0))</f>
        <v>732.99199999999996</v>
      </c>
      <c r="S738" s="21">
        <f t="shared" si="36"/>
        <v>149780.8982757084</v>
      </c>
      <c r="T738" s="21">
        <f t="shared" si="37"/>
        <v>28458.370672384597</v>
      </c>
      <c r="U738" s="19">
        <v>0</v>
      </c>
      <c r="V738" s="21">
        <f t="shared" si="38"/>
        <v>178239.268948093</v>
      </c>
    </row>
    <row r="739" spans="1:22" x14ac:dyDescent="0.3">
      <c r="A739" s="3" t="s">
        <v>150</v>
      </c>
      <c r="B739" s="3">
        <v>11</v>
      </c>
      <c r="C739" s="4" t="s">
        <v>186</v>
      </c>
      <c r="D739" s="3" t="s">
        <v>222</v>
      </c>
      <c r="E739" s="3" t="s">
        <v>99</v>
      </c>
      <c r="F739" s="4" t="s">
        <v>100</v>
      </c>
      <c r="G739" s="3" t="s">
        <v>16</v>
      </c>
      <c r="H739" s="5">
        <v>3779.5603000000001</v>
      </c>
      <c r="I739" s="5">
        <v>10.3567</v>
      </c>
      <c r="J739" s="5">
        <v>10.237399999999999</v>
      </c>
      <c r="K739" s="6">
        <v>0.98848088676895141</v>
      </c>
      <c r="L739" s="5">
        <v>121.92</v>
      </c>
      <c r="M739" s="19">
        <f>H739*INDEX('Pliegos Tarifarios (Quilicura)'!$B:$B,MATCH($B739,'Pliegos Tarifarios (Quilicura)'!$A:$A,0))</f>
        <v>498006.20380890003</v>
      </c>
      <c r="N739" s="19">
        <f>I739*INDEX('Pliegos Tarifarios (Quilicura)'!$C:$C,MATCH($B739,'Pliegos Tarifarios (Quilicura)'!$A:$A,0))</f>
        <v>35993.706250099996</v>
      </c>
      <c r="O739" s="19">
        <f>J739*INDEX('Pliegos Tarifarios (Quilicura)'!$D:$D,MATCH($B739,'Pliegos Tarifarios (Quilicura)'!$A:$A,0))</f>
        <v>148950.8121328</v>
      </c>
      <c r="P739" s="19">
        <f>H739*INDEX('Pliegos Tarifarios (Quilicura)'!$E:$E,MATCH($B739,'Pliegos Tarifarios (Quilicura)'!$A:$A,0))</f>
        <v>49224.993347199998</v>
      </c>
      <c r="Q739" s="19" cm="1">
        <f t="array" ref="Q739">H739*_xlfn.IFS(H739&lt;=350,INDEX('Pliegos Tarifarios (Quilicura)'!$F:$F,MATCH($B739,'Pliegos Tarifarios (Quilicura)'!$A:$A,0)),H739&lt;=500,INDEX('Pliegos Tarifarios (Quilicura)'!$G:$G,MATCH($B739,'Pliegos Tarifarios (Quilicura)'!$A:$A,0)),H739&lt;=1000,INDEX('Pliegos Tarifarios (Quilicura)'!$H:$H,MATCH($B739,'Pliegos Tarifarios (Quilicura)'!$A:$A,0)),H739&lt;=5000,INDEX('Pliegos Tarifarios (Quilicura)'!$I:$I,MATCH($B739,'Pliegos Tarifarios (Quilicura)'!$A:$A,0)),H739&gt;5000,INDEX('Pliegos Tarifarios (Quilicura)'!$J:$J,MATCH($B739,'Pliegos Tarifarios (Quilicura)'!$A:$A,0)))/1.19</f>
        <v>11341.857001092436</v>
      </c>
      <c r="R739" s="19">
        <f>INDEX('Pliegos Tarifarios (Quilicura)'!$K:$K,MATCH($B739,'Pliegos Tarifarios (Quilicura)'!$A:$A,0))</f>
        <v>732.99199999999996</v>
      </c>
      <c r="S739" s="21">
        <f t="shared" si="36"/>
        <v>744250.56454009237</v>
      </c>
      <c r="T739" s="21">
        <f t="shared" si="37"/>
        <v>141407.60726261756</v>
      </c>
      <c r="U739" s="19">
        <v>0</v>
      </c>
      <c r="V739" s="21">
        <f t="shared" si="38"/>
        <v>885658.17180270993</v>
      </c>
    </row>
    <row r="740" spans="1:22" x14ac:dyDescent="0.3">
      <c r="A740" s="3" t="s">
        <v>150</v>
      </c>
      <c r="B740" s="3">
        <v>11</v>
      </c>
      <c r="C740" s="4" t="s">
        <v>186</v>
      </c>
      <c r="D740" s="3" t="s">
        <v>223</v>
      </c>
      <c r="E740" s="3" t="s">
        <v>102</v>
      </c>
      <c r="F740" s="4" t="s">
        <v>103</v>
      </c>
      <c r="G740" s="3" t="s">
        <v>16</v>
      </c>
      <c r="H740" s="5">
        <v>3031.7698</v>
      </c>
      <c r="I740" s="5">
        <v>8.2879000000000005</v>
      </c>
      <c r="J740" s="5">
        <v>8.2543000000000006</v>
      </c>
      <c r="K740" s="6">
        <v>0.99594589703061087</v>
      </c>
      <c r="L740" s="5">
        <v>97.8</v>
      </c>
      <c r="M740" s="19">
        <f>H740*INDEX('Pliegos Tarifarios (Quilicura)'!$B:$B,MATCH($B740,'Pliegos Tarifarios (Quilicura)'!$A:$A,0))</f>
        <v>399475.08415740001</v>
      </c>
      <c r="N740" s="19">
        <f>I740*INDEX('Pliegos Tarifarios (Quilicura)'!$C:$C,MATCH($B740,'Pliegos Tarifarios (Quilicura)'!$A:$A,0))</f>
        <v>28803.792523700002</v>
      </c>
      <c r="O740" s="19">
        <f>J740*INDEX('Pliegos Tarifarios (Quilicura)'!$D:$D,MATCH($B740,'Pliegos Tarifarios (Quilicura)'!$A:$A,0))</f>
        <v>120097.35758960001</v>
      </c>
      <c r="P740" s="19">
        <f>H740*INDEX('Pliegos Tarifarios (Quilicura)'!$E:$E,MATCH($B740,'Pliegos Tarifarios (Quilicura)'!$A:$A,0))</f>
        <v>39485.7698752</v>
      </c>
      <c r="Q740" s="19" cm="1">
        <f t="array" ref="Q740">H740*_xlfn.IFS(H740&lt;=350,INDEX('Pliegos Tarifarios (Quilicura)'!$F:$F,MATCH($B740,'Pliegos Tarifarios (Quilicura)'!$A:$A,0)),H740&lt;=500,INDEX('Pliegos Tarifarios (Quilicura)'!$G:$G,MATCH($B740,'Pliegos Tarifarios (Quilicura)'!$A:$A,0)),H740&lt;=1000,INDEX('Pliegos Tarifarios (Quilicura)'!$H:$H,MATCH($B740,'Pliegos Tarifarios (Quilicura)'!$A:$A,0)),H740&lt;=5000,INDEX('Pliegos Tarifarios (Quilicura)'!$I:$I,MATCH($B740,'Pliegos Tarifarios (Quilicura)'!$A:$A,0)),H740&gt;5000,INDEX('Pliegos Tarifarios (Quilicura)'!$J:$J,MATCH($B740,'Pliegos Tarifarios (Quilicura)'!$A:$A,0)))/1.19</f>
        <v>9097.8571057142854</v>
      </c>
      <c r="R740" s="19">
        <f>INDEX('Pliegos Tarifarios (Quilicura)'!$K:$K,MATCH($B740,'Pliegos Tarifarios (Quilicura)'!$A:$A,0))</f>
        <v>732.99199999999996</v>
      </c>
      <c r="S740" s="21">
        <f t="shared" si="36"/>
        <v>597692.85325161426</v>
      </c>
      <c r="T740" s="21">
        <f t="shared" si="37"/>
        <v>113561.64211780671</v>
      </c>
      <c r="U740" s="19">
        <v>0</v>
      </c>
      <c r="V740" s="21">
        <f t="shared" si="38"/>
        <v>711254.49536942097</v>
      </c>
    </row>
    <row r="741" spans="1:22" x14ac:dyDescent="0.3">
      <c r="A741" s="3" t="s">
        <v>150</v>
      </c>
      <c r="B741" s="3">
        <v>11</v>
      </c>
      <c r="C741" s="4" t="s">
        <v>186</v>
      </c>
      <c r="D741" s="3" t="s">
        <v>224</v>
      </c>
      <c r="E741" s="3" t="s">
        <v>105</v>
      </c>
      <c r="F741" s="4" t="s">
        <v>106</v>
      </c>
      <c r="G741" s="3" t="s">
        <v>30</v>
      </c>
      <c r="H741" s="5">
        <v>1009.0862</v>
      </c>
      <c r="I741" s="5">
        <v>2.7985000000000002</v>
      </c>
      <c r="J741" s="5">
        <v>2.6956000000000002</v>
      </c>
      <c r="K741" s="6">
        <v>0.96323030194747183</v>
      </c>
      <c r="L741" s="5">
        <v>32.549999999999997</v>
      </c>
      <c r="M741" s="19">
        <f>H741*INDEX('Pliegos Tarifarios (Quilicura)'!$B:$B,MATCH($B741,'Pliegos Tarifarios (Quilicura)'!$A:$A,0))</f>
        <v>132960.22497060001</v>
      </c>
      <c r="N741" s="19">
        <f>I741*INDEX('Pliegos Tarifarios (Quilicura)'!$C:$C,MATCH($B741,'Pliegos Tarifarios (Quilicura)'!$A:$A,0))</f>
        <v>9725.9152955000009</v>
      </c>
      <c r="O741" s="19">
        <f>J741*INDEX('Pliegos Tarifarios (Quilicura)'!$D:$D,MATCH($B741,'Pliegos Tarifarios (Quilicura)'!$A:$A,0))</f>
        <v>39220.095843200004</v>
      </c>
      <c r="P741" s="19">
        <f>H741*INDEX('Pliegos Tarifarios (Quilicura)'!$E:$E,MATCH($B741,'Pliegos Tarifarios (Quilicura)'!$A:$A,0))</f>
        <v>13142.338668799999</v>
      </c>
      <c r="Q741" s="19" cm="1">
        <f t="array" ref="Q741">H741*_xlfn.IFS(H741&lt;=350,INDEX('Pliegos Tarifarios (Quilicura)'!$F:$F,MATCH($B741,'Pliegos Tarifarios (Quilicura)'!$A:$A,0)),H741&lt;=500,INDEX('Pliegos Tarifarios (Quilicura)'!$G:$G,MATCH($B741,'Pliegos Tarifarios (Quilicura)'!$A:$A,0)),H741&lt;=1000,INDEX('Pliegos Tarifarios (Quilicura)'!$H:$H,MATCH($B741,'Pliegos Tarifarios (Quilicura)'!$A:$A,0)),H741&lt;=5000,INDEX('Pliegos Tarifarios (Quilicura)'!$I:$I,MATCH($B741,'Pliegos Tarifarios (Quilicura)'!$A:$A,0)),H741&gt;5000,INDEX('Pliegos Tarifarios (Quilicura)'!$J:$J,MATCH($B741,'Pliegos Tarifarios (Quilicura)'!$A:$A,0)))/1.19</f>
        <v>3028.1065715966388</v>
      </c>
      <c r="R741" s="19">
        <f>INDEX('Pliegos Tarifarios (Quilicura)'!$K:$K,MATCH($B741,'Pliegos Tarifarios (Quilicura)'!$A:$A,0))</f>
        <v>732.99199999999996</v>
      </c>
      <c r="S741" s="21">
        <f t="shared" si="36"/>
        <v>198809.67334969662</v>
      </c>
      <c r="T741" s="21">
        <f t="shared" si="37"/>
        <v>37773.83793644236</v>
      </c>
      <c r="U741" s="19">
        <v>0</v>
      </c>
      <c r="V741" s="21">
        <f t="shared" si="38"/>
        <v>236583.51128613896</v>
      </c>
    </row>
    <row r="742" spans="1:22" x14ac:dyDescent="0.3">
      <c r="A742" s="3" t="s">
        <v>150</v>
      </c>
      <c r="B742" s="3">
        <v>11</v>
      </c>
      <c r="C742" s="4" t="s">
        <v>186</v>
      </c>
      <c r="D742" s="3" t="s">
        <v>225</v>
      </c>
      <c r="E742" s="3" t="s">
        <v>105</v>
      </c>
      <c r="F742" s="4" t="s">
        <v>108</v>
      </c>
      <c r="G742" s="3" t="s">
        <v>30</v>
      </c>
      <c r="H742" s="5">
        <v>1011.299</v>
      </c>
      <c r="I742" s="5">
        <v>2.7465999999999999</v>
      </c>
      <c r="J742" s="5">
        <v>2.7433999999999998</v>
      </c>
      <c r="K742" s="6">
        <v>0.99883492317774702</v>
      </c>
      <c r="L742" s="5">
        <v>32.619999999999997</v>
      </c>
      <c r="M742" s="19">
        <f>H742*INDEX('Pliegos Tarifarios (Quilicura)'!$B:$B,MATCH($B742,'Pliegos Tarifarios (Quilicura)'!$A:$A,0))</f>
        <v>133251.790137</v>
      </c>
      <c r="N742" s="19">
        <f>I742*INDEX('Pliegos Tarifarios (Quilicura)'!$C:$C,MATCH($B742,'Pliegos Tarifarios (Quilicura)'!$A:$A,0))</f>
        <v>9545.5418797999992</v>
      </c>
      <c r="O742" s="19">
        <f>J742*INDEX('Pliegos Tarifarios (Quilicura)'!$D:$D,MATCH($B742,'Pliegos Tarifarios (Quilicura)'!$A:$A,0))</f>
        <v>39915.570164799996</v>
      </c>
      <c r="P742" s="19">
        <f>H742*INDEX('Pliegos Tarifarios (Quilicura)'!$E:$E,MATCH($B742,'Pliegos Tarifarios (Quilicura)'!$A:$A,0))</f>
        <v>13171.158175999999</v>
      </c>
      <c r="Q742" s="19" cm="1">
        <f t="array" ref="Q742">H742*_xlfn.IFS(H742&lt;=350,INDEX('Pliegos Tarifarios (Quilicura)'!$F:$F,MATCH($B742,'Pliegos Tarifarios (Quilicura)'!$A:$A,0)),H742&lt;=500,INDEX('Pliegos Tarifarios (Quilicura)'!$G:$G,MATCH($B742,'Pliegos Tarifarios (Quilicura)'!$A:$A,0)),H742&lt;=1000,INDEX('Pliegos Tarifarios (Quilicura)'!$H:$H,MATCH($B742,'Pliegos Tarifarios (Quilicura)'!$A:$A,0)),H742&lt;=5000,INDEX('Pliegos Tarifarios (Quilicura)'!$I:$I,MATCH($B742,'Pliegos Tarifarios (Quilicura)'!$A:$A,0)),H742&gt;5000,INDEX('Pliegos Tarifarios (Quilicura)'!$J:$J,MATCH($B742,'Pliegos Tarifarios (Quilicura)'!$A:$A,0)))/1.19</f>
        <v>3034.7468310924369</v>
      </c>
      <c r="R742" s="19">
        <f>INDEX('Pliegos Tarifarios (Quilicura)'!$K:$K,MATCH($B742,'Pliegos Tarifarios (Quilicura)'!$A:$A,0))</f>
        <v>732.99199999999996</v>
      </c>
      <c r="S742" s="21">
        <f t="shared" si="36"/>
        <v>199651.79918869241</v>
      </c>
      <c r="T742" s="21">
        <f t="shared" si="37"/>
        <v>37933.841845851559</v>
      </c>
      <c r="U742" s="19">
        <v>0</v>
      </c>
      <c r="V742" s="21">
        <f t="shared" si="38"/>
        <v>237585.64103454398</v>
      </c>
    </row>
    <row r="743" spans="1:22" x14ac:dyDescent="0.3">
      <c r="A743" s="3" t="s">
        <v>150</v>
      </c>
      <c r="B743" s="3">
        <v>11</v>
      </c>
      <c r="C743" s="4" t="s">
        <v>186</v>
      </c>
      <c r="D743" s="3" t="s">
        <v>226</v>
      </c>
      <c r="E743" s="3" t="s">
        <v>110</v>
      </c>
      <c r="F743" s="4" t="s">
        <v>111</v>
      </c>
      <c r="G743" s="3" t="s">
        <v>30</v>
      </c>
      <c r="H743" s="5">
        <v>504.52280000000002</v>
      </c>
      <c r="I743" s="5">
        <v>1.3915999999999999</v>
      </c>
      <c r="J743" s="5">
        <v>1.3711</v>
      </c>
      <c r="K743" s="6">
        <v>0.98526875538947978</v>
      </c>
      <c r="L743" s="5">
        <v>16.27</v>
      </c>
      <c r="M743" s="19">
        <f>H743*INDEX('Pliegos Tarifarios (Quilicura)'!$B:$B,MATCH($B743,'Pliegos Tarifarios (Quilicura)'!$A:$A,0))</f>
        <v>66477.437696400011</v>
      </c>
      <c r="N743" s="19">
        <f>I743*INDEX('Pliegos Tarifarios (Quilicura)'!$C:$C,MATCH($B743,'Pliegos Tarifarios (Quilicura)'!$A:$A,0))</f>
        <v>4836.3708147999996</v>
      </c>
      <c r="O743" s="19">
        <f>J743*INDEX('Pliegos Tarifarios (Quilicura)'!$D:$D,MATCH($B743,'Pliegos Tarifarios (Quilicura)'!$A:$A,0))</f>
        <v>19949.055279200002</v>
      </c>
      <c r="P743" s="19">
        <f>H743*INDEX('Pliegos Tarifarios (Quilicura)'!$E:$E,MATCH($B743,'Pliegos Tarifarios (Quilicura)'!$A:$A,0))</f>
        <v>6570.9049471999997</v>
      </c>
      <c r="Q743" s="19" cm="1">
        <f t="array" ref="Q743">H743*_xlfn.IFS(H743&lt;=350,INDEX('Pliegos Tarifarios (Quilicura)'!$F:$F,MATCH($B743,'Pliegos Tarifarios (Quilicura)'!$A:$A,0)),H743&lt;=500,INDEX('Pliegos Tarifarios (Quilicura)'!$G:$G,MATCH($B743,'Pliegos Tarifarios (Quilicura)'!$A:$A,0)),H743&lt;=1000,INDEX('Pliegos Tarifarios (Quilicura)'!$H:$H,MATCH($B743,'Pliegos Tarifarios (Quilicura)'!$A:$A,0)),H743&lt;=5000,INDEX('Pliegos Tarifarios (Quilicura)'!$I:$I,MATCH($B743,'Pliegos Tarifarios (Quilicura)'!$A:$A,0)),H743&gt;5000,INDEX('Pliegos Tarifarios (Quilicura)'!$J:$J,MATCH($B743,'Pliegos Tarifarios (Quilicura)'!$A:$A,0)))/1.19</f>
        <v>1183.2967519327735</v>
      </c>
      <c r="R743" s="19">
        <f>INDEX('Pliegos Tarifarios (Quilicura)'!$K:$K,MATCH($B743,'Pliegos Tarifarios (Quilicura)'!$A:$A,0))</f>
        <v>732.99199999999996</v>
      </c>
      <c r="S743" s="21">
        <f t="shared" si="36"/>
        <v>99750.057489532788</v>
      </c>
      <c r="T743" s="21">
        <f t="shared" si="37"/>
        <v>18952.510923011228</v>
      </c>
      <c r="U743" s="19">
        <v>0</v>
      </c>
      <c r="V743" s="21">
        <f t="shared" si="38"/>
        <v>118702.56841254402</v>
      </c>
    </row>
    <row r="744" spans="1:22" x14ac:dyDescent="0.3">
      <c r="A744" s="3" t="s">
        <v>150</v>
      </c>
      <c r="B744" s="3">
        <v>11</v>
      </c>
      <c r="C744" s="4" t="s">
        <v>186</v>
      </c>
      <c r="D744" s="3" t="s">
        <v>227</v>
      </c>
      <c r="E744" s="3" t="s">
        <v>113</v>
      </c>
      <c r="F744" s="4" t="s">
        <v>114</v>
      </c>
      <c r="G744" s="3" t="s">
        <v>30</v>
      </c>
      <c r="H744" s="5">
        <v>759.0444</v>
      </c>
      <c r="I744" s="5">
        <v>2.0442</v>
      </c>
      <c r="J744" s="5">
        <v>2.0118999999999998</v>
      </c>
      <c r="K744" s="6">
        <v>0.98419919773016329</v>
      </c>
      <c r="L744" s="5">
        <v>24.49</v>
      </c>
      <c r="M744" s="19">
        <f>H744*INDEX('Pliegos Tarifarios (Quilicura)'!$B:$B,MATCH($B744,'Pliegos Tarifarios (Quilicura)'!$A:$A,0))</f>
        <v>100013.9672772</v>
      </c>
      <c r="N744" s="19">
        <f>I744*INDEX('Pliegos Tarifarios (Quilicura)'!$C:$C,MATCH($B744,'Pliegos Tarifarios (Quilicura)'!$A:$A,0))</f>
        <v>7104.4188125999999</v>
      </c>
      <c r="O744" s="19">
        <f>J744*INDEX('Pliegos Tarifarios (Quilicura)'!$D:$D,MATCH($B744,'Pliegos Tarifarios (Quilicura)'!$A:$A,0))</f>
        <v>29272.485096799999</v>
      </c>
      <c r="P744" s="19">
        <f>H744*INDEX('Pliegos Tarifarios (Quilicura)'!$E:$E,MATCH($B744,'Pliegos Tarifarios (Quilicura)'!$A:$A,0))</f>
        <v>9885.7942655999996</v>
      </c>
      <c r="Q744" s="19" cm="1">
        <f t="array" ref="Q744">H744*_xlfn.IFS(H744&lt;=350,INDEX('Pliegos Tarifarios (Quilicura)'!$F:$F,MATCH($B744,'Pliegos Tarifarios (Quilicura)'!$A:$A,0)),H744&lt;=500,INDEX('Pliegos Tarifarios (Quilicura)'!$G:$G,MATCH($B744,'Pliegos Tarifarios (Quilicura)'!$A:$A,0)),H744&lt;=1000,INDEX('Pliegos Tarifarios (Quilicura)'!$H:$H,MATCH($B744,'Pliegos Tarifarios (Quilicura)'!$A:$A,0)),H744&lt;=5000,INDEX('Pliegos Tarifarios (Quilicura)'!$I:$I,MATCH($B744,'Pliegos Tarifarios (Quilicura)'!$A:$A,0)),H744&gt;5000,INDEX('Pliegos Tarifarios (Quilicura)'!$J:$J,MATCH($B744,'Pliegos Tarifarios (Quilicura)'!$A:$A,0)))/1.19</f>
        <v>1780.246151596639</v>
      </c>
      <c r="R744" s="19">
        <f>INDEX('Pliegos Tarifarios (Quilicura)'!$K:$K,MATCH($B744,'Pliegos Tarifarios (Quilicura)'!$A:$A,0))</f>
        <v>732.99199999999996</v>
      </c>
      <c r="S744" s="21">
        <f t="shared" si="36"/>
        <v>148789.90360379664</v>
      </c>
      <c r="T744" s="21">
        <f t="shared" si="37"/>
        <v>28270.081684721361</v>
      </c>
      <c r="U744" s="19">
        <v>0</v>
      </c>
      <c r="V744" s="21">
        <f t="shared" si="38"/>
        <v>177059.98528851802</v>
      </c>
    </row>
    <row r="745" spans="1:22" x14ac:dyDescent="0.3">
      <c r="A745" s="3" t="s">
        <v>150</v>
      </c>
      <c r="B745" s="3">
        <v>11</v>
      </c>
      <c r="C745" s="4" t="s">
        <v>186</v>
      </c>
      <c r="D745" s="3" t="s">
        <v>228</v>
      </c>
      <c r="E745" s="3" t="s">
        <v>116</v>
      </c>
      <c r="F745" s="4" t="s">
        <v>117</v>
      </c>
      <c r="G745" s="3" t="s">
        <v>30</v>
      </c>
      <c r="H745" s="5">
        <v>126.2645</v>
      </c>
      <c r="I745" s="5">
        <v>0.34420000000000001</v>
      </c>
      <c r="J745" s="5">
        <v>0.34339999999999998</v>
      </c>
      <c r="K745" s="6">
        <v>0.9976757699012202</v>
      </c>
      <c r="L745" s="5">
        <v>4.07</v>
      </c>
      <c r="M745" s="19">
        <f>H745*INDEX('Pliegos Tarifarios (Quilicura)'!$B:$B,MATCH($B745,'Pliegos Tarifarios (Quilicura)'!$A:$A,0))</f>
        <v>16636.989313500002</v>
      </c>
      <c r="N745" s="19">
        <f>I745*INDEX('Pliegos Tarifarios (Quilicura)'!$C:$C,MATCH($B745,'Pliegos Tarifarios (Quilicura)'!$A:$A,0))</f>
        <v>1196.2337126</v>
      </c>
      <c r="O745" s="19">
        <f>J745*INDEX('Pliegos Tarifarios (Quilicura)'!$D:$D,MATCH($B745,'Pliegos Tarifarios (Quilicura)'!$A:$A,0))</f>
        <v>4996.3573648000001</v>
      </c>
      <c r="P745" s="19">
        <f>H745*INDEX('Pliegos Tarifarios (Quilicura)'!$E:$E,MATCH($B745,'Pliegos Tarifarios (Quilicura)'!$A:$A,0))</f>
        <v>1644.468848</v>
      </c>
      <c r="Q745" s="19" cm="1">
        <f t="array" ref="Q745">H745*_xlfn.IFS(H745&lt;=350,INDEX('Pliegos Tarifarios (Quilicura)'!$F:$F,MATCH($B745,'Pliegos Tarifarios (Quilicura)'!$A:$A,0)),H745&lt;=500,INDEX('Pliegos Tarifarios (Quilicura)'!$G:$G,MATCH($B745,'Pliegos Tarifarios (Quilicura)'!$A:$A,0)),H745&lt;=1000,INDEX('Pliegos Tarifarios (Quilicura)'!$H:$H,MATCH($B745,'Pliegos Tarifarios (Quilicura)'!$A:$A,0)),H745&lt;=5000,INDEX('Pliegos Tarifarios (Quilicura)'!$I:$I,MATCH($B745,'Pliegos Tarifarios (Quilicura)'!$A:$A,0)),H745&gt;5000,INDEX('Pliegos Tarifarios (Quilicura)'!$J:$J,MATCH($B745,'Pliegos Tarifarios (Quilicura)'!$A:$A,0)))/1.19</f>
        <v>83.18602352941177</v>
      </c>
      <c r="R745" s="19">
        <f>INDEX('Pliegos Tarifarios (Quilicura)'!$K:$K,MATCH($B745,'Pliegos Tarifarios (Quilicura)'!$A:$A,0))</f>
        <v>732.99199999999996</v>
      </c>
      <c r="S745" s="21">
        <f t="shared" si="36"/>
        <v>25290.227262429413</v>
      </c>
      <c r="T745" s="21">
        <f t="shared" si="37"/>
        <v>4805.1431798615886</v>
      </c>
      <c r="U745" s="19">
        <v>0</v>
      </c>
      <c r="V745" s="21">
        <f t="shared" si="38"/>
        <v>30095.370442291001</v>
      </c>
    </row>
    <row r="746" spans="1:22" x14ac:dyDescent="0.3">
      <c r="A746" s="3" t="s">
        <v>150</v>
      </c>
      <c r="B746" s="3">
        <v>11</v>
      </c>
      <c r="C746" s="4" t="s">
        <v>186</v>
      </c>
      <c r="D746" s="3" t="s">
        <v>229</v>
      </c>
      <c r="E746" s="3" t="s">
        <v>116</v>
      </c>
      <c r="F746" s="4" t="s">
        <v>119</v>
      </c>
      <c r="G746" s="3" t="s">
        <v>30</v>
      </c>
      <c r="H746" s="5">
        <v>126.37350000000001</v>
      </c>
      <c r="I746" s="5">
        <v>0.3417</v>
      </c>
      <c r="J746" s="5">
        <v>0.34100000000000003</v>
      </c>
      <c r="K746" s="6">
        <v>0.99795141937371967</v>
      </c>
      <c r="L746" s="5">
        <v>4.08</v>
      </c>
      <c r="M746" s="19">
        <f>H746*INDEX('Pliegos Tarifarios (Quilicura)'!$B:$B,MATCH($B746,'Pliegos Tarifarios (Quilicura)'!$A:$A,0))</f>
        <v>16651.351480500001</v>
      </c>
      <c r="N746" s="19">
        <f>I746*INDEX('Pliegos Tarifarios (Quilicura)'!$C:$C,MATCH($B746,'Pliegos Tarifarios (Quilicura)'!$A:$A,0))</f>
        <v>1187.5452051</v>
      </c>
      <c r="O746" s="19">
        <f>J746*INDEX('Pliegos Tarifarios (Quilicura)'!$D:$D,MATCH($B746,'Pliegos Tarifarios (Quilicura)'!$A:$A,0))</f>
        <v>4961.4381520000006</v>
      </c>
      <c r="P746" s="19">
        <f>H746*INDEX('Pliegos Tarifarios (Quilicura)'!$E:$E,MATCH($B746,'Pliegos Tarifarios (Quilicura)'!$A:$A,0))</f>
        <v>1645.8884639999999</v>
      </c>
      <c r="Q746" s="19" cm="1">
        <f t="array" ref="Q746">H746*_xlfn.IFS(H746&lt;=350,INDEX('Pliegos Tarifarios (Quilicura)'!$F:$F,MATCH($B746,'Pliegos Tarifarios (Quilicura)'!$A:$A,0)),H746&lt;=500,INDEX('Pliegos Tarifarios (Quilicura)'!$G:$G,MATCH($B746,'Pliegos Tarifarios (Quilicura)'!$A:$A,0)),H746&lt;=1000,INDEX('Pliegos Tarifarios (Quilicura)'!$H:$H,MATCH($B746,'Pliegos Tarifarios (Quilicura)'!$A:$A,0)),H746&lt;=5000,INDEX('Pliegos Tarifarios (Quilicura)'!$I:$I,MATCH($B746,'Pliegos Tarifarios (Quilicura)'!$A:$A,0)),H746&gt;5000,INDEX('Pliegos Tarifarios (Quilicura)'!$J:$J,MATCH($B746,'Pliegos Tarifarios (Quilicura)'!$A:$A,0)))/1.19</f>
        <v>83.257835294117669</v>
      </c>
      <c r="R746" s="19">
        <f>INDEX('Pliegos Tarifarios (Quilicura)'!$K:$K,MATCH($B746,'Pliegos Tarifarios (Quilicura)'!$A:$A,0))</f>
        <v>732.99199999999996</v>
      </c>
      <c r="S746" s="21">
        <f t="shared" si="36"/>
        <v>25262.473136894114</v>
      </c>
      <c r="T746" s="21">
        <f t="shared" si="37"/>
        <v>4799.8698960098818</v>
      </c>
      <c r="U746" s="19">
        <v>0</v>
      </c>
      <c r="V746" s="21">
        <f t="shared" si="38"/>
        <v>30062.343032903995</v>
      </c>
    </row>
    <row r="747" spans="1:22" x14ac:dyDescent="0.3">
      <c r="A747" s="3" t="s">
        <v>150</v>
      </c>
      <c r="B747" s="3">
        <v>11</v>
      </c>
      <c r="C747" s="4" t="s">
        <v>186</v>
      </c>
      <c r="D747" s="3" t="s">
        <v>230</v>
      </c>
      <c r="E747" s="3" t="s">
        <v>121</v>
      </c>
      <c r="F747" s="4" t="s">
        <v>122</v>
      </c>
      <c r="G747" s="3" t="s">
        <v>30</v>
      </c>
      <c r="H747" s="5">
        <v>126.2715</v>
      </c>
      <c r="I747" s="5">
        <v>0.33950000000000002</v>
      </c>
      <c r="J747" s="5">
        <v>0.33739999999999998</v>
      </c>
      <c r="K747" s="6">
        <v>0.99381443298969063</v>
      </c>
      <c r="L747" s="5">
        <v>4.07</v>
      </c>
      <c r="M747" s="19">
        <f>H747*INDEX('Pliegos Tarifarios (Quilicura)'!$B:$B,MATCH($B747,'Pliegos Tarifarios (Quilicura)'!$A:$A,0))</f>
        <v>16637.9116545</v>
      </c>
      <c r="N747" s="19">
        <f>I747*INDEX('Pliegos Tarifarios (Quilicura)'!$C:$C,MATCH($B747,'Pliegos Tarifarios (Quilicura)'!$A:$A,0))</f>
        <v>1179.8993184999999</v>
      </c>
      <c r="O747" s="19">
        <f>J747*INDEX('Pliegos Tarifarios (Quilicura)'!$D:$D,MATCH($B747,'Pliegos Tarifarios (Quilicura)'!$A:$A,0))</f>
        <v>4909.0593327999995</v>
      </c>
      <c r="P747" s="19">
        <f>H747*INDEX('Pliegos Tarifarios (Quilicura)'!$E:$E,MATCH($B747,'Pliegos Tarifarios (Quilicura)'!$A:$A,0))</f>
        <v>1644.5600159999999</v>
      </c>
      <c r="Q747" s="19" cm="1">
        <f t="array" ref="Q747">H747*_xlfn.IFS(H747&lt;=350,INDEX('Pliegos Tarifarios (Quilicura)'!$F:$F,MATCH($B747,'Pliegos Tarifarios (Quilicura)'!$A:$A,0)),H747&lt;=500,INDEX('Pliegos Tarifarios (Quilicura)'!$G:$G,MATCH($B747,'Pliegos Tarifarios (Quilicura)'!$A:$A,0)),H747&lt;=1000,INDEX('Pliegos Tarifarios (Quilicura)'!$H:$H,MATCH($B747,'Pliegos Tarifarios (Quilicura)'!$A:$A,0)),H747&lt;=5000,INDEX('Pliegos Tarifarios (Quilicura)'!$I:$I,MATCH($B747,'Pliegos Tarifarios (Quilicura)'!$A:$A,0)),H747&gt;5000,INDEX('Pliegos Tarifarios (Quilicura)'!$J:$J,MATCH($B747,'Pliegos Tarifarios (Quilicura)'!$A:$A,0)))/1.19</f>
        <v>83.190635294117655</v>
      </c>
      <c r="R747" s="19">
        <f>INDEX('Pliegos Tarifarios (Quilicura)'!$K:$K,MATCH($B747,'Pliegos Tarifarios (Quilicura)'!$A:$A,0))</f>
        <v>732.99199999999996</v>
      </c>
      <c r="S747" s="21">
        <f t="shared" si="36"/>
        <v>25187.612957094116</v>
      </c>
      <c r="T747" s="21">
        <f t="shared" si="37"/>
        <v>4785.6464618478822</v>
      </c>
      <c r="U747" s="19">
        <v>0</v>
      </c>
      <c r="V747" s="21">
        <f t="shared" si="38"/>
        <v>29973.259418941998</v>
      </c>
    </row>
    <row r="748" spans="1:22" x14ac:dyDescent="0.3">
      <c r="A748" s="3" t="s">
        <v>150</v>
      </c>
      <c r="B748" s="3">
        <v>11</v>
      </c>
      <c r="C748" s="4" t="s">
        <v>186</v>
      </c>
      <c r="D748" s="3" t="s">
        <v>231</v>
      </c>
      <c r="E748" s="3" t="s">
        <v>121</v>
      </c>
      <c r="F748" s="4" t="s">
        <v>124</v>
      </c>
      <c r="G748" s="3" t="s">
        <v>30</v>
      </c>
      <c r="H748" s="5">
        <v>126.15560000000001</v>
      </c>
      <c r="I748" s="5">
        <v>0.34910000000000002</v>
      </c>
      <c r="J748" s="5">
        <v>0.33779999999999999</v>
      </c>
      <c r="K748" s="6">
        <v>0.96763105127470628</v>
      </c>
      <c r="L748" s="5">
        <v>4.07</v>
      </c>
      <c r="M748" s="19">
        <f>H748*INDEX('Pliegos Tarifarios (Quilicura)'!$B:$B,MATCH($B748,'Pliegos Tarifarios (Quilicura)'!$A:$A,0))</f>
        <v>16622.640322800002</v>
      </c>
      <c r="N748" s="19">
        <f>I748*INDEX('Pliegos Tarifarios (Quilicura)'!$C:$C,MATCH($B748,'Pliegos Tarifarios (Quilicura)'!$A:$A,0))</f>
        <v>1213.2631873</v>
      </c>
      <c r="O748" s="19">
        <f>J748*INDEX('Pliegos Tarifarios (Quilicura)'!$D:$D,MATCH($B748,'Pliegos Tarifarios (Quilicura)'!$A:$A,0))</f>
        <v>4914.8792015999998</v>
      </c>
      <c r="P748" s="19">
        <f>H748*INDEX('Pliegos Tarifarios (Quilicura)'!$E:$E,MATCH($B748,'Pliegos Tarifarios (Quilicura)'!$A:$A,0))</f>
        <v>1643.0505344000001</v>
      </c>
      <c r="Q748" s="19" cm="1">
        <f t="array" ref="Q748">H748*_xlfn.IFS(H748&lt;=350,INDEX('Pliegos Tarifarios (Quilicura)'!$F:$F,MATCH($B748,'Pliegos Tarifarios (Quilicura)'!$A:$A,0)),H748&lt;=500,INDEX('Pliegos Tarifarios (Quilicura)'!$G:$G,MATCH($B748,'Pliegos Tarifarios (Quilicura)'!$A:$A,0)),H748&lt;=1000,INDEX('Pliegos Tarifarios (Quilicura)'!$H:$H,MATCH($B748,'Pliegos Tarifarios (Quilicura)'!$A:$A,0)),H748&lt;=5000,INDEX('Pliegos Tarifarios (Quilicura)'!$I:$I,MATCH($B748,'Pliegos Tarifarios (Quilicura)'!$A:$A,0)),H748&gt;5000,INDEX('Pliegos Tarifarios (Quilicura)'!$J:$J,MATCH($B748,'Pliegos Tarifarios (Quilicura)'!$A:$A,0)))/1.19</f>
        <v>83.114277647058827</v>
      </c>
      <c r="R748" s="19">
        <f>INDEX('Pliegos Tarifarios (Quilicura)'!$K:$K,MATCH($B748,'Pliegos Tarifarios (Quilicura)'!$A:$A,0))</f>
        <v>732.99199999999996</v>
      </c>
      <c r="S748" s="21">
        <f t="shared" si="36"/>
        <v>25209.93952374706</v>
      </c>
      <c r="T748" s="21">
        <f t="shared" si="37"/>
        <v>4789.8885095119413</v>
      </c>
      <c r="U748" s="19">
        <v>0</v>
      </c>
      <c r="V748" s="21">
        <f t="shared" si="38"/>
        <v>29999.828033259</v>
      </c>
    </row>
    <row r="749" spans="1:22" x14ac:dyDescent="0.3">
      <c r="A749" s="3" t="s">
        <v>150</v>
      </c>
      <c r="B749" s="3">
        <v>11</v>
      </c>
      <c r="C749" s="4" t="s">
        <v>186</v>
      </c>
      <c r="D749" s="3" t="s">
        <v>232</v>
      </c>
      <c r="E749" s="3" t="s">
        <v>121</v>
      </c>
      <c r="F749" s="4" t="s">
        <v>126</v>
      </c>
      <c r="G749" s="3" t="s">
        <v>30</v>
      </c>
      <c r="H749" s="5">
        <v>126.33320000000001</v>
      </c>
      <c r="I749" s="5">
        <v>0.34289999999999998</v>
      </c>
      <c r="J749" s="5">
        <v>0.3382</v>
      </c>
      <c r="K749" s="6">
        <v>0.98629337999416744</v>
      </c>
      <c r="L749" s="5">
        <v>4.08</v>
      </c>
      <c r="M749" s="19">
        <f>H749*INDEX('Pliegos Tarifarios (Quilicura)'!$B:$B,MATCH($B749,'Pliegos Tarifarios (Quilicura)'!$A:$A,0))</f>
        <v>16646.041431600002</v>
      </c>
      <c r="N749" s="19">
        <f>I749*INDEX('Pliegos Tarifarios (Quilicura)'!$C:$C,MATCH($B749,'Pliegos Tarifarios (Quilicura)'!$A:$A,0))</f>
        <v>1191.7156886999999</v>
      </c>
      <c r="O749" s="19">
        <f>J749*INDEX('Pliegos Tarifarios (Quilicura)'!$D:$D,MATCH($B749,'Pliegos Tarifarios (Quilicura)'!$A:$A,0))</f>
        <v>4920.6990704</v>
      </c>
      <c r="P749" s="19">
        <f>H749*INDEX('Pliegos Tarifarios (Quilicura)'!$E:$E,MATCH($B749,'Pliegos Tarifarios (Quilicura)'!$A:$A,0))</f>
        <v>1645.3635967999999</v>
      </c>
      <c r="Q749" s="19" cm="1">
        <f t="array" ref="Q749">H749*_xlfn.IFS(H749&lt;=350,INDEX('Pliegos Tarifarios (Quilicura)'!$F:$F,MATCH($B749,'Pliegos Tarifarios (Quilicura)'!$A:$A,0)),H749&lt;=500,INDEX('Pliegos Tarifarios (Quilicura)'!$G:$G,MATCH($B749,'Pliegos Tarifarios (Quilicura)'!$A:$A,0)),H749&lt;=1000,INDEX('Pliegos Tarifarios (Quilicura)'!$H:$H,MATCH($B749,'Pliegos Tarifarios (Quilicura)'!$A:$A,0)),H749&lt;=5000,INDEX('Pliegos Tarifarios (Quilicura)'!$I:$I,MATCH($B749,'Pliegos Tarifarios (Quilicura)'!$A:$A,0)),H749&gt;5000,INDEX('Pliegos Tarifarios (Quilicura)'!$J:$J,MATCH($B749,'Pliegos Tarifarios (Quilicura)'!$A:$A,0)))/1.19</f>
        <v>83.231284705882359</v>
      </c>
      <c r="R749" s="19">
        <f>INDEX('Pliegos Tarifarios (Quilicura)'!$K:$K,MATCH($B749,'Pliegos Tarifarios (Quilicura)'!$A:$A,0))</f>
        <v>732.99199999999996</v>
      </c>
      <c r="S749" s="21">
        <f t="shared" si="36"/>
        <v>25220.043072205885</v>
      </c>
      <c r="T749" s="21">
        <f t="shared" si="37"/>
        <v>4791.8081837191185</v>
      </c>
      <c r="U749" s="19">
        <v>0</v>
      </c>
      <c r="V749" s="21">
        <f t="shared" si="38"/>
        <v>30011.851255925001</v>
      </c>
    </row>
    <row r="750" spans="1:22" x14ac:dyDescent="0.3">
      <c r="A750" s="3" t="s">
        <v>150</v>
      </c>
      <c r="B750" s="3">
        <v>11</v>
      </c>
      <c r="C750" s="4" t="s">
        <v>186</v>
      </c>
      <c r="D750" s="3" t="s">
        <v>233</v>
      </c>
      <c r="E750" s="3" t="s">
        <v>121</v>
      </c>
      <c r="F750" s="4" t="s">
        <v>128</v>
      </c>
      <c r="G750" s="3" t="s">
        <v>30</v>
      </c>
      <c r="H750" s="5">
        <v>125.8357</v>
      </c>
      <c r="I750" s="5">
        <v>0.35549999999999998</v>
      </c>
      <c r="J750" s="5">
        <v>0.35</v>
      </c>
      <c r="K750" s="6">
        <v>0.98452883263009849</v>
      </c>
      <c r="L750" s="5">
        <v>4.0599999999999996</v>
      </c>
      <c r="M750" s="19">
        <f>H750*INDEX('Pliegos Tarifarios (Quilicura)'!$B:$B,MATCH($B750,'Pliegos Tarifarios (Quilicura)'!$A:$A,0))</f>
        <v>16580.489339100001</v>
      </c>
      <c r="N750" s="19">
        <f>I750*INDEX('Pliegos Tarifarios (Quilicura)'!$C:$C,MATCH($B750,'Pliegos Tarifarios (Quilicura)'!$A:$A,0))</f>
        <v>1235.5057664999999</v>
      </c>
      <c r="O750" s="19">
        <f>J750*INDEX('Pliegos Tarifarios (Quilicura)'!$D:$D,MATCH($B750,'Pliegos Tarifarios (Quilicura)'!$A:$A,0))</f>
        <v>5092.3851999999997</v>
      </c>
      <c r="P750" s="19">
        <f>H750*INDEX('Pliegos Tarifarios (Quilicura)'!$E:$E,MATCH($B750,'Pliegos Tarifarios (Quilicura)'!$A:$A,0))</f>
        <v>1638.8841568</v>
      </c>
      <c r="Q750" s="19" cm="1">
        <f t="array" ref="Q750">H750*_xlfn.IFS(H750&lt;=350,INDEX('Pliegos Tarifarios (Quilicura)'!$F:$F,MATCH($B750,'Pliegos Tarifarios (Quilicura)'!$A:$A,0)),H750&lt;=500,INDEX('Pliegos Tarifarios (Quilicura)'!$G:$G,MATCH($B750,'Pliegos Tarifarios (Quilicura)'!$A:$A,0)),H750&lt;=1000,INDEX('Pliegos Tarifarios (Quilicura)'!$H:$H,MATCH($B750,'Pliegos Tarifarios (Quilicura)'!$A:$A,0)),H750&lt;=5000,INDEX('Pliegos Tarifarios (Quilicura)'!$I:$I,MATCH($B750,'Pliegos Tarifarios (Quilicura)'!$A:$A,0)),H750&gt;5000,INDEX('Pliegos Tarifarios (Quilicura)'!$J:$J,MATCH($B750,'Pliegos Tarifarios (Quilicura)'!$A:$A,0)))/1.19</f>
        <v>82.903520000000015</v>
      </c>
      <c r="R750" s="19">
        <f>INDEX('Pliegos Tarifarios (Quilicura)'!$K:$K,MATCH($B750,'Pliegos Tarifarios (Quilicura)'!$A:$A,0))</f>
        <v>732.99199999999996</v>
      </c>
      <c r="S750" s="21">
        <f t="shared" si="36"/>
        <v>25363.159982399997</v>
      </c>
      <c r="T750" s="21">
        <f t="shared" si="37"/>
        <v>4819.0003966559998</v>
      </c>
      <c r="U750" s="19">
        <v>0</v>
      </c>
      <c r="V750" s="21">
        <f t="shared" si="38"/>
        <v>30182.160379055997</v>
      </c>
    </row>
    <row r="751" spans="1:22" x14ac:dyDescent="0.3">
      <c r="A751" s="3" t="s">
        <v>150</v>
      </c>
      <c r="B751" s="3">
        <v>11</v>
      </c>
      <c r="C751" s="4" t="s">
        <v>186</v>
      </c>
      <c r="D751" s="3" t="s">
        <v>234</v>
      </c>
      <c r="E751" s="3" t="s">
        <v>121</v>
      </c>
      <c r="F751" s="4" t="s">
        <v>130</v>
      </c>
      <c r="G751" s="3" t="s">
        <v>30</v>
      </c>
      <c r="H751" s="5">
        <v>126.0813</v>
      </c>
      <c r="I751" s="5">
        <v>0.34970000000000001</v>
      </c>
      <c r="J751" s="5">
        <v>0.34689999999999999</v>
      </c>
      <c r="K751" s="6">
        <v>0.99199313697454949</v>
      </c>
      <c r="L751" s="5">
        <v>4.07</v>
      </c>
      <c r="M751" s="19">
        <f>H751*INDEX('Pliegos Tarifarios (Quilicura)'!$B:$B,MATCH($B751,'Pliegos Tarifarios (Quilicura)'!$A:$A,0))</f>
        <v>16612.850331900001</v>
      </c>
      <c r="N751" s="19">
        <f>I751*INDEX('Pliegos Tarifarios (Quilicura)'!$C:$C,MATCH($B751,'Pliegos Tarifarios (Quilicura)'!$A:$A,0))</f>
        <v>1215.3484291</v>
      </c>
      <c r="O751" s="19">
        <f>J751*INDEX('Pliegos Tarifarios (Quilicura)'!$D:$D,MATCH($B751,'Pliegos Tarifarios (Quilicura)'!$A:$A,0))</f>
        <v>5047.2812168</v>
      </c>
      <c r="P751" s="19">
        <f>H751*INDEX('Pliegos Tarifarios (Quilicura)'!$E:$E,MATCH($B751,'Pliegos Tarifarios (Quilicura)'!$A:$A,0))</f>
        <v>1642.0828511999998</v>
      </c>
      <c r="Q751" s="19" cm="1">
        <f t="array" ref="Q751">H751*_xlfn.IFS(H751&lt;=350,INDEX('Pliegos Tarifarios (Quilicura)'!$F:$F,MATCH($B751,'Pliegos Tarifarios (Quilicura)'!$A:$A,0)),H751&lt;=500,INDEX('Pliegos Tarifarios (Quilicura)'!$G:$G,MATCH($B751,'Pliegos Tarifarios (Quilicura)'!$A:$A,0)),H751&lt;=1000,INDEX('Pliegos Tarifarios (Quilicura)'!$H:$H,MATCH($B751,'Pliegos Tarifarios (Quilicura)'!$A:$A,0)),H751&lt;=5000,INDEX('Pliegos Tarifarios (Quilicura)'!$I:$I,MATCH($B751,'Pliegos Tarifarios (Quilicura)'!$A:$A,0)),H751&gt;5000,INDEX('Pliegos Tarifarios (Quilicura)'!$J:$J,MATCH($B751,'Pliegos Tarifarios (Quilicura)'!$A:$A,0)))/1.19</f>
        <v>83.065327058823542</v>
      </c>
      <c r="R751" s="19">
        <f>INDEX('Pliegos Tarifarios (Quilicura)'!$K:$K,MATCH($B751,'Pliegos Tarifarios (Quilicura)'!$A:$A,0))</f>
        <v>732.99199999999996</v>
      </c>
      <c r="S751" s="21">
        <f t="shared" si="36"/>
        <v>25333.620156058823</v>
      </c>
      <c r="T751" s="21">
        <f t="shared" si="37"/>
        <v>4813.3878296511766</v>
      </c>
      <c r="U751" s="19">
        <v>0</v>
      </c>
      <c r="V751" s="21">
        <f t="shared" si="38"/>
        <v>30147.007985709999</v>
      </c>
    </row>
    <row r="752" spans="1:22" x14ac:dyDescent="0.3">
      <c r="A752" s="3" t="s">
        <v>150</v>
      </c>
      <c r="B752" s="3">
        <v>11</v>
      </c>
      <c r="C752" s="4" t="s">
        <v>186</v>
      </c>
      <c r="D752" s="3" t="s">
        <v>235</v>
      </c>
      <c r="E752" s="3" t="s">
        <v>121</v>
      </c>
      <c r="F752" s="4" t="s">
        <v>132</v>
      </c>
      <c r="G752" s="3" t="s">
        <v>30</v>
      </c>
      <c r="H752" s="5">
        <v>126.3047</v>
      </c>
      <c r="I752" s="5">
        <v>0.34860000000000002</v>
      </c>
      <c r="J752" s="5">
        <v>0.34849999999999998</v>
      </c>
      <c r="K752" s="6">
        <v>0.99971313826735497</v>
      </c>
      <c r="L752" s="5">
        <v>4.07</v>
      </c>
      <c r="M752" s="19">
        <f>H752*INDEX('Pliegos Tarifarios (Quilicura)'!$B:$B,MATCH($B752,'Pliegos Tarifarios (Quilicura)'!$A:$A,0))</f>
        <v>16642.286186100002</v>
      </c>
      <c r="N752" s="19">
        <f>I752*INDEX('Pliegos Tarifarios (Quilicura)'!$C:$C,MATCH($B752,'Pliegos Tarifarios (Quilicura)'!$A:$A,0))</f>
        <v>1211.5254858000001</v>
      </c>
      <c r="O752" s="19">
        <f>J752*INDEX('Pliegos Tarifarios (Quilicura)'!$D:$D,MATCH($B752,'Pliegos Tarifarios (Quilicura)'!$A:$A,0))</f>
        <v>5070.560692</v>
      </c>
      <c r="P752" s="19">
        <f>H752*INDEX('Pliegos Tarifarios (Quilicura)'!$E:$E,MATCH($B752,'Pliegos Tarifarios (Quilicura)'!$A:$A,0))</f>
        <v>1644.9924127999998</v>
      </c>
      <c r="Q752" s="19" cm="1">
        <f t="array" ref="Q752">H752*_xlfn.IFS(H752&lt;=350,INDEX('Pliegos Tarifarios (Quilicura)'!$F:$F,MATCH($B752,'Pliegos Tarifarios (Quilicura)'!$A:$A,0)),H752&lt;=500,INDEX('Pliegos Tarifarios (Quilicura)'!$G:$G,MATCH($B752,'Pliegos Tarifarios (Quilicura)'!$A:$A,0)),H752&lt;=1000,INDEX('Pliegos Tarifarios (Quilicura)'!$H:$H,MATCH($B752,'Pliegos Tarifarios (Quilicura)'!$A:$A,0)),H752&lt;=5000,INDEX('Pliegos Tarifarios (Quilicura)'!$I:$I,MATCH($B752,'Pliegos Tarifarios (Quilicura)'!$A:$A,0)),H752&gt;5000,INDEX('Pliegos Tarifarios (Quilicura)'!$J:$J,MATCH($B752,'Pliegos Tarifarios (Quilicura)'!$A:$A,0)))/1.19</f>
        <v>83.212508235294123</v>
      </c>
      <c r="R752" s="19">
        <f>INDEX('Pliegos Tarifarios (Quilicura)'!$K:$K,MATCH($B752,'Pliegos Tarifarios (Quilicura)'!$A:$A,0))</f>
        <v>732.99199999999996</v>
      </c>
      <c r="S752" s="21">
        <f t="shared" si="36"/>
        <v>25385.569284935293</v>
      </c>
      <c r="T752" s="21">
        <f t="shared" si="37"/>
        <v>4823.2581641377055</v>
      </c>
      <c r="U752" s="19">
        <v>0</v>
      </c>
      <c r="V752" s="21">
        <f t="shared" si="38"/>
        <v>30208.827449072996</v>
      </c>
    </row>
    <row r="753" spans="1:22" x14ac:dyDescent="0.3">
      <c r="A753" s="3" t="s">
        <v>150</v>
      </c>
      <c r="B753" s="3">
        <v>11</v>
      </c>
      <c r="C753" s="4" t="s">
        <v>186</v>
      </c>
      <c r="D753" s="3" t="s">
        <v>236</v>
      </c>
      <c r="E753" s="3" t="s">
        <v>121</v>
      </c>
      <c r="F753" s="4" t="s">
        <v>134</v>
      </c>
      <c r="G753" s="3" t="s">
        <v>30</v>
      </c>
      <c r="H753" s="5">
        <v>126.1863</v>
      </c>
      <c r="I753" s="5">
        <v>0.34389999999999998</v>
      </c>
      <c r="J753" s="5">
        <v>0.34010000000000001</v>
      </c>
      <c r="K753" s="6">
        <v>0.98895027624309406</v>
      </c>
      <c r="L753" s="5">
        <v>4.07</v>
      </c>
      <c r="M753" s="19">
        <f>H753*INDEX('Pliegos Tarifarios (Quilicura)'!$B:$B,MATCH($B753,'Pliegos Tarifarios (Quilicura)'!$A:$A,0))</f>
        <v>16626.685446900003</v>
      </c>
      <c r="N753" s="19">
        <f>I753*INDEX('Pliegos Tarifarios (Quilicura)'!$C:$C,MATCH($B753,'Pliegos Tarifarios (Quilicura)'!$A:$A,0))</f>
        <v>1195.1910916999998</v>
      </c>
      <c r="O753" s="19">
        <f>J753*INDEX('Pliegos Tarifarios (Quilicura)'!$D:$D,MATCH($B753,'Pliegos Tarifarios (Quilicura)'!$A:$A,0))</f>
        <v>4948.3434472000008</v>
      </c>
      <c r="P753" s="19">
        <f>H753*INDEX('Pliegos Tarifarios (Quilicura)'!$E:$E,MATCH($B753,'Pliegos Tarifarios (Quilicura)'!$A:$A,0))</f>
        <v>1643.4503711999998</v>
      </c>
      <c r="Q753" s="19" cm="1">
        <f t="array" ref="Q753">H753*_xlfn.IFS(H753&lt;=350,INDEX('Pliegos Tarifarios (Quilicura)'!$F:$F,MATCH($B753,'Pliegos Tarifarios (Quilicura)'!$A:$A,0)),H753&lt;=500,INDEX('Pliegos Tarifarios (Quilicura)'!$G:$G,MATCH($B753,'Pliegos Tarifarios (Quilicura)'!$A:$A,0)),H753&lt;=1000,INDEX('Pliegos Tarifarios (Quilicura)'!$H:$H,MATCH($B753,'Pliegos Tarifarios (Quilicura)'!$A:$A,0)),H753&lt;=5000,INDEX('Pliegos Tarifarios (Quilicura)'!$I:$I,MATCH($B753,'Pliegos Tarifarios (Quilicura)'!$A:$A,0)),H753&gt;5000,INDEX('Pliegos Tarifarios (Quilicura)'!$J:$J,MATCH($B753,'Pliegos Tarifarios (Quilicura)'!$A:$A,0)))/1.19</f>
        <v>83.134503529411774</v>
      </c>
      <c r="R753" s="19">
        <f>INDEX('Pliegos Tarifarios (Quilicura)'!$K:$K,MATCH($B753,'Pliegos Tarifarios (Quilicura)'!$A:$A,0))</f>
        <v>732.99199999999996</v>
      </c>
      <c r="S753" s="21">
        <f t="shared" si="36"/>
        <v>25229.796860529412</v>
      </c>
      <c r="T753" s="21">
        <f t="shared" si="37"/>
        <v>4793.6614035005887</v>
      </c>
      <c r="U753" s="19">
        <v>0</v>
      </c>
      <c r="V753" s="21">
        <f t="shared" si="38"/>
        <v>30023.45826403</v>
      </c>
    </row>
    <row r="754" spans="1:22" x14ac:dyDescent="0.3">
      <c r="A754" s="3" t="s">
        <v>150</v>
      </c>
      <c r="B754" s="3">
        <v>11</v>
      </c>
      <c r="C754" s="4" t="s">
        <v>186</v>
      </c>
      <c r="D754" s="3" t="s">
        <v>237</v>
      </c>
      <c r="E754" s="3" t="s">
        <v>121</v>
      </c>
      <c r="F754" s="4" t="s">
        <v>136</v>
      </c>
      <c r="G754" s="3" t="s">
        <v>30</v>
      </c>
      <c r="H754" s="5">
        <v>126.09010000000001</v>
      </c>
      <c r="I754" s="5">
        <v>0.34260000000000002</v>
      </c>
      <c r="J754" s="5">
        <v>0.3412</v>
      </c>
      <c r="K754" s="6">
        <v>0.99591360186806765</v>
      </c>
      <c r="L754" s="5">
        <v>4.07</v>
      </c>
      <c r="M754" s="19">
        <f>H754*INDEX('Pliegos Tarifarios (Quilicura)'!$B:$B,MATCH($B754,'Pliegos Tarifarios (Quilicura)'!$A:$A,0))</f>
        <v>16614.009846300003</v>
      </c>
      <c r="N754" s="19">
        <f>I754*INDEX('Pliegos Tarifarios (Quilicura)'!$C:$C,MATCH($B754,'Pliegos Tarifarios (Quilicura)'!$A:$A,0))</f>
        <v>1190.6730677999999</v>
      </c>
      <c r="O754" s="19">
        <f>J754*INDEX('Pliegos Tarifarios (Quilicura)'!$D:$D,MATCH($B754,'Pliegos Tarifarios (Quilicura)'!$A:$A,0))</f>
        <v>4964.3480864000003</v>
      </c>
      <c r="P754" s="19">
        <f>H754*INDEX('Pliegos Tarifarios (Quilicura)'!$E:$E,MATCH($B754,'Pliegos Tarifarios (Quilicura)'!$A:$A,0))</f>
        <v>1642.1974623999999</v>
      </c>
      <c r="Q754" s="19" cm="1">
        <f t="array" ref="Q754">H754*_xlfn.IFS(H754&lt;=350,INDEX('Pliegos Tarifarios (Quilicura)'!$F:$F,MATCH($B754,'Pliegos Tarifarios (Quilicura)'!$A:$A,0)),H754&lt;=500,INDEX('Pliegos Tarifarios (Quilicura)'!$G:$G,MATCH($B754,'Pliegos Tarifarios (Quilicura)'!$A:$A,0)),H754&lt;=1000,INDEX('Pliegos Tarifarios (Quilicura)'!$H:$H,MATCH($B754,'Pliegos Tarifarios (Quilicura)'!$A:$A,0)),H754&lt;=5000,INDEX('Pliegos Tarifarios (Quilicura)'!$I:$I,MATCH($B754,'Pliegos Tarifarios (Quilicura)'!$A:$A,0)),H754&gt;5000,INDEX('Pliegos Tarifarios (Quilicura)'!$J:$J,MATCH($B754,'Pliegos Tarifarios (Quilicura)'!$A:$A,0)))/1.19</f>
        <v>83.071124705882369</v>
      </c>
      <c r="R754" s="19">
        <f>INDEX('Pliegos Tarifarios (Quilicura)'!$K:$K,MATCH($B754,'Pliegos Tarifarios (Quilicura)'!$A:$A,0))</f>
        <v>732.99199999999996</v>
      </c>
      <c r="S754" s="21">
        <f t="shared" si="36"/>
        <v>25227.291587605883</v>
      </c>
      <c r="T754" s="21">
        <f t="shared" si="37"/>
        <v>4793.185401645118</v>
      </c>
      <c r="U754" s="19">
        <v>0</v>
      </c>
      <c r="V754" s="21">
        <f t="shared" si="38"/>
        <v>30020.476989251001</v>
      </c>
    </row>
    <row r="755" spans="1:22" x14ac:dyDescent="0.3">
      <c r="A755" s="3" t="s">
        <v>150</v>
      </c>
      <c r="B755" s="3">
        <v>11</v>
      </c>
      <c r="C755" s="4" t="s">
        <v>186</v>
      </c>
      <c r="D755" s="3" t="s">
        <v>238</v>
      </c>
      <c r="E755" s="3" t="s">
        <v>121</v>
      </c>
      <c r="F755" s="4" t="s">
        <v>138</v>
      </c>
      <c r="G755" s="3" t="s">
        <v>30</v>
      </c>
      <c r="H755" s="5">
        <v>126.0099</v>
      </c>
      <c r="I755" s="5">
        <v>0.34310000000000002</v>
      </c>
      <c r="J755" s="5">
        <v>0.3367</v>
      </c>
      <c r="K755" s="6">
        <v>0.98134654619644412</v>
      </c>
      <c r="L755" s="5">
        <v>4.0599999999999996</v>
      </c>
      <c r="M755" s="19">
        <f>H755*INDEX('Pliegos Tarifarios (Quilicura)'!$B:$B,MATCH($B755,'Pliegos Tarifarios (Quilicura)'!$A:$A,0))</f>
        <v>16603.442453700001</v>
      </c>
      <c r="N755" s="19">
        <f>I755*INDEX('Pliegos Tarifarios (Quilicura)'!$C:$C,MATCH($B755,'Pliegos Tarifarios (Quilicura)'!$A:$A,0))</f>
        <v>1192.4107693000001</v>
      </c>
      <c r="O755" s="19">
        <f>J755*INDEX('Pliegos Tarifarios (Quilicura)'!$D:$D,MATCH($B755,'Pliegos Tarifarios (Quilicura)'!$A:$A,0))</f>
        <v>4898.8745624000003</v>
      </c>
      <c r="P755" s="19">
        <f>H755*INDEX('Pliegos Tarifarios (Quilicura)'!$E:$E,MATCH($B755,'Pliegos Tarifarios (Quilicura)'!$A:$A,0))</f>
        <v>1641.1529375999999</v>
      </c>
      <c r="Q755" s="19" cm="1">
        <f t="array" ref="Q755">H755*_xlfn.IFS(H755&lt;=350,INDEX('Pliegos Tarifarios (Quilicura)'!$F:$F,MATCH($B755,'Pliegos Tarifarios (Quilicura)'!$A:$A,0)),H755&lt;=500,INDEX('Pliegos Tarifarios (Quilicura)'!$G:$G,MATCH($B755,'Pliegos Tarifarios (Quilicura)'!$A:$A,0)),H755&lt;=1000,INDEX('Pliegos Tarifarios (Quilicura)'!$H:$H,MATCH($B755,'Pliegos Tarifarios (Quilicura)'!$A:$A,0)),H755&lt;=5000,INDEX('Pliegos Tarifarios (Quilicura)'!$I:$I,MATCH($B755,'Pliegos Tarifarios (Quilicura)'!$A:$A,0)),H755&gt;5000,INDEX('Pliegos Tarifarios (Quilicura)'!$J:$J,MATCH($B755,'Pliegos Tarifarios (Quilicura)'!$A:$A,0)))/1.19</f>
        <v>83.018287058823532</v>
      </c>
      <c r="R755" s="19">
        <f>INDEX('Pliegos Tarifarios (Quilicura)'!$K:$K,MATCH($B755,'Pliegos Tarifarios (Quilicura)'!$A:$A,0))</f>
        <v>732.99199999999996</v>
      </c>
      <c r="S755" s="21">
        <f t="shared" si="36"/>
        <v>25151.891010058825</v>
      </c>
      <c r="T755" s="21">
        <f t="shared" si="37"/>
        <v>4778.859291911177</v>
      </c>
      <c r="U755" s="19">
        <v>0</v>
      </c>
      <c r="V755" s="21">
        <f t="shared" si="38"/>
        <v>29930.750301970002</v>
      </c>
    </row>
    <row r="756" spans="1:22" x14ac:dyDescent="0.3">
      <c r="A756" s="3" t="s">
        <v>150</v>
      </c>
      <c r="B756" s="3">
        <v>11</v>
      </c>
      <c r="C756" s="4" t="s">
        <v>186</v>
      </c>
      <c r="D756" s="3" t="s">
        <v>239</v>
      </c>
      <c r="E756" s="3" t="s">
        <v>121</v>
      </c>
      <c r="F756" s="4" t="s">
        <v>140</v>
      </c>
      <c r="G756" s="3" t="s">
        <v>30</v>
      </c>
      <c r="H756" s="5">
        <v>126.38079999999999</v>
      </c>
      <c r="I756" s="5">
        <v>0.35820000000000002</v>
      </c>
      <c r="J756" s="5">
        <v>0.35239999999999999</v>
      </c>
      <c r="K756" s="6">
        <v>0.98380792853154653</v>
      </c>
      <c r="L756" s="5">
        <v>4.08</v>
      </c>
      <c r="M756" s="19">
        <f>H756*INDEX('Pliegos Tarifarios (Quilicura)'!$B:$B,MATCH($B756,'Pliegos Tarifarios (Quilicura)'!$A:$A,0))</f>
        <v>16652.3133504</v>
      </c>
      <c r="N756" s="19">
        <f>I756*INDEX('Pliegos Tarifarios (Quilicura)'!$C:$C,MATCH($B756,'Pliegos Tarifarios (Quilicura)'!$A:$A,0))</f>
        <v>1244.8893545999999</v>
      </c>
      <c r="O756" s="19">
        <f>J756*INDEX('Pliegos Tarifarios (Quilicura)'!$D:$D,MATCH($B756,'Pliegos Tarifarios (Quilicura)'!$A:$A,0))</f>
        <v>5127.3044128000001</v>
      </c>
      <c r="P756" s="19">
        <f>H756*INDEX('Pliegos Tarifarios (Quilicura)'!$E:$E,MATCH($B756,'Pliegos Tarifarios (Quilicura)'!$A:$A,0))</f>
        <v>1645.9835391999998</v>
      </c>
      <c r="Q756" s="19" cm="1">
        <f t="array" ref="Q756">H756*_xlfn.IFS(H756&lt;=350,INDEX('Pliegos Tarifarios (Quilicura)'!$F:$F,MATCH($B756,'Pliegos Tarifarios (Quilicura)'!$A:$A,0)),H756&lt;=500,INDEX('Pliegos Tarifarios (Quilicura)'!$G:$G,MATCH($B756,'Pliegos Tarifarios (Quilicura)'!$A:$A,0)),H756&lt;=1000,INDEX('Pliegos Tarifarios (Quilicura)'!$H:$H,MATCH($B756,'Pliegos Tarifarios (Quilicura)'!$A:$A,0)),H756&lt;=5000,INDEX('Pliegos Tarifarios (Quilicura)'!$I:$I,MATCH($B756,'Pliegos Tarifarios (Quilicura)'!$A:$A,0)),H756&gt;5000,INDEX('Pliegos Tarifarios (Quilicura)'!$J:$J,MATCH($B756,'Pliegos Tarifarios (Quilicura)'!$A:$A,0)))/1.19</f>
        <v>83.262644705882352</v>
      </c>
      <c r="R756" s="19">
        <f>INDEX('Pliegos Tarifarios (Quilicura)'!$K:$K,MATCH($B756,'Pliegos Tarifarios (Quilicura)'!$A:$A,0))</f>
        <v>732.99199999999996</v>
      </c>
      <c r="S756" s="21">
        <f t="shared" si="36"/>
        <v>25486.74530170588</v>
      </c>
      <c r="T756" s="21">
        <f t="shared" si="37"/>
        <v>4842.4816073241172</v>
      </c>
      <c r="U756" s="19">
        <v>0</v>
      </c>
      <c r="V756" s="21">
        <f t="shared" si="38"/>
        <v>30329.226909029996</v>
      </c>
    </row>
    <row r="757" spans="1:22" x14ac:dyDescent="0.3">
      <c r="A757" s="3" t="s">
        <v>150</v>
      </c>
      <c r="B757" s="3">
        <v>11</v>
      </c>
      <c r="C757" s="4" t="s">
        <v>186</v>
      </c>
      <c r="D757" s="3" t="s">
        <v>240</v>
      </c>
      <c r="E757" s="3" t="s">
        <v>121</v>
      </c>
      <c r="F757" s="4" t="s">
        <v>241</v>
      </c>
      <c r="G757" s="3" t="s">
        <v>30</v>
      </c>
      <c r="H757" s="5">
        <v>126.0279</v>
      </c>
      <c r="I757" s="5">
        <v>0.34889999999999999</v>
      </c>
      <c r="J757" s="5">
        <v>0.33700000000000002</v>
      </c>
      <c r="K757" s="6">
        <v>0.96589280596159366</v>
      </c>
      <c r="L757" s="5">
        <v>4.07</v>
      </c>
      <c r="M757" s="19">
        <f>H757*INDEX('Pliegos Tarifarios (Quilicura)'!$B:$B,MATCH($B757,'Pliegos Tarifarios (Quilicura)'!$A:$A,0))</f>
        <v>16605.814187700002</v>
      </c>
      <c r="N757" s="19">
        <f>I757*INDEX('Pliegos Tarifarios (Quilicura)'!$C:$C,MATCH($B757,'Pliegos Tarifarios (Quilicura)'!$A:$A,0))</f>
        <v>1212.5681066999998</v>
      </c>
      <c r="O757" s="19">
        <f>J757*INDEX('Pliegos Tarifarios (Quilicura)'!$D:$D,MATCH($B757,'Pliegos Tarifarios (Quilicura)'!$A:$A,0))</f>
        <v>4903.2394640000002</v>
      </c>
      <c r="P757" s="19">
        <f>H757*INDEX('Pliegos Tarifarios (Quilicura)'!$E:$E,MATCH($B757,'Pliegos Tarifarios (Quilicura)'!$A:$A,0))</f>
        <v>1641.3873695999998</v>
      </c>
      <c r="Q757" s="19" cm="1">
        <f t="array" ref="Q757">H757*_xlfn.IFS(H757&lt;=350,INDEX('Pliegos Tarifarios (Quilicura)'!$F:$F,MATCH($B757,'Pliegos Tarifarios (Quilicura)'!$A:$A,0)),H757&lt;=500,INDEX('Pliegos Tarifarios (Quilicura)'!$G:$G,MATCH($B757,'Pliegos Tarifarios (Quilicura)'!$A:$A,0)),H757&lt;=1000,INDEX('Pliegos Tarifarios (Quilicura)'!$H:$H,MATCH($B757,'Pliegos Tarifarios (Quilicura)'!$A:$A,0)),H757&lt;=5000,INDEX('Pliegos Tarifarios (Quilicura)'!$I:$I,MATCH($B757,'Pliegos Tarifarios (Quilicura)'!$A:$A,0)),H757&gt;5000,INDEX('Pliegos Tarifarios (Quilicura)'!$J:$J,MATCH($B757,'Pliegos Tarifarios (Quilicura)'!$A:$A,0)))/1.19</f>
        <v>83.030145882352954</v>
      </c>
      <c r="R757" s="19">
        <f>INDEX('Pliegos Tarifarios (Quilicura)'!$K:$K,MATCH($B757,'Pliegos Tarifarios (Quilicura)'!$A:$A,0))</f>
        <v>732.99199999999996</v>
      </c>
      <c r="S757" s="21">
        <f t="shared" si="36"/>
        <v>25179.031273882356</v>
      </c>
      <c r="T757" s="21">
        <f t="shared" si="37"/>
        <v>4784.0159420376476</v>
      </c>
      <c r="U757" s="19">
        <v>0</v>
      </c>
      <c r="V757" s="21">
        <f t="shared" si="38"/>
        <v>29963.047215920004</v>
      </c>
    </row>
    <row r="758" spans="1:22" x14ac:dyDescent="0.3">
      <c r="A758" s="3" t="s">
        <v>150</v>
      </c>
      <c r="B758" s="3">
        <v>11</v>
      </c>
      <c r="C758" s="4" t="s">
        <v>186</v>
      </c>
      <c r="D758" s="3" t="s">
        <v>242</v>
      </c>
      <c r="E758" s="3" t="s">
        <v>121</v>
      </c>
      <c r="F758" s="4" t="s">
        <v>243</v>
      </c>
      <c r="G758" s="3" t="s">
        <v>30</v>
      </c>
      <c r="H758" s="5">
        <v>126.2681</v>
      </c>
      <c r="I758" s="5">
        <v>0.34670000000000001</v>
      </c>
      <c r="J758" s="5">
        <v>0.34499999999999997</v>
      </c>
      <c r="K758" s="6">
        <v>0.99509662532448795</v>
      </c>
      <c r="L758" s="5">
        <v>4.07</v>
      </c>
      <c r="M758" s="19">
        <f>H758*INDEX('Pliegos Tarifarios (Quilicura)'!$B:$B,MATCH($B758,'Pliegos Tarifarios (Quilicura)'!$A:$A,0))</f>
        <v>16637.4636603</v>
      </c>
      <c r="N758" s="19">
        <f>I758*INDEX('Pliegos Tarifarios (Quilicura)'!$C:$C,MATCH($B758,'Pliegos Tarifarios (Quilicura)'!$A:$A,0))</f>
        <v>1204.9222201</v>
      </c>
      <c r="O758" s="19">
        <f>J758*INDEX('Pliegos Tarifarios (Quilicura)'!$D:$D,MATCH($B758,'Pliegos Tarifarios (Quilicura)'!$A:$A,0))</f>
        <v>5019.6368400000001</v>
      </c>
      <c r="P758" s="19">
        <f>H758*INDEX('Pliegos Tarifarios (Quilicura)'!$E:$E,MATCH($B758,'Pliegos Tarifarios (Quilicura)'!$A:$A,0))</f>
        <v>1644.5157343999999</v>
      </c>
      <c r="Q758" s="19" cm="1">
        <f t="array" ref="Q758">H758*_xlfn.IFS(H758&lt;=350,INDEX('Pliegos Tarifarios (Quilicura)'!$F:$F,MATCH($B758,'Pliegos Tarifarios (Quilicura)'!$A:$A,0)),H758&lt;=500,INDEX('Pliegos Tarifarios (Quilicura)'!$G:$G,MATCH($B758,'Pliegos Tarifarios (Quilicura)'!$A:$A,0)),H758&lt;=1000,INDEX('Pliegos Tarifarios (Quilicura)'!$H:$H,MATCH($B758,'Pliegos Tarifarios (Quilicura)'!$A:$A,0)),H758&lt;=5000,INDEX('Pliegos Tarifarios (Quilicura)'!$I:$I,MATCH($B758,'Pliegos Tarifarios (Quilicura)'!$A:$A,0)),H758&gt;5000,INDEX('Pliegos Tarifarios (Quilicura)'!$J:$J,MATCH($B758,'Pliegos Tarifarios (Quilicura)'!$A:$A,0)))/1.19</f>
        <v>83.188395294117655</v>
      </c>
      <c r="R758" s="19">
        <f>INDEX('Pliegos Tarifarios (Quilicura)'!$K:$K,MATCH($B758,'Pliegos Tarifarios (Quilicura)'!$A:$A,0))</f>
        <v>732.99199999999996</v>
      </c>
      <c r="S758" s="21">
        <f t="shared" si="36"/>
        <v>25322.718850094116</v>
      </c>
      <c r="T758" s="21">
        <f t="shared" si="37"/>
        <v>4811.3165815178818</v>
      </c>
      <c r="U758" s="19">
        <v>0</v>
      </c>
      <c r="V758" s="21">
        <f t="shared" si="38"/>
        <v>30134.035431611999</v>
      </c>
    </row>
    <row r="759" spans="1:22" x14ac:dyDescent="0.3">
      <c r="A759" s="3" t="s">
        <v>150</v>
      </c>
      <c r="B759" s="3">
        <v>11</v>
      </c>
      <c r="C759" s="4" t="s">
        <v>186</v>
      </c>
      <c r="D759" s="3" t="s">
        <v>244</v>
      </c>
      <c r="E759" s="3" t="s">
        <v>121</v>
      </c>
      <c r="F759" s="4" t="s">
        <v>245</v>
      </c>
      <c r="G759" s="3" t="s">
        <v>30</v>
      </c>
      <c r="H759" s="5">
        <v>126.12</v>
      </c>
      <c r="I759" s="5">
        <v>0.35020000000000001</v>
      </c>
      <c r="J759" s="5">
        <v>0.33860000000000001</v>
      </c>
      <c r="K759" s="6">
        <v>0.96687607081667615</v>
      </c>
      <c r="L759" s="5">
        <v>4.07</v>
      </c>
      <c r="M759" s="19">
        <f>H759*INDEX('Pliegos Tarifarios (Quilicura)'!$B:$B,MATCH($B759,'Pliegos Tarifarios (Quilicura)'!$A:$A,0))</f>
        <v>16617.949560000001</v>
      </c>
      <c r="N759" s="19">
        <f>I759*INDEX('Pliegos Tarifarios (Quilicura)'!$C:$C,MATCH($B759,'Pliegos Tarifarios (Quilicura)'!$A:$A,0))</f>
        <v>1217.0861305999999</v>
      </c>
      <c r="O759" s="19">
        <f>J759*INDEX('Pliegos Tarifarios (Quilicura)'!$D:$D,MATCH($B759,'Pliegos Tarifarios (Quilicura)'!$A:$A,0))</f>
        <v>4926.5189392000002</v>
      </c>
      <c r="P759" s="19">
        <f>H759*INDEX('Pliegos Tarifarios (Quilicura)'!$E:$E,MATCH($B759,'Pliegos Tarifarios (Quilicura)'!$A:$A,0))</f>
        <v>1642.5868799999998</v>
      </c>
      <c r="Q759" s="19" cm="1">
        <f t="array" ref="Q759">H759*_xlfn.IFS(H759&lt;=350,INDEX('Pliegos Tarifarios (Quilicura)'!$F:$F,MATCH($B759,'Pliegos Tarifarios (Quilicura)'!$A:$A,0)),H759&lt;=500,INDEX('Pliegos Tarifarios (Quilicura)'!$G:$G,MATCH($B759,'Pliegos Tarifarios (Quilicura)'!$A:$A,0)),H759&lt;=1000,INDEX('Pliegos Tarifarios (Quilicura)'!$H:$H,MATCH($B759,'Pliegos Tarifarios (Quilicura)'!$A:$A,0)),H759&lt;=5000,INDEX('Pliegos Tarifarios (Quilicura)'!$I:$I,MATCH($B759,'Pliegos Tarifarios (Quilicura)'!$A:$A,0)),H759&gt;5000,INDEX('Pliegos Tarifarios (Quilicura)'!$J:$J,MATCH($B759,'Pliegos Tarifarios (Quilicura)'!$A:$A,0)))/1.19</f>
        <v>83.090823529411779</v>
      </c>
      <c r="R759" s="19">
        <f>INDEX('Pliegos Tarifarios (Quilicura)'!$K:$K,MATCH($B759,'Pliegos Tarifarios (Quilicura)'!$A:$A,0))</f>
        <v>732.99199999999996</v>
      </c>
      <c r="S759" s="21">
        <f t="shared" si="36"/>
        <v>25220.22433332941</v>
      </c>
      <c r="T759" s="21">
        <f t="shared" si="37"/>
        <v>4791.8426233325881</v>
      </c>
      <c r="U759" s="19">
        <v>0</v>
      </c>
      <c r="V759" s="21">
        <f t="shared" si="38"/>
        <v>30012.066956661998</v>
      </c>
    </row>
    <row r="760" spans="1:22" x14ac:dyDescent="0.3">
      <c r="A760" s="3" t="s">
        <v>150</v>
      </c>
      <c r="B760" s="3">
        <v>11</v>
      </c>
      <c r="C760" s="4" t="s">
        <v>186</v>
      </c>
      <c r="D760" s="3" t="s">
        <v>246</v>
      </c>
      <c r="E760" s="3" t="s">
        <v>121</v>
      </c>
      <c r="F760" s="4" t="s">
        <v>247</v>
      </c>
      <c r="G760" s="3" t="s">
        <v>30</v>
      </c>
      <c r="H760" s="5">
        <v>126.2039</v>
      </c>
      <c r="I760" s="5">
        <v>0.3453</v>
      </c>
      <c r="J760" s="5">
        <v>0.3417</v>
      </c>
      <c r="K760" s="6">
        <v>0.98957428323197227</v>
      </c>
      <c r="L760" s="5">
        <v>4.07</v>
      </c>
      <c r="M760" s="19">
        <f>H760*INDEX('Pliegos Tarifarios (Quilicura)'!$B:$B,MATCH($B760,'Pliegos Tarifarios (Quilicura)'!$A:$A,0))</f>
        <v>16629.0044757</v>
      </c>
      <c r="N760" s="19">
        <f>I760*INDEX('Pliegos Tarifarios (Quilicura)'!$C:$C,MATCH($B760,'Pliegos Tarifarios (Quilicura)'!$A:$A,0))</f>
        <v>1200.0566558999999</v>
      </c>
      <c r="O760" s="19">
        <f>J760*INDEX('Pliegos Tarifarios (Quilicura)'!$D:$D,MATCH($B760,'Pliegos Tarifarios (Quilicura)'!$A:$A,0))</f>
        <v>4971.6229223999999</v>
      </c>
      <c r="P760" s="19">
        <f>H760*INDEX('Pliegos Tarifarios (Quilicura)'!$E:$E,MATCH($B760,'Pliegos Tarifarios (Quilicura)'!$A:$A,0))</f>
        <v>1643.6795935999999</v>
      </c>
      <c r="Q760" s="19" cm="1">
        <f t="array" ref="Q760">H760*_xlfn.IFS(H760&lt;=350,INDEX('Pliegos Tarifarios (Quilicura)'!$F:$F,MATCH($B760,'Pliegos Tarifarios (Quilicura)'!$A:$A,0)),H760&lt;=500,INDEX('Pliegos Tarifarios (Quilicura)'!$G:$G,MATCH($B760,'Pliegos Tarifarios (Quilicura)'!$A:$A,0)),H760&lt;=1000,INDEX('Pliegos Tarifarios (Quilicura)'!$H:$H,MATCH($B760,'Pliegos Tarifarios (Quilicura)'!$A:$A,0)),H760&lt;=5000,INDEX('Pliegos Tarifarios (Quilicura)'!$I:$I,MATCH($B760,'Pliegos Tarifarios (Quilicura)'!$A:$A,0)),H760&gt;5000,INDEX('Pliegos Tarifarios (Quilicura)'!$J:$J,MATCH($B760,'Pliegos Tarifarios (Quilicura)'!$A:$A,0)))/1.19</f>
        <v>83.146098823529414</v>
      </c>
      <c r="R760" s="19">
        <f>INDEX('Pliegos Tarifarios (Quilicura)'!$K:$K,MATCH($B760,'Pliegos Tarifarios (Quilicura)'!$A:$A,0))</f>
        <v>732.99199999999996</v>
      </c>
      <c r="S760" s="21">
        <f t="shared" si="36"/>
        <v>25260.501746423524</v>
      </c>
      <c r="T760" s="21">
        <f t="shared" si="37"/>
        <v>4799.4953318204698</v>
      </c>
      <c r="U760" s="19">
        <v>0</v>
      </c>
      <c r="V760" s="21">
        <f t="shared" si="38"/>
        <v>30059.997078243992</v>
      </c>
    </row>
    <row r="761" spans="1:22" x14ac:dyDescent="0.3">
      <c r="A761" s="3" t="s">
        <v>150</v>
      </c>
      <c r="B761" s="3">
        <v>11</v>
      </c>
      <c r="C761" s="4" t="s">
        <v>186</v>
      </c>
      <c r="D761" s="3" t="s">
        <v>248</v>
      </c>
      <c r="E761" s="3" t="s">
        <v>121</v>
      </c>
      <c r="F761" s="4" t="s">
        <v>249</v>
      </c>
      <c r="G761" s="3" t="s">
        <v>30</v>
      </c>
      <c r="H761" s="5">
        <v>126.01990000000001</v>
      </c>
      <c r="I761" s="5">
        <v>0.35560000000000003</v>
      </c>
      <c r="J761" s="5">
        <v>0.34389999999999998</v>
      </c>
      <c r="K761" s="6">
        <v>0.96709786276715404</v>
      </c>
      <c r="L761" s="5">
        <v>4.07</v>
      </c>
      <c r="M761" s="19">
        <f>H761*INDEX('Pliegos Tarifarios (Quilicura)'!$B:$B,MATCH($B761,'Pliegos Tarifarios (Quilicura)'!$A:$A,0))</f>
        <v>16604.760083700003</v>
      </c>
      <c r="N761" s="19">
        <f>I761*INDEX('Pliegos Tarifarios (Quilicura)'!$C:$C,MATCH($B761,'Pliegos Tarifarios (Quilicura)'!$A:$A,0))</f>
        <v>1235.8533067999999</v>
      </c>
      <c r="O761" s="19">
        <f>J761*INDEX('Pliegos Tarifarios (Quilicura)'!$D:$D,MATCH($B761,'Pliegos Tarifarios (Quilicura)'!$A:$A,0))</f>
        <v>5003.6322007999997</v>
      </c>
      <c r="P761" s="19">
        <f>H761*INDEX('Pliegos Tarifarios (Quilicura)'!$E:$E,MATCH($B761,'Pliegos Tarifarios (Quilicura)'!$A:$A,0))</f>
        <v>1641.2831776</v>
      </c>
      <c r="Q761" s="19" cm="1">
        <f t="array" ref="Q761">H761*_xlfn.IFS(H761&lt;=350,INDEX('Pliegos Tarifarios (Quilicura)'!$F:$F,MATCH($B761,'Pliegos Tarifarios (Quilicura)'!$A:$A,0)),H761&lt;=500,INDEX('Pliegos Tarifarios (Quilicura)'!$G:$G,MATCH($B761,'Pliegos Tarifarios (Quilicura)'!$A:$A,0)),H761&lt;=1000,INDEX('Pliegos Tarifarios (Quilicura)'!$H:$H,MATCH($B761,'Pliegos Tarifarios (Quilicura)'!$A:$A,0)),H761&lt;=5000,INDEX('Pliegos Tarifarios (Quilicura)'!$I:$I,MATCH($B761,'Pliegos Tarifarios (Quilicura)'!$A:$A,0)),H761&gt;5000,INDEX('Pliegos Tarifarios (Quilicura)'!$J:$J,MATCH($B761,'Pliegos Tarifarios (Quilicura)'!$A:$A,0)))/1.19</f>
        <v>83.024875294117649</v>
      </c>
      <c r="R761" s="19">
        <f>INDEX('Pliegos Tarifarios (Quilicura)'!$K:$K,MATCH($B761,'Pliegos Tarifarios (Quilicura)'!$A:$A,0))</f>
        <v>732.99199999999996</v>
      </c>
      <c r="S761" s="21">
        <f t="shared" si="36"/>
        <v>25301.545644194117</v>
      </c>
      <c r="T761" s="21">
        <f t="shared" si="37"/>
        <v>4807.2936723968824</v>
      </c>
      <c r="U761" s="19">
        <v>0</v>
      </c>
      <c r="V761" s="21">
        <f t="shared" si="38"/>
        <v>30108.839316590998</v>
      </c>
    </row>
    <row r="762" spans="1:22" x14ac:dyDescent="0.3">
      <c r="A762" s="3" t="s">
        <v>150</v>
      </c>
      <c r="B762" s="3">
        <v>11</v>
      </c>
      <c r="C762" s="4" t="s">
        <v>186</v>
      </c>
      <c r="D762" s="3" t="s">
        <v>250</v>
      </c>
      <c r="E762" s="3" t="s">
        <v>121</v>
      </c>
      <c r="F762" s="4" t="s">
        <v>251</v>
      </c>
      <c r="G762" s="3" t="s">
        <v>30</v>
      </c>
      <c r="H762" s="5">
        <v>125.9849</v>
      </c>
      <c r="I762" s="5">
        <v>0.34739999999999999</v>
      </c>
      <c r="J762" s="5">
        <v>0.34410000000000002</v>
      </c>
      <c r="K762" s="6">
        <v>0.99050086355785849</v>
      </c>
      <c r="L762" s="5">
        <v>4.0599999999999996</v>
      </c>
      <c r="M762" s="19">
        <f>H762*INDEX('Pliegos Tarifarios (Quilicura)'!$B:$B,MATCH($B762,'Pliegos Tarifarios (Quilicura)'!$A:$A,0))</f>
        <v>16600.1483787</v>
      </c>
      <c r="N762" s="19">
        <f>I762*INDEX('Pliegos Tarifarios (Quilicura)'!$C:$C,MATCH($B762,'Pliegos Tarifarios (Quilicura)'!$A:$A,0))</f>
        <v>1207.3550021999999</v>
      </c>
      <c r="O762" s="19">
        <f>J762*INDEX('Pliegos Tarifarios (Quilicura)'!$D:$D,MATCH($B762,'Pliegos Tarifarios (Quilicura)'!$A:$A,0))</f>
        <v>5006.5421352000003</v>
      </c>
      <c r="P762" s="19">
        <f>H762*INDEX('Pliegos Tarifarios (Quilicura)'!$E:$E,MATCH($B762,'Pliegos Tarifarios (Quilicura)'!$A:$A,0))</f>
        <v>1640.8273375999997</v>
      </c>
      <c r="Q762" s="19" cm="1">
        <f t="array" ref="Q762">H762*_xlfn.IFS(H762&lt;=350,INDEX('Pliegos Tarifarios (Quilicura)'!$F:$F,MATCH($B762,'Pliegos Tarifarios (Quilicura)'!$A:$A,0)),H762&lt;=500,INDEX('Pliegos Tarifarios (Quilicura)'!$G:$G,MATCH($B762,'Pliegos Tarifarios (Quilicura)'!$A:$A,0)),H762&lt;=1000,INDEX('Pliegos Tarifarios (Quilicura)'!$H:$H,MATCH($B762,'Pliegos Tarifarios (Quilicura)'!$A:$A,0)),H762&lt;=5000,INDEX('Pliegos Tarifarios (Quilicura)'!$I:$I,MATCH($B762,'Pliegos Tarifarios (Quilicura)'!$A:$A,0)),H762&gt;5000,INDEX('Pliegos Tarifarios (Quilicura)'!$J:$J,MATCH($B762,'Pliegos Tarifarios (Quilicura)'!$A:$A,0)))/1.19</f>
        <v>83.001816470588238</v>
      </c>
      <c r="R762" s="19">
        <f>INDEX('Pliegos Tarifarios (Quilicura)'!$K:$K,MATCH($B762,'Pliegos Tarifarios (Quilicura)'!$A:$A,0))</f>
        <v>732.99199999999996</v>
      </c>
      <c r="S762" s="21">
        <f t="shared" si="36"/>
        <v>25270.866670170588</v>
      </c>
      <c r="T762" s="21">
        <f t="shared" si="37"/>
        <v>4801.4646673324114</v>
      </c>
      <c r="U762" s="19">
        <v>0</v>
      </c>
      <c r="V762" s="21">
        <f t="shared" si="38"/>
        <v>30072.331337502997</v>
      </c>
    </row>
    <row r="763" spans="1:22" x14ac:dyDescent="0.3">
      <c r="A763" s="3" t="s">
        <v>150</v>
      </c>
      <c r="B763" s="3">
        <v>11</v>
      </c>
      <c r="C763" s="4" t="s">
        <v>186</v>
      </c>
      <c r="D763" s="3" t="s">
        <v>252</v>
      </c>
      <c r="E763" s="3" t="s">
        <v>121</v>
      </c>
      <c r="F763" s="4" t="s">
        <v>253</v>
      </c>
      <c r="G763" s="3" t="s">
        <v>30</v>
      </c>
      <c r="H763" s="5">
        <v>126.0081</v>
      </c>
      <c r="I763" s="5">
        <v>0.3473</v>
      </c>
      <c r="J763" s="5">
        <v>0.3473</v>
      </c>
      <c r="K763" s="6">
        <v>1</v>
      </c>
      <c r="L763" s="5">
        <v>4.0599999999999996</v>
      </c>
      <c r="M763" s="19">
        <f>H763*INDEX('Pliegos Tarifarios (Quilicura)'!$B:$B,MATCH($B763,'Pliegos Tarifarios (Quilicura)'!$A:$A,0))</f>
        <v>16603.205280300001</v>
      </c>
      <c r="N763" s="19">
        <f>I763*INDEX('Pliegos Tarifarios (Quilicura)'!$C:$C,MATCH($B763,'Pliegos Tarifarios (Quilicura)'!$A:$A,0))</f>
        <v>1207.0074619</v>
      </c>
      <c r="O763" s="19">
        <f>J763*INDEX('Pliegos Tarifarios (Quilicura)'!$D:$D,MATCH($B763,'Pliegos Tarifarios (Quilicura)'!$A:$A,0))</f>
        <v>5053.1010856000003</v>
      </c>
      <c r="P763" s="19">
        <f>H763*INDEX('Pliegos Tarifarios (Quilicura)'!$E:$E,MATCH($B763,'Pliegos Tarifarios (Quilicura)'!$A:$A,0))</f>
        <v>1641.1294943999999</v>
      </c>
      <c r="Q763" s="19" cm="1">
        <f t="array" ref="Q763">H763*_xlfn.IFS(H763&lt;=350,INDEX('Pliegos Tarifarios (Quilicura)'!$F:$F,MATCH($B763,'Pliegos Tarifarios (Quilicura)'!$A:$A,0)),H763&lt;=500,INDEX('Pliegos Tarifarios (Quilicura)'!$G:$G,MATCH($B763,'Pliegos Tarifarios (Quilicura)'!$A:$A,0)),H763&lt;=1000,INDEX('Pliegos Tarifarios (Quilicura)'!$H:$H,MATCH($B763,'Pliegos Tarifarios (Quilicura)'!$A:$A,0)),H763&lt;=5000,INDEX('Pliegos Tarifarios (Quilicura)'!$I:$I,MATCH($B763,'Pliegos Tarifarios (Quilicura)'!$A:$A,0)),H763&gt;5000,INDEX('Pliegos Tarifarios (Quilicura)'!$J:$J,MATCH($B763,'Pliegos Tarifarios (Quilicura)'!$A:$A,0)))/1.19</f>
        <v>83.017101176470604</v>
      </c>
      <c r="R763" s="19">
        <f>INDEX('Pliegos Tarifarios (Quilicura)'!$K:$K,MATCH($B763,'Pliegos Tarifarios (Quilicura)'!$A:$A,0))</f>
        <v>732.99199999999996</v>
      </c>
      <c r="S763" s="21">
        <f t="shared" si="36"/>
        <v>25320.452423376471</v>
      </c>
      <c r="T763" s="21">
        <f t="shared" si="37"/>
        <v>4810.8859604415293</v>
      </c>
      <c r="U763" s="19">
        <v>0</v>
      </c>
      <c r="V763" s="21">
        <f t="shared" si="38"/>
        <v>30131.338383818002</v>
      </c>
    </row>
    <row r="764" spans="1:22" x14ac:dyDescent="0.3">
      <c r="A764" s="3" t="s">
        <v>150</v>
      </c>
      <c r="B764" s="3">
        <v>11</v>
      </c>
      <c r="C764" s="4" t="s">
        <v>186</v>
      </c>
      <c r="D764" s="3" t="s">
        <v>254</v>
      </c>
      <c r="E764" s="3" t="s">
        <v>121</v>
      </c>
      <c r="F764" s="4" t="s">
        <v>255</v>
      </c>
      <c r="G764" s="3" t="s">
        <v>30</v>
      </c>
      <c r="H764" s="5">
        <v>126.3005</v>
      </c>
      <c r="I764" s="5">
        <v>0.34420000000000001</v>
      </c>
      <c r="J764" s="5">
        <v>0.34250000000000003</v>
      </c>
      <c r="K764" s="6">
        <v>0.99506101104009304</v>
      </c>
      <c r="L764" s="5">
        <v>4.07</v>
      </c>
      <c r="M764" s="19">
        <f>H764*INDEX('Pliegos Tarifarios (Quilicura)'!$B:$B,MATCH($B764,'Pliegos Tarifarios (Quilicura)'!$A:$A,0))</f>
        <v>16641.732781499999</v>
      </c>
      <c r="N764" s="19">
        <f>I764*INDEX('Pliegos Tarifarios (Quilicura)'!$C:$C,MATCH($B764,'Pliegos Tarifarios (Quilicura)'!$A:$A,0))</f>
        <v>1196.2337126</v>
      </c>
      <c r="O764" s="19">
        <f>J764*INDEX('Pliegos Tarifarios (Quilicura)'!$D:$D,MATCH($B764,'Pliegos Tarifarios (Quilicura)'!$A:$A,0))</f>
        <v>4983.2626600000003</v>
      </c>
      <c r="P764" s="19">
        <f>H764*INDEX('Pliegos Tarifarios (Quilicura)'!$E:$E,MATCH($B764,'Pliegos Tarifarios (Quilicura)'!$A:$A,0))</f>
        <v>1644.9377119999999</v>
      </c>
      <c r="Q764" s="19" cm="1">
        <f t="array" ref="Q764">H764*_xlfn.IFS(H764&lt;=350,INDEX('Pliegos Tarifarios (Quilicura)'!$F:$F,MATCH($B764,'Pliegos Tarifarios (Quilicura)'!$A:$A,0)),H764&lt;=500,INDEX('Pliegos Tarifarios (Quilicura)'!$G:$G,MATCH($B764,'Pliegos Tarifarios (Quilicura)'!$A:$A,0)),H764&lt;=1000,INDEX('Pliegos Tarifarios (Quilicura)'!$H:$H,MATCH($B764,'Pliegos Tarifarios (Quilicura)'!$A:$A,0)),H764&lt;=5000,INDEX('Pliegos Tarifarios (Quilicura)'!$I:$I,MATCH($B764,'Pliegos Tarifarios (Quilicura)'!$A:$A,0)),H764&gt;5000,INDEX('Pliegos Tarifarios (Quilicura)'!$J:$J,MATCH($B764,'Pliegos Tarifarios (Quilicura)'!$A:$A,0)))/1.19</f>
        <v>83.209741176470601</v>
      </c>
      <c r="R764" s="19">
        <f>INDEX('Pliegos Tarifarios (Quilicura)'!$K:$K,MATCH($B764,'Pliegos Tarifarios (Quilicura)'!$A:$A,0))</f>
        <v>732.99199999999996</v>
      </c>
      <c r="S764" s="21">
        <f t="shared" si="36"/>
        <v>25282.368607276465</v>
      </c>
      <c r="T764" s="21">
        <f t="shared" si="37"/>
        <v>4803.6500353825286</v>
      </c>
      <c r="U764" s="19">
        <v>0</v>
      </c>
      <c r="V764" s="21">
        <f t="shared" si="38"/>
        <v>30086.018642658993</v>
      </c>
    </row>
    <row r="765" spans="1:22" x14ac:dyDescent="0.3">
      <c r="A765" s="3" t="s">
        <v>150</v>
      </c>
      <c r="B765" s="3">
        <v>11</v>
      </c>
      <c r="C765" s="4" t="s">
        <v>186</v>
      </c>
      <c r="D765" s="3" t="s">
        <v>256</v>
      </c>
      <c r="E765" s="3" t="s">
        <v>121</v>
      </c>
      <c r="F765" s="4" t="s">
        <v>257</v>
      </c>
      <c r="G765" s="3" t="s">
        <v>30</v>
      </c>
      <c r="H765" s="5">
        <v>126.1652</v>
      </c>
      <c r="I765" s="5">
        <v>0.34870000000000001</v>
      </c>
      <c r="J765" s="5">
        <v>0.3458</v>
      </c>
      <c r="K765" s="6">
        <v>0.9916833954688844</v>
      </c>
      <c r="L765" s="5">
        <v>4.07</v>
      </c>
      <c r="M765" s="19">
        <f>H765*INDEX('Pliegos Tarifarios (Quilicura)'!$B:$B,MATCH($B765,'Pliegos Tarifarios (Quilicura)'!$A:$A,0))</f>
        <v>16623.9052476</v>
      </c>
      <c r="N765" s="19">
        <f>I765*INDEX('Pliegos Tarifarios (Quilicura)'!$C:$C,MATCH($B765,'Pliegos Tarifarios (Quilicura)'!$A:$A,0))</f>
        <v>1211.8730261000001</v>
      </c>
      <c r="O765" s="19">
        <f>J765*INDEX('Pliegos Tarifarios (Quilicura)'!$D:$D,MATCH($B765,'Pliegos Tarifarios (Quilicura)'!$A:$A,0))</f>
        <v>5031.2765776000006</v>
      </c>
      <c r="P765" s="19">
        <f>H765*INDEX('Pliegos Tarifarios (Quilicura)'!$E:$E,MATCH($B765,'Pliegos Tarifarios (Quilicura)'!$A:$A,0))</f>
        <v>1643.1755647999998</v>
      </c>
      <c r="Q765" s="19" cm="1">
        <f t="array" ref="Q765">H765*_xlfn.IFS(H765&lt;=350,INDEX('Pliegos Tarifarios (Quilicura)'!$F:$F,MATCH($B765,'Pliegos Tarifarios (Quilicura)'!$A:$A,0)),H765&lt;=500,INDEX('Pliegos Tarifarios (Quilicura)'!$G:$G,MATCH($B765,'Pliegos Tarifarios (Quilicura)'!$A:$A,0)),H765&lt;=1000,INDEX('Pliegos Tarifarios (Quilicura)'!$H:$H,MATCH($B765,'Pliegos Tarifarios (Quilicura)'!$A:$A,0)),H765&lt;=5000,INDEX('Pliegos Tarifarios (Quilicura)'!$I:$I,MATCH($B765,'Pliegos Tarifarios (Quilicura)'!$A:$A,0)),H765&gt;5000,INDEX('Pliegos Tarifarios (Quilicura)'!$J:$J,MATCH($B765,'Pliegos Tarifarios (Quilicura)'!$A:$A,0)))/1.19</f>
        <v>83.120602352941177</v>
      </c>
      <c r="R765" s="19">
        <f>INDEX('Pliegos Tarifarios (Quilicura)'!$K:$K,MATCH($B765,'Pliegos Tarifarios (Quilicura)'!$A:$A,0))</f>
        <v>732.99199999999996</v>
      </c>
      <c r="S765" s="21">
        <f t="shared" si="36"/>
        <v>25326.343018452942</v>
      </c>
      <c r="T765" s="21">
        <f t="shared" si="37"/>
        <v>4812.0051735060588</v>
      </c>
      <c r="U765" s="19">
        <v>0</v>
      </c>
      <c r="V765" s="21">
        <f t="shared" si="38"/>
        <v>30138.348191959001</v>
      </c>
    </row>
    <row r="766" spans="1:22" x14ac:dyDescent="0.3">
      <c r="A766" s="3" t="s">
        <v>150</v>
      </c>
      <c r="B766" s="3">
        <v>11</v>
      </c>
      <c r="C766" s="4" t="s">
        <v>186</v>
      </c>
      <c r="D766" s="3" t="s">
        <v>258</v>
      </c>
      <c r="E766" s="3" t="s">
        <v>121</v>
      </c>
      <c r="F766" s="4" t="s">
        <v>259</v>
      </c>
      <c r="G766" s="3" t="s">
        <v>30</v>
      </c>
      <c r="H766" s="5">
        <v>126.336</v>
      </c>
      <c r="I766" s="5">
        <v>0.34899999999999998</v>
      </c>
      <c r="J766" s="5">
        <v>0.3357</v>
      </c>
      <c r="K766" s="6">
        <v>0.96189111747851008</v>
      </c>
      <c r="L766" s="5">
        <v>4.08</v>
      </c>
      <c r="M766" s="19">
        <f>H766*INDEX('Pliegos Tarifarios (Quilicura)'!$B:$B,MATCH($B766,'Pliegos Tarifarios (Quilicura)'!$A:$A,0))</f>
        <v>16646.410368000001</v>
      </c>
      <c r="N766" s="19">
        <f>I766*INDEX('Pliegos Tarifarios (Quilicura)'!$C:$C,MATCH($B766,'Pliegos Tarifarios (Quilicura)'!$A:$A,0))</f>
        <v>1212.9156469999998</v>
      </c>
      <c r="O766" s="19">
        <f>J766*INDEX('Pliegos Tarifarios (Quilicura)'!$D:$D,MATCH($B766,'Pliegos Tarifarios (Quilicura)'!$A:$A,0))</f>
        <v>4884.3248904000002</v>
      </c>
      <c r="P766" s="19">
        <f>H766*INDEX('Pliegos Tarifarios (Quilicura)'!$E:$E,MATCH($B766,'Pliegos Tarifarios (Quilicura)'!$A:$A,0))</f>
        <v>1645.4000639999999</v>
      </c>
      <c r="Q766" s="19" cm="1">
        <f t="array" ref="Q766">H766*_xlfn.IFS(H766&lt;=350,INDEX('Pliegos Tarifarios (Quilicura)'!$F:$F,MATCH($B766,'Pliegos Tarifarios (Quilicura)'!$A:$A,0)),H766&lt;=500,INDEX('Pliegos Tarifarios (Quilicura)'!$G:$G,MATCH($B766,'Pliegos Tarifarios (Quilicura)'!$A:$A,0)),H766&lt;=1000,INDEX('Pliegos Tarifarios (Quilicura)'!$H:$H,MATCH($B766,'Pliegos Tarifarios (Quilicura)'!$A:$A,0)),H766&lt;=5000,INDEX('Pliegos Tarifarios (Quilicura)'!$I:$I,MATCH($B766,'Pliegos Tarifarios (Quilicura)'!$A:$A,0)),H766&gt;5000,INDEX('Pliegos Tarifarios (Quilicura)'!$J:$J,MATCH($B766,'Pliegos Tarifarios (Quilicura)'!$A:$A,0)))/1.19</f>
        <v>83.233129411764722</v>
      </c>
      <c r="R766" s="19">
        <f>INDEX('Pliegos Tarifarios (Quilicura)'!$K:$K,MATCH($B766,'Pliegos Tarifarios (Quilicura)'!$A:$A,0))</f>
        <v>732.99199999999996</v>
      </c>
      <c r="S766" s="21">
        <f t="shared" si="36"/>
        <v>25205.276098811762</v>
      </c>
      <c r="T766" s="21">
        <f t="shared" si="37"/>
        <v>4789.0024587742346</v>
      </c>
      <c r="U766" s="19">
        <v>0</v>
      </c>
      <c r="V766" s="21">
        <f t="shared" si="38"/>
        <v>29994.278557585996</v>
      </c>
    </row>
    <row r="767" spans="1:22" x14ac:dyDescent="0.3">
      <c r="A767" s="3" t="s">
        <v>150</v>
      </c>
      <c r="B767" s="3">
        <v>11</v>
      </c>
      <c r="C767" s="4" t="s">
        <v>186</v>
      </c>
      <c r="D767" s="3" t="s">
        <v>260</v>
      </c>
      <c r="E767" s="3" t="s">
        <v>121</v>
      </c>
      <c r="F767" s="4" t="s">
        <v>261</v>
      </c>
      <c r="G767" s="3" t="s">
        <v>16</v>
      </c>
      <c r="H767" s="5">
        <v>1037.3489999999999</v>
      </c>
      <c r="I767" s="5">
        <v>2.8174999999999999</v>
      </c>
      <c r="J767" s="5">
        <v>2.8174999999999999</v>
      </c>
      <c r="K767" s="6">
        <v>1</v>
      </c>
      <c r="L767" s="5">
        <v>33.46</v>
      </c>
      <c r="M767" s="19">
        <f>H767*INDEX('Pliegos Tarifarios (Quilicura)'!$B:$B,MATCH($B767,'Pliegos Tarifarios (Quilicura)'!$A:$A,0))</f>
        <v>136684.21628699999</v>
      </c>
      <c r="N767" s="19">
        <f>I767*INDEX('Pliegos Tarifarios (Quilicura)'!$C:$C,MATCH($B767,'Pliegos Tarifarios (Quilicura)'!$A:$A,0))</f>
        <v>9791.9479524999988</v>
      </c>
      <c r="O767" s="19">
        <f>J767*INDEX('Pliegos Tarifarios (Quilicura)'!$D:$D,MATCH($B767,'Pliegos Tarifarios (Quilicura)'!$A:$A,0))</f>
        <v>40993.700859999997</v>
      </c>
      <c r="P767" s="19">
        <f>H767*INDEX('Pliegos Tarifarios (Quilicura)'!$E:$E,MATCH($B767,'Pliegos Tarifarios (Quilicura)'!$A:$A,0))</f>
        <v>13510.433375999999</v>
      </c>
      <c r="Q767" s="19" cm="1">
        <f t="array" ref="Q767">H767*_xlfn.IFS(H767&lt;=350,INDEX('Pliegos Tarifarios (Quilicura)'!$F:$F,MATCH($B767,'Pliegos Tarifarios (Quilicura)'!$A:$A,0)),H767&lt;=500,INDEX('Pliegos Tarifarios (Quilicura)'!$G:$G,MATCH($B767,'Pliegos Tarifarios (Quilicura)'!$A:$A,0)),H767&lt;=1000,INDEX('Pliegos Tarifarios (Quilicura)'!$H:$H,MATCH($B767,'Pliegos Tarifarios (Quilicura)'!$A:$A,0)),H767&lt;=5000,INDEX('Pliegos Tarifarios (Quilicura)'!$I:$I,MATCH($B767,'Pliegos Tarifarios (Quilicura)'!$A:$A,0)),H767&gt;5000,INDEX('Pliegos Tarifarios (Quilicura)'!$J:$J,MATCH($B767,'Pliegos Tarifarios (Quilicura)'!$A:$A,0)))/1.19</f>
        <v>3112.9187218487391</v>
      </c>
      <c r="R767" s="19">
        <f>INDEX('Pliegos Tarifarios (Quilicura)'!$K:$K,MATCH($B767,'Pliegos Tarifarios (Quilicura)'!$A:$A,0))</f>
        <v>732.99199999999996</v>
      </c>
      <c r="S767" s="21">
        <f t="shared" si="36"/>
        <v>204826.20919734874</v>
      </c>
      <c r="T767" s="21">
        <f t="shared" si="37"/>
        <v>38916.979747496262</v>
      </c>
      <c r="U767" s="19">
        <v>0</v>
      </c>
      <c r="V767" s="21">
        <f t="shared" si="38"/>
        <v>243743.18894484499</v>
      </c>
    </row>
    <row r="768" spans="1:22" x14ac:dyDescent="0.3">
      <c r="A768" s="3" t="s">
        <v>150</v>
      </c>
      <c r="B768" s="3">
        <v>11</v>
      </c>
      <c r="C768" s="4" t="s">
        <v>186</v>
      </c>
      <c r="D768" s="3" t="s">
        <v>262</v>
      </c>
      <c r="E768" s="3" t="s">
        <v>121</v>
      </c>
      <c r="F768" s="4" t="s">
        <v>263</v>
      </c>
      <c r="G768" s="3" t="s">
        <v>16</v>
      </c>
      <c r="H768" s="5">
        <v>1037.0648000000001</v>
      </c>
      <c r="I768" s="5">
        <v>2.8151000000000002</v>
      </c>
      <c r="J768" s="5">
        <v>2.7875999999999999</v>
      </c>
      <c r="K768" s="6">
        <v>0.9902312528862206</v>
      </c>
      <c r="L768" s="5">
        <v>33.450000000000003</v>
      </c>
      <c r="M768" s="19">
        <f>H768*INDEX('Pliegos Tarifarios (Quilicura)'!$B:$B,MATCH($B768,'Pliegos Tarifarios (Quilicura)'!$A:$A,0))</f>
        <v>136646.76924240001</v>
      </c>
      <c r="N768" s="19">
        <f>I768*INDEX('Pliegos Tarifarios (Quilicura)'!$C:$C,MATCH($B768,'Pliegos Tarifarios (Quilicura)'!$A:$A,0))</f>
        <v>9783.6069853000008</v>
      </c>
      <c r="O768" s="19">
        <f>J768*INDEX('Pliegos Tarifarios (Quilicura)'!$D:$D,MATCH($B768,'Pliegos Tarifarios (Quilicura)'!$A:$A,0))</f>
        <v>40558.665667200003</v>
      </c>
      <c r="P768" s="19">
        <f>H768*INDEX('Pliegos Tarifarios (Quilicura)'!$E:$E,MATCH($B768,'Pliegos Tarifarios (Quilicura)'!$A:$A,0))</f>
        <v>13506.731955200001</v>
      </c>
      <c r="Q768" s="19" cm="1">
        <f t="array" ref="Q768">H768*_xlfn.IFS(H768&lt;=350,INDEX('Pliegos Tarifarios (Quilicura)'!$F:$F,MATCH($B768,'Pliegos Tarifarios (Quilicura)'!$A:$A,0)),H768&lt;=500,INDEX('Pliegos Tarifarios (Quilicura)'!$G:$G,MATCH($B768,'Pliegos Tarifarios (Quilicura)'!$A:$A,0)),H768&lt;=1000,INDEX('Pliegos Tarifarios (Quilicura)'!$H:$H,MATCH($B768,'Pliegos Tarifarios (Quilicura)'!$A:$A,0)),H768&lt;=5000,INDEX('Pliegos Tarifarios (Quilicura)'!$I:$I,MATCH($B768,'Pliegos Tarifarios (Quilicura)'!$A:$A,0)),H768&gt;5000,INDEX('Pliegos Tarifarios (Quilicura)'!$J:$J,MATCH($B768,'Pliegos Tarifarios (Quilicura)'!$A:$A,0)))/1.19</f>
        <v>3112.0658830252105</v>
      </c>
      <c r="R768" s="19">
        <f>INDEX('Pliegos Tarifarios (Quilicura)'!$K:$K,MATCH($B768,'Pliegos Tarifarios (Quilicura)'!$A:$A,0))</f>
        <v>732.99199999999996</v>
      </c>
      <c r="S768" s="21">
        <f t="shared" si="36"/>
        <v>204340.8317331252</v>
      </c>
      <c r="T768" s="21">
        <f t="shared" si="37"/>
        <v>38824.758029293793</v>
      </c>
      <c r="U768" s="19">
        <v>0</v>
      </c>
      <c r="V768" s="21">
        <f t="shared" si="38"/>
        <v>243165.589762419</v>
      </c>
    </row>
    <row r="769" spans="1:22" x14ac:dyDescent="0.3">
      <c r="A769" s="3" t="s">
        <v>150</v>
      </c>
      <c r="B769" s="3">
        <v>11</v>
      </c>
      <c r="C769" s="4" t="s">
        <v>186</v>
      </c>
      <c r="D769" s="3" t="s">
        <v>264</v>
      </c>
      <c r="E769" s="3" t="s">
        <v>121</v>
      </c>
      <c r="F769" s="4" t="s">
        <v>265</v>
      </c>
      <c r="G769" s="3" t="s">
        <v>16</v>
      </c>
      <c r="H769" s="5">
        <v>842.20730000000003</v>
      </c>
      <c r="I769" s="5">
        <v>2.2886000000000002</v>
      </c>
      <c r="J769" s="5">
        <v>2.2886000000000002</v>
      </c>
      <c r="K769" s="6">
        <v>1</v>
      </c>
      <c r="L769" s="5">
        <v>27.17</v>
      </c>
      <c r="M769" s="19">
        <f>H769*INDEX('Pliegos Tarifarios (Quilicura)'!$B:$B,MATCH($B769,'Pliegos Tarifarios (Quilicura)'!$A:$A,0))</f>
        <v>110971.76046990001</v>
      </c>
      <c r="N769" s="19">
        <f>I769*INDEX('Pliegos Tarifarios (Quilicura)'!$C:$C,MATCH($B769,'Pliegos Tarifarios (Quilicura)'!$A:$A,0))</f>
        <v>7953.8073058</v>
      </c>
      <c r="O769" s="19">
        <f>J769*INDEX('Pliegos Tarifarios (Quilicura)'!$D:$D,MATCH($B769,'Pliegos Tarifarios (Quilicura)'!$A:$A,0))</f>
        <v>33298.379339200001</v>
      </c>
      <c r="P769" s="19">
        <f>H769*INDEX('Pliegos Tarifarios (Quilicura)'!$E:$E,MATCH($B769,'Pliegos Tarifarios (Quilicura)'!$A:$A,0))</f>
        <v>10968.9078752</v>
      </c>
      <c r="Q769" s="19" cm="1">
        <f t="array" ref="Q769">H769*_xlfn.IFS(H769&lt;=350,INDEX('Pliegos Tarifarios (Quilicura)'!$F:$F,MATCH($B769,'Pliegos Tarifarios (Quilicura)'!$A:$A,0)),H769&lt;=500,INDEX('Pliegos Tarifarios (Quilicura)'!$G:$G,MATCH($B769,'Pliegos Tarifarios (Quilicura)'!$A:$A,0)),H769&lt;=1000,INDEX('Pliegos Tarifarios (Quilicura)'!$H:$H,MATCH($B769,'Pliegos Tarifarios (Quilicura)'!$A:$A,0)),H769&lt;=5000,INDEX('Pliegos Tarifarios (Quilicura)'!$I:$I,MATCH($B769,'Pliegos Tarifarios (Quilicura)'!$A:$A,0)),H769&gt;5000,INDEX('Pliegos Tarifarios (Quilicura)'!$J:$J,MATCH($B769,'Pliegos Tarifarios (Quilicura)'!$A:$A,0)))/1.19</f>
        <v>1975.2946002521014</v>
      </c>
      <c r="R769" s="19">
        <f>INDEX('Pliegos Tarifarios (Quilicura)'!$K:$K,MATCH($B769,'Pliegos Tarifarios (Quilicura)'!$A:$A,0))</f>
        <v>732.99199999999996</v>
      </c>
      <c r="S769" s="21">
        <f t="shared" ref="S769:S832" si="39">SUM(M769:R769)</f>
        <v>165901.14159035211</v>
      </c>
      <c r="T769" s="21">
        <f t="shared" ref="T769:T832" si="40">S769*0.19</f>
        <v>31521.216902166903</v>
      </c>
      <c r="U769" s="19">
        <v>0</v>
      </c>
      <c r="V769" s="21">
        <f t="shared" ref="V769:V832" si="41">SUM(S769:T769)</f>
        <v>197422.35849251901</v>
      </c>
    </row>
    <row r="770" spans="1:22" x14ac:dyDescent="0.3">
      <c r="A770" s="3" t="s">
        <v>150</v>
      </c>
      <c r="B770" s="3">
        <v>11</v>
      </c>
      <c r="C770" s="4" t="s">
        <v>186</v>
      </c>
      <c r="D770" s="3" t="s">
        <v>266</v>
      </c>
      <c r="E770" s="3" t="s">
        <v>121</v>
      </c>
      <c r="F770" s="4" t="s">
        <v>267</v>
      </c>
      <c r="G770" s="3" t="s">
        <v>16</v>
      </c>
      <c r="H770" s="5">
        <v>346.0394</v>
      </c>
      <c r="I770" s="5">
        <v>0.95369999999999999</v>
      </c>
      <c r="J770" s="5">
        <v>0.95369999999999999</v>
      </c>
      <c r="K770" s="6">
        <v>1</v>
      </c>
      <c r="L770" s="5">
        <v>11.16</v>
      </c>
      <c r="M770" s="19">
        <f>H770*INDEX('Pliegos Tarifarios (Quilicura)'!$B:$B,MATCH($B770,'Pliegos Tarifarios (Quilicura)'!$A:$A,0))</f>
        <v>45595.189462200004</v>
      </c>
      <c r="N770" s="19">
        <f>I770*INDEX('Pliegos Tarifarios (Quilicura)'!$C:$C,MATCH($B770,'Pliegos Tarifarios (Quilicura)'!$A:$A,0))</f>
        <v>3314.4918410999999</v>
      </c>
      <c r="O770" s="19">
        <f>J770*INDEX('Pliegos Tarifarios (Quilicura)'!$D:$D,MATCH($B770,'Pliegos Tarifarios (Quilicura)'!$A:$A,0))</f>
        <v>13876.0221864</v>
      </c>
      <c r="P770" s="19">
        <f>H770*INDEX('Pliegos Tarifarios (Quilicura)'!$E:$E,MATCH($B770,'Pliegos Tarifarios (Quilicura)'!$A:$A,0))</f>
        <v>4506.8171456</v>
      </c>
      <c r="Q770" s="19" cm="1">
        <f t="array" ref="Q770">H770*_xlfn.IFS(H770&lt;=350,INDEX('Pliegos Tarifarios (Quilicura)'!$F:$F,MATCH($B770,'Pliegos Tarifarios (Quilicura)'!$A:$A,0)),H770&lt;=500,INDEX('Pliegos Tarifarios (Quilicura)'!$G:$G,MATCH($B770,'Pliegos Tarifarios (Quilicura)'!$A:$A,0)),H770&lt;=1000,INDEX('Pliegos Tarifarios (Quilicura)'!$H:$H,MATCH($B770,'Pliegos Tarifarios (Quilicura)'!$A:$A,0)),H770&lt;=5000,INDEX('Pliegos Tarifarios (Quilicura)'!$I:$I,MATCH($B770,'Pliegos Tarifarios (Quilicura)'!$A:$A,0)),H770&gt;5000,INDEX('Pliegos Tarifarios (Quilicura)'!$J:$J,MATCH($B770,'Pliegos Tarifarios (Quilicura)'!$A:$A,0)))/1.19</f>
        <v>227.97889882352945</v>
      </c>
      <c r="R770" s="19">
        <f>INDEX('Pliegos Tarifarios (Quilicura)'!$K:$K,MATCH($B770,'Pliegos Tarifarios (Quilicura)'!$A:$A,0))</f>
        <v>732.99199999999996</v>
      </c>
      <c r="S770" s="21">
        <f t="shared" si="39"/>
        <v>68253.491534123532</v>
      </c>
      <c r="T770" s="21">
        <f t="shared" si="40"/>
        <v>12968.163391483471</v>
      </c>
      <c r="U770" s="19">
        <v>0</v>
      </c>
      <c r="V770" s="21">
        <f t="shared" si="41"/>
        <v>81221.654925606999</v>
      </c>
    </row>
    <row r="771" spans="1:22" x14ac:dyDescent="0.3">
      <c r="A771" s="3" t="s">
        <v>150</v>
      </c>
      <c r="B771" s="3">
        <v>11</v>
      </c>
      <c r="C771" s="4" t="s">
        <v>186</v>
      </c>
      <c r="D771" s="3" t="s">
        <v>268</v>
      </c>
      <c r="E771" s="3" t="s">
        <v>121</v>
      </c>
      <c r="F771" s="4" t="s">
        <v>269</v>
      </c>
      <c r="G771" s="3" t="s">
        <v>16</v>
      </c>
      <c r="H771" s="5">
        <v>261.46980000000002</v>
      </c>
      <c r="I771" s="5">
        <v>0.72899999999999998</v>
      </c>
      <c r="J771" s="5">
        <v>0.70979999999999999</v>
      </c>
      <c r="K771" s="6">
        <v>0.9736625514403292</v>
      </c>
      <c r="L771" s="5">
        <v>8.43</v>
      </c>
      <c r="M771" s="19">
        <f>H771*INDEX('Pliegos Tarifarios (Quilicura)'!$B:$B,MATCH($B771,'Pliegos Tarifarios (Quilicura)'!$A:$A,0))</f>
        <v>34452.045257400001</v>
      </c>
      <c r="N771" s="19">
        <f>I771*INDEX('Pliegos Tarifarios (Quilicura)'!$C:$C,MATCH($B771,'Pliegos Tarifarios (Quilicura)'!$A:$A,0))</f>
        <v>2533.5687869999997</v>
      </c>
      <c r="O771" s="19">
        <f>J771*INDEX('Pliegos Tarifarios (Quilicura)'!$D:$D,MATCH($B771,'Pliegos Tarifarios (Quilicura)'!$A:$A,0))</f>
        <v>10327.3571856</v>
      </c>
      <c r="P771" s="19">
        <f>H771*INDEX('Pliegos Tarifarios (Quilicura)'!$E:$E,MATCH($B771,'Pliegos Tarifarios (Quilicura)'!$A:$A,0))</f>
        <v>3405.3826752</v>
      </c>
      <c r="Q771" s="19" cm="1">
        <f t="array" ref="Q771">H771*_xlfn.IFS(H771&lt;=350,INDEX('Pliegos Tarifarios (Quilicura)'!$F:$F,MATCH($B771,'Pliegos Tarifarios (Quilicura)'!$A:$A,0)),H771&lt;=500,INDEX('Pliegos Tarifarios (Quilicura)'!$G:$G,MATCH($B771,'Pliegos Tarifarios (Quilicura)'!$A:$A,0)),H771&lt;=1000,INDEX('Pliegos Tarifarios (Quilicura)'!$H:$H,MATCH($B771,'Pliegos Tarifarios (Quilicura)'!$A:$A,0)),H771&lt;=5000,INDEX('Pliegos Tarifarios (Quilicura)'!$I:$I,MATCH($B771,'Pliegos Tarifarios (Quilicura)'!$A:$A,0)),H771&gt;5000,INDEX('Pliegos Tarifarios (Quilicura)'!$J:$J,MATCH($B771,'Pliegos Tarifarios (Quilicura)'!$A:$A,0)))/1.19</f>
        <v>172.26245647058826</v>
      </c>
      <c r="R771" s="19">
        <f>INDEX('Pliegos Tarifarios (Quilicura)'!$K:$K,MATCH($B771,'Pliegos Tarifarios (Quilicura)'!$A:$A,0))</f>
        <v>732.99199999999996</v>
      </c>
      <c r="S771" s="21">
        <f t="shared" si="39"/>
        <v>51623.608361670587</v>
      </c>
      <c r="T771" s="21">
        <f t="shared" si="40"/>
        <v>9808.4855887174126</v>
      </c>
      <c r="U771" s="19">
        <v>0</v>
      </c>
      <c r="V771" s="21">
        <f t="shared" si="41"/>
        <v>61432.093950388</v>
      </c>
    </row>
    <row r="772" spans="1:22" x14ac:dyDescent="0.3">
      <c r="A772" s="3" t="s">
        <v>150</v>
      </c>
      <c r="B772" s="3">
        <v>11</v>
      </c>
      <c r="C772" s="4" t="s">
        <v>186</v>
      </c>
      <c r="D772" s="3" t="s">
        <v>270</v>
      </c>
      <c r="E772" s="3" t="s">
        <v>121</v>
      </c>
      <c r="F772" s="4" t="s">
        <v>271</v>
      </c>
      <c r="G772" s="3" t="s">
        <v>16</v>
      </c>
      <c r="H772" s="5">
        <v>115.27800000000001</v>
      </c>
      <c r="I772" s="5">
        <v>0.3155</v>
      </c>
      <c r="J772" s="5">
        <v>0.30649999999999999</v>
      </c>
      <c r="K772" s="6">
        <v>0.97147385103011086</v>
      </c>
      <c r="L772" s="5">
        <v>3.72</v>
      </c>
      <c r="M772" s="19">
        <f>H772*INDEX('Pliegos Tarifarios (Quilicura)'!$B:$B,MATCH($B772,'Pliegos Tarifarios (Quilicura)'!$A:$A,0))</f>
        <v>15189.375114000002</v>
      </c>
      <c r="N772" s="19">
        <f>I772*INDEX('Pliegos Tarifarios (Quilicura)'!$C:$C,MATCH($B772,'Pliegos Tarifarios (Quilicura)'!$A:$A,0))</f>
        <v>1096.4896464999999</v>
      </c>
      <c r="O772" s="19">
        <f>J772*INDEX('Pliegos Tarifarios (Quilicura)'!$D:$D,MATCH($B772,'Pliegos Tarifarios (Quilicura)'!$A:$A,0))</f>
        <v>4459.4744680000003</v>
      </c>
      <c r="P772" s="19">
        <f>H772*INDEX('Pliegos Tarifarios (Quilicura)'!$E:$E,MATCH($B772,'Pliegos Tarifarios (Quilicura)'!$A:$A,0))</f>
        <v>1501.380672</v>
      </c>
      <c r="Q772" s="19" cm="1">
        <f t="array" ref="Q772">H772*_xlfn.IFS(H772&lt;=350,INDEX('Pliegos Tarifarios (Quilicura)'!$F:$F,MATCH($B772,'Pliegos Tarifarios (Quilicura)'!$A:$A,0)),H772&lt;=500,INDEX('Pliegos Tarifarios (Quilicura)'!$G:$G,MATCH($B772,'Pliegos Tarifarios (Quilicura)'!$A:$A,0)),H772&lt;=1000,INDEX('Pliegos Tarifarios (Quilicura)'!$H:$H,MATCH($B772,'Pliegos Tarifarios (Quilicura)'!$A:$A,0)),H772&lt;=5000,INDEX('Pliegos Tarifarios (Quilicura)'!$I:$I,MATCH($B772,'Pliegos Tarifarios (Quilicura)'!$A:$A,0)),H772&gt;5000,INDEX('Pliegos Tarifarios (Quilicura)'!$J:$J,MATCH($B772,'Pliegos Tarifarios (Quilicura)'!$A:$A,0)))/1.19</f>
        <v>75.947858823529415</v>
      </c>
      <c r="R772" s="19">
        <f>INDEX('Pliegos Tarifarios (Quilicura)'!$K:$K,MATCH($B772,'Pliegos Tarifarios (Quilicura)'!$A:$A,0))</f>
        <v>732.99199999999996</v>
      </c>
      <c r="S772" s="21">
        <f t="shared" si="39"/>
        <v>23055.659759323527</v>
      </c>
      <c r="T772" s="21">
        <f t="shared" si="40"/>
        <v>4380.5753542714701</v>
      </c>
      <c r="U772" s="19">
        <v>0</v>
      </c>
      <c r="V772" s="21">
        <f t="shared" si="41"/>
        <v>27436.235113594998</v>
      </c>
    </row>
    <row r="773" spans="1:22" x14ac:dyDescent="0.3">
      <c r="A773" s="3" t="s">
        <v>150</v>
      </c>
      <c r="B773" s="3">
        <v>11</v>
      </c>
      <c r="C773" s="4" t="s">
        <v>186</v>
      </c>
      <c r="D773" s="3" t="s">
        <v>272</v>
      </c>
      <c r="E773" s="3" t="s">
        <v>121</v>
      </c>
      <c r="F773" s="4" t="s">
        <v>273</v>
      </c>
      <c r="G773" s="3" t="s">
        <v>16</v>
      </c>
      <c r="H773" s="5">
        <v>1913.0664999999999</v>
      </c>
      <c r="I773" s="5">
        <v>5.2244000000000002</v>
      </c>
      <c r="J773" s="5">
        <v>5.2244000000000002</v>
      </c>
      <c r="K773" s="6">
        <v>1</v>
      </c>
      <c r="L773" s="5">
        <v>61.71</v>
      </c>
      <c r="M773" s="19">
        <f>H773*INDEX('Pliegos Tarifarios (Quilicura)'!$B:$B,MATCH($B773,'Pliegos Tarifarios (Quilicura)'!$A:$A,0))</f>
        <v>252071.38123949998</v>
      </c>
      <c r="N773" s="19">
        <f>I773*INDEX('Pliegos Tarifarios (Quilicura)'!$C:$C,MATCH($B773,'Pliegos Tarifarios (Quilicura)'!$A:$A,0))</f>
        <v>18156.895433199999</v>
      </c>
      <c r="O773" s="19">
        <f>J773*INDEX('Pliegos Tarifarios (Quilicura)'!$D:$D,MATCH($B773,'Pliegos Tarifarios (Quilicura)'!$A:$A,0))</f>
        <v>76013.306396800006</v>
      </c>
      <c r="P773" s="19">
        <f>H773*INDEX('Pliegos Tarifarios (Quilicura)'!$E:$E,MATCH($B773,'Pliegos Tarifarios (Quilicura)'!$A:$A,0))</f>
        <v>24915.778095999998</v>
      </c>
      <c r="Q773" s="19" cm="1">
        <f t="array" ref="Q773">H773*_xlfn.IFS(H773&lt;=350,INDEX('Pliegos Tarifarios (Quilicura)'!$F:$F,MATCH($B773,'Pliegos Tarifarios (Quilicura)'!$A:$A,0)),H773&lt;=500,INDEX('Pliegos Tarifarios (Quilicura)'!$G:$G,MATCH($B773,'Pliegos Tarifarios (Quilicura)'!$A:$A,0)),H773&lt;=1000,INDEX('Pliegos Tarifarios (Quilicura)'!$H:$H,MATCH($B773,'Pliegos Tarifarios (Quilicura)'!$A:$A,0)),H773&lt;=5000,INDEX('Pliegos Tarifarios (Quilicura)'!$I:$I,MATCH($B773,'Pliegos Tarifarios (Quilicura)'!$A:$A,0)),H773&gt;5000,INDEX('Pliegos Tarifarios (Quilicura)'!$J:$J,MATCH($B773,'Pliegos Tarifarios (Quilicura)'!$A:$A,0)))/1.19</f>
        <v>5740.8071189075627</v>
      </c>
      <c r="R773" s="19">
        <f>INDEX('Pliegos Tarifarios (Quilicura)'!$K:$K,MATCH($B773,'Pliegos Tarifarios (Quilicura)'!$A:$A,0))</f>
        <v>732.99199999999996</v>
      </c>
      <c r="S773" s="21">
        <f t="shared" si="39"/>
        <v>377631.16028440755</v>
      </c>
      <c r="T773" s="21">
        <f t="shared" si="40"/>
        <v>71749.920454037434</v>
      </c>
      <c r="U773" s="19">
        <v>0</v>
      </c>
      <c r="V773" s="21">
        <f t="shared" si="41"/>
        <v>449381.08073844499</v>
      </c>
    </row>
    <row r="774" spans="1:22" x14ac:dyDescent="0.3">
      <c r="A774" s="7" t="s">
        <v>151</v>
      </c>
      <c r="B774" s="7">
        <v>12</v>
      </c>
      <c r="C774" s="8" t="s">
        <v>186</v>
      </c>
      <c r="D774" s="7" t="s">
        <v>187</v>
      </c>
      <c r="E774" s="7" t="s">
        <v>14</v>
      </c>
      <c r="F774" s="8" t="s">
        <v>15</v>
      </c>
      <c r="G774" s="7" t="s">
        <v>16</v>
      </c>
      <c r="H774" s="9">
        <v>15419.4555</v>
      </c>
      <c r="I774" s="9">
        <v>39.897100000000002</v>
      </c>
      <c r="J774" s="9">
        <v>39.478499999999997</v>
      </c>
      <c r="K774" s="10">
        <v>0.98950800935406324</v>
      </c>
      <c r="L774" s="9">
        <v>497.4</v>
      </c>
      <c r="M774" s="19">
        <f>H774*INDEX('Pliegos Tarifarios (Quilicura)'!$B:$B,MATCH($B774,'Pliegos Tarifarios (Quilicura)'!$A:$A,0))</f>
        <v>2031713.7150465001</v>
      </c>
      <c r="N774" s="19">
        <f>I774*INDEX('Pliegos Tarifarios (Quilicura)'!$C:$C,MATCH($B774,'Pliegos Tarifarios (Quilicura)'!$A:$A,0))</f>
        <v>138242.77324930002</v>
      </c>
      <c r="O774" s="19">
        <f>J774*INDEX('Pliegos Tarifarios (Quilicura)'!$D:$D,MATCH($B774,'Pliegos Tarifarios (Quilicura)'!$A:$A,0))</f>
        <v>573971.95024649997</v>
      </c>
      <c r="P774" s="19">
        <f>H774*INDEX('Pliegos Tarifarios (Quilicura)'!$E:$E,MATCH($B774,'Pliegos Tarifarios (Quilicura)'!$A:$A,0))</f>
        <v>200822.98843199998</v>
      </c>
      <c r="Q774" s="19" cm="1">
        <f t="array" ref="Q774">H774*_xlfn.IFS(H774&lt;=350,INDEX('Pliegos Tarifarios (Quilicura)'!$F:$F,MATCH($B774,'Pliegos Tarifarios (Quilicura)'!$A:$A,0)),H774&lt;=500,INDEX('Pliegos Tarifarios (Quilicura)'!$G:$G,MATCH($B774,'Pliegos Tarifarios (Quilicura)'!$A:$A,0)),H774&lt;=1000,INDEX('Pliegos Tarifarios (Quilicura)'!$H:$H,MATCH($B774,'Pliegos Tarifarios (Quilicura)'!$A:$A,0)),H774&lt;=5000,INDEX('Pliegos Tarifarios (Quilicura)'!$I:$I,MATCH($B774,'Pliegos Tarifarios (Quilicura)'!$A:$A,0)),H774&gt;5000,INDEX('Pliegos Tarifarios (Quilicura)'!$J:$J,MATCH($B774,'Pliegos Tarifarios (Quilicura)'!$A:$A,0)))/1.19</f>
        <v>51519.121905882355</v>
      </c>
      <c r="R774" s="19">
        <f>INDEX('Pliegos Tarifarios (Quilicura)'!$K:$K,MATCH($B774,'Pliegos Tarifarios (Quilicura)'!$A:$A,0))</f>
        <v>733.35299999999995</v>
      </c>
      <c r="S774" s="21">
        <f t="shared" si="39"/>
        <v>2997003.9018801823</v>
      </c>
      <c r="T774" s="21">
        <f t="shared" si="40"/>
        <v>569430.74135723466</v>
      </c>
      <c r="U774" s="19">
        <v>0</v>
      </c>
      <c r="V774" s="21">
        <f t="shared" si="41"/>
        <v>3566434.6432374171</v>
      </c>
    </row>
    <row r="775" spans="1:22" x14ac:dyDescent="0.3">
      <c r="A775" s="7" t="s">
        <v>151</v>
      </c>
      <c r="B775" s="7">
        <v>12</v>
      </c>
      <c r="C775" s="8" t="s">
        <v>186</v>
      </c>
      <c r="D775" s="7" t="s">
        <v>188</v>
      </c>
      <c r="E775" s="7" t="s">
        <v>18</v>
      </c>
      <c r="F775" s="8" t="s">
        <v>19</v>
      </c>
      <c r="G775" s="7" t="s">
        <v>16</v>
      </c>
      <c r="H775" s="9">
        <v>7705.4571999999998</v>
      </c>
      <c r="I775" s="9">
        <v>20.308499999999999</v>
      </c>
      <c r="J775" s="9">
        <v>20.308499999999999</v>
      </c>
      <c r="K775" s="10">
        <v>1</v>
      </c>
      <c r="L775" s="9">
        <v>248.56</v>
      </c>
      <c r="M775" s="19">
        <f>H775*INDEX('Pliegos Tarifarios (Quilicura)'!$B:$B,MATCH($B775,'Pliegos Tarifarios (Quilicura)'!$A:$A,0))</f>
        <v>1015294.1570436</v>
      </c>
      <c r="N775" s="19">
        <f>I775*INDEX('Pliegos Tarifarios (Quilicura)'!$C:$C,MATCH($B775,'Pliegos Tarifarios (Quilicura)'!$A:$A,0))</f>
        <v>70368.607255499999</v>
      </c>
      <c r="O775" s="19">
        <f>J775*INDEX('Pliegos Tarifarios (Quilicura)'!$D:$D,MATCH($B775,'Pliegos Tarifarios (Quilicura)'!$A:$A,0))</f>
        <v>295262.21491649997</v>
      </c>
      <c r="P775" s="19">
        <f>H775*INDEX('Pliegos Tarifarios (Quilicura)'!$E:$E,MATCH($B775,'Pliegos Tarifarios (Quilicura)'!$A:$A,0))</f>
        <v>100355.87457279999</v>
      </c>
      <c r="Q775" s="19" cm="1">
        <f t="array" ref="Q775">H775*_xlfn.IFS(H775&lt;=350,INDEX('Pliegos Tarifarios (Quilicura)'!$F:$F,MATCH($B775,'Pliegos Tarifarios (Quilicura)'!$A:$A,0)),H775&lt;=500,INDEX('Pliegos Tarifarios (Quilicura)'!$G:$G,MATCH($B775,'Pliegos Tarifarios (Quilicura)'!$A:$A,0)),H775&lt;=1000,INDEX('Pliegos Tarifarios (Quilicura)'!$H:$H,MATCH($B775,'Pliegos Tarifarios (Quilicura)'!$A:$A,0)),H775&lt;=5000,INDEX('Pliegos Tarifarios (Quilicura)'!$I:$I,MATCH($B775,'Pliegos Tarifarios (Quilicura)'!$A:$A,0)),H775&gt;5000,INDEX('Pliegos Tarifarios (Quilicura)'!$J:$J,MATCH($B775,'Pliegos Tarifarios (Quilicura)'!$A:$A,0)))/1.19</f>
        <v>25745.292291764705</v>
      </c>
      <c r="R775" s="19">
        <f>INDEX('Pliegos Tarifarios (Quilicura)'!$K:$K,MATCH($B775,'Pliegos Tarifarios (Quilicura)'!$A:$A,0))</f>
        <v>733.35299999999995</v>
      </c>
      <c r="S775" s="21">
        <f t="shared" si="39"/>
        <v>1507759.4990801646</v>
      </c>
      <c r="T775" s="21">
        <f t="shared" si="40"/>
        <v>286474.30482523126</v>
      </c>
      <c r="U775" s="19">
        <v>0</v>
      </c>
      <c r="V775" s="21">
        <f t="shared" si="41"/>
        <v>1794233.8039053958</v>
      </c>
    </row>
    <row r="776" spans="1:22" x14ac:dyDescent="0.3">
      <c r="A776" s="7" t="s">
        <v>151</v>
      </c>
      <c r="B776" s="7">
        <v>12</v>
      </c>
      <c r="C776" s="8" t="s">
        <v>186</v>
      </c>
      <c r="D776" s="7" t="s">
        <v>189</v>
      </c>
      <c r="E776" s="7" t="s">
        <v>18</v>
      </c>
      <c r="F776" s="8" t="s">
        <v>21</v>
      </c>
      <c r="G776" s="7" t="s">
        <v>16</v>
      </c>
      <c r="H776" s="9">
        <v>6163.8698000000004</v>
      </c>
      <c r="I776" s="9">
        <v>16.471800000000002</v>
      </c>
      <c r="J776" s="9">
        <v>16.471800000000002</v>
      </c>
      <c r="K776" s="10">
        <v>1</v>
      </c>
      <c r="L776" s="9">
        <v>198.83</v>
      </c>
      <c r="M776" s="19">
        <f>H776*INDEX('Pliegos Tarifarios (Quilicura)'!$B:$B,MATCH($B776,'Pliegos Tarifarios (Quilicura)'!$A:$A,0))</f>
        <v>812169.97645740013</v>
      </c>
      <c r="N776" s="19">
        <f>I776*INDEX('Pliegos Tarifarios (Quilicura)'!$C:$C,MATCH($B776,'Pliegos Tarifarios (Quilicura)'!$A:$A,0))</f>
        <v>57074.506979400008</v>
      </c>
      <c r="O776" s="19">
        <f>J776*INDEX('Pliegos Tarifarios (Quilicura)'!$D:$D,MATCH($B776,'Pliegos Tarifarios (Quilicura)'!$A:$A,0))</f>
        <v>239481.01295820004</v>
      </c>
      <c r="P776" s="19">
        <f>H776*INDEX('Pliegos Tarifarios (Quilicura)'!$E:$E,MATCH($B776,'Pliegos Tarifarios (Quilicura)'!$A:$A,0))</f>
        <v>80278.240275200005</v>
      </c>
      <c r="Q776" s="19" cm="1">
        <f t="array" ref="Q776">H776*_xlfn.IFS(H776&lt;=350,INDEX('Pliegos Tarifarios (Quilicura)'!$F:$F,MATCH($B776,'Pliegos Tarifarios (Quilicura)'!$A:$A,0)),H776&lt;=500,INDEX('Pliegos Tarifarios (Quilicura)'!$G:$G,MATCH($B776,'Pliegos Tarifarios (Quilicura)'!$A:$A,0)),H776&lt;=1000,INDEX('Pliegos Tarifarios (Quilicura)'!$H:$H,MATCH($B776,'Pliegos Tarifarios (Quilicura)'!$A:$A,0)),H776&lt;=5000,INDEX('Pliegos Tarifarios (Quilicura)'!$I:$I,MATCH($B776,'Pliegos Tarifarios (Quilicura)'!$A:$A,0)),H776&gt;5000,INDEX('Pliegos Tarifarios (Quilicura)'!$J:$J,MATCH($B776,'Pliegos Tarifarios (Quilicura)'!$A:$A,0)))/1.19</f>
        <v>20594.576743529415</v>
      </c>
      <c r="R776" s="19">
        <f>INDEX('Pliegos Tarifarios (Quilicura)'!$K:$K,MATCH($B776,'Pliegos Tarifarios (Quilicura)'!$A:$A,0))</f>
        <v>733.35299999999995</v>
      </c>
      <c r="S776" s="21">
        <f t="shared" si="39"/>
        <v>1210331.6664137295</v>
      </c>
      <c r="T776" s="21">
        <f t="shared" si="40"/>
        <v>229963.01661860861</v>
      </c>
      <c r="U776" s="19">
        <v>0</v>
      </c>
      <c r="V776" s="21">
        <f t="shared" si="41"/>
        <v>1440294.683032338</v>
      </c>
    </row>
    <row r="777" spans="1:22" x14ac:dyDescent="0.3">
      <c r="A777" s="7" t="s">
        <v>151</v>
      </c>
      <c r="B777" s="7">
        <v>12</v>
      </c>
      <c r="C777" s="8" t="s">
        <v>186</v>
      </c>
      <c r="D777" s="7" t="s">
        <v>190</v>
      </c>
      <c r="E777" s="7" t="s">
        <v>18</v>
      </c>
      <c r="F777" s="8" t="s">
        <v>23</v>
      </c>
      <c r="G777" s="7" t="s">
        <v>16</v>
      </c>
      <c r="H777" s="9">
        <v>5144.2809999999999</v>
      </c>
      <c r="I777" s="9">
        <v>13.4794</v>
      </c>
      <c r="J777" s="9">
        <v>13.2738</v>
      </c>
      <c r="K777" s="10">
        <v>0.98474709556805196</v>
      </c>
      <c r="L777" s="9">
        <v>165.94</v>
      </c>
      <c r="M777" s="19">
        <f>H777*INDEX('Pliegos Tarifarios (Quilicura)'!$B:$B,MATCH($B777,'Pliegos Tarifarios (Quilicura)'!$A:$A,0))</f>
        <v>677825.89740300004</v>
      </c>
      <c r="N777" s="19">
        <f>I777*INDEX('Pliegos Tarifarios (Quilicura)'!$C:$C,MATCH($B777,'Pliegos Tarifarios (Quilicura)'!$A:$A,0))</f>
        <v>46705.891850200001</v>
      </c>
      <c r="O777" s="19">
        <f>J777*INDEX('Pliegos Tarifarios (Quilicura)'!$D:$D,MATCH($B777,'Pliegos Tarifarios (Quilicura)'!$A:$A,0))</f>
        <v>192985.77385619999</v>
      </c>
      <c r="P777" s="19">
        <f>H777*INDEX('Pliegos Tarifarios (Quilicura)'!$E:$E,MATCH($B777,'Pliegos Tarifarios (Quilicura)'!$A:$A,0))</f>
        <v>66999.115743999995</v>
      </c>
      <c r="Q777" s="19" cm="1">
        <f t="array" ref="Q777">H777*_xlfn.IFS(H777&lt;=350,INDEX('Pliegos Tarifarios (Quilicura)'!$F:$F,MATCH($B777,'Pliegos Tarifarios (Quilicura)'!$A:$A,0)),H777&lt;=500,INDEX('Pliegos Tarifarios (Quilicura)'!$G:$G,MATCH($B777,'Pliegos Tarifarios (Quilicura)'!$A:$A,0)),H777&lt;=1000,INDEX('Pliegos Tarifarios (Quilicura)'!$H:$H,MATCH($B777,'Pliegos Tarifarios (Quilicura)'!$A:$A,0)),H777&lt;=5000,INDEX('Pliegos Tarifarios (Quilicura)'!$I:$I,MATCH($B777,'Pliegos Tarifarios (Quilicura)'!$A:$A,0)),H777&gt;5000,INDEX('Pliegos Tarifarios (Quilicura)'!$J:$J,MATCH($B777,'Pliegos Tarifarios (Quilicura)'!$A:$A,0)))/1.19</f>
        <v>17187.950635294117</v>
      </c>
      <c r="R777" s="19">
        <f>INDEX('Pliegos Tarifarios (Quilicura)'!$K:$K,MATCH($B777,'Pliegos Tarifarios (Quilicura)'!$A:$A,0))</f>
        <v>733.35299999999995</v>
      </c>
      <c r="S777" s="21">
        <f t="shared" si="39"/>
        <v>1002437.982488694</v>
      </c>
      <c r="T777" s="21">
        <f t="shared" si="40"/>
        <v>190463.21667285188</v>
      </c>
      <c r="U777" s="19">
        <v>0</v>
      </c>
      <c r="V777" s="21">
        <f t="shared" si="41"/>
        <v>1192901.1991615458</v>
      </c>
    </row>
    <row r="778" spans="1:22" x14ac:dyDescent="0.3">
      <c r="A778" s="7" t="s">
        <v>151</v>
      </c>
      <c r="B778" s="7">
        <v>12</v>
      </c>
      <c r="C778" s="8" t="s">
        <v>186</v>
      </c>
      <c r="D778" s="7" t="s">
        <v>191</v>
      </c>
      <c r="E778" s="7" t="s">
        <v>18</v>
      </c>
      <c r="F778" s="8" t="s">
        <v>25</v>
      </c>
      <c r="G778" s="7" t="s">
        <v>16</v>
      </c>
      <c r="H778" s="9">
        <v>5556.9251000000004</v>
      </c>
      <c r="I778" s="9">
        <v>14.523</v>
      </c>
      <c r="J778" s="9">
        <v>14.523</v>
      </c>
      <c r="K778" s="10">
        <v>1</v>
      </c>
      <c r="L778" s="9">
        <v>179.26</v>
      </c>
      <c r="M778" s="19">
        <f>H778*INDEX('Pliegos Tarifarios (Quilicura)'!$B:$B,MATCH($B778,'Pliegos Tarifarios (Quilicura)'!$A:$A,0))</f>
        <v>732197.12195130007</v>
      </c>
      <c r="N778" s="19">
        <f>I778*INDEX('Pliegos Tarifarios (Quilicura)'!$C:$C,MATCH($B778,'Pliegos Tarifarios (Quilicura)'!$A:$A,0))</f>
        <v>50321.948109000004</v>
      </c>
      <c r="O778" s="19">
        <f>J778*INDEX('Pliegos Tarifarios (Quilicura)'!$D:$D,MATCH($B778,'Pliegos Tarifarios (Quilicura)'!$A:$A,0))</f>
        <v>211147.704027</v>
      </c>
      <c r="P778" s="19">
        <f>H778*INDEX('Pliegos Tarifarios (Quilicura)'!$E:$E,MATCH($B778,'Pliegos Tarifarios (Quilicura)'!$A:$A,0))</f>
        <v>72373.392502400005</v>
      </c>
      <c r="Q778" s="19" cm="1">
        <f t="array" ref="Q778">H778*_xlfn.IFS(H778&lt;=350,INDEX('Pliegos Tarifarios (Quilicura)'!$F:$F,MATCH($B778,'Pliegos Tarifarios (Quilicura)'!$A:$A,0)),H778&lt;=500,INDEX('Pliegos Tarifarios (Quilicura)'!$G:$G,MATCH($B778,'Pliegos Tarifarios (Quilicura)'!$A:$A,0)),H778&lt;=1000,INDEX('Pliegos Tarifarios (Quilicura)'!$H:$H,MATCH($B778,'Pliegos Tarifarios (Quilicura)'!$A:$A,0)),H778&lt;=5000,INDEX('Pliegos Tarifarios (Quilicura)'!$I:$I,MATCH($B778,'Pliegos Tarifarios (Quilicura)'!$A:$A,0)),H778&gt;5000,INDEX('Pliegos Tarifarios (Quilicura)'!$J:$J,MATCH($B778,'Pliegos Tarifarios (Quilicura)'!$A:$A,0)))/1.19</f>
        <v>18566.667392941177</v>
      </c>
      <c r="R778" s="19">
        <f>INDEX('Pliegos Tarifarios (Quilicura)'!$K:$K,MATCH($B778,'Pliegos Tarifarios (Quilicura)'!$A:$A,0))</f>
        <v>733.35299999999995</v>
      </c>
      <c r="S778" s="21">
        <f t="shared" si="39"/>
        <v>1085340.1869826412</v>
      </c>
      <c r="T778" s="21">
        <f t="shared" si="40"/>
        <v>206214.63552670184</v>
      </c>
      <c r="U778" s="19">
        <v>0</v>
      </c>
      <c r="V778" s="21">
        <f t="shared" si="41"/>
        <v>1291554.822509343</v>
      </c>
    </row>
    <row r="779" spans="1:22" x14ac:dyDescent="0.3">
      <c r="A779" s="7" t="s">
        <v>151</v>
      </c>
      <c r="B779" s="7">
        <v>12</v>
      </c>
      <c r="C779" s="8" t="s">
        <v>186</v>
      </c>
      <c r="D779" s="7" t="s">
        <v>192</v>
      </c>
      <c r="E779" s="7" t="s">
        <v>18</v>
      </c>
      <c r="F779" s="8" t="s">
        <v>27</v>
      </c>
      <c r="G779" s="7" t="s">
        <v>16</v>
      </c>
      <c r="H779" s="9">
        <v>3707.4477000000002</v>
      </c>
      <c r="I779" s="9">
        <v>9.9414999999999996</v>
      </c>
      <c r="J779" s="9">
        <v>9.6761999999999997</v>
      </c>
      <c r="K779" s="10">
        <v>0.97331388623447168</v>
      </c>
      <c r="L779" s="9">
        <v>119.6</v>
      </c>
      <c r="M779" s="19">
        <f>H779*INDEX('Pliegos Tarifarios (Quilicura)'!$B:$B,MATCH($B779,'Pliegos Tarifarios (Quilicura)'!$A:$A,0))</f>
        <v>488504.43129510002</v>
      </c>
      <c r="N779" s="19">
        <f>I779*INDEX('Pliegos Tarifarios (Quilicura)'!$C:$C,MATCH($B779,'Pliegos Tarifarios (Quilicura)'!$A:$A,0))</f>
        <v>34447.128494500001</v>
      </c>
      <c r="O779" s="19">
        <f>J779*INDEX('Pliegos Tarifarios (Quilicura)'!$D:$D,MATCH($B779,'Pliegos Tarifarios (Quilicura)'!$A:$A,0))</f>
        <v>140680.81069379998</v>
      </c>
      <c r="P779" s="19">
        <f>H779*INDEX('Pliegos Tarifarios (Quilicura)'!$E:$E,MATCH($B779,'Pliegos Tarifarios (Quilicura)'!$A:$A,0))</f>
        <v>48285.798844799996</v>
      </c>
      <c r="Q779" s="19" cm="1">
        <f t="array" ref="Q779">H779*_xlfn.IFS(H779&lt;=350,INDEX('Pliegos Tarifarios (Quilicura)'!$F:$F,MATCH($B779,'Pliegos Tarifarios (Quilicura)'!$A:$A,0)),H779&lt;=500,INDEX('Pliegos Tarifarios (Quilicura)'!$G:$G,MATCH($B779,'Pliegos Tarifarios (Quilicura)'!$A:$A,0)),H779&lt;=1000,INDEX('Pliegos Tarifarios (Quilicura)'!$H:$H,MATCH($B779,'Pliegos Tarifarios (Quilicura)'!$A:$A,0)),H779&lt;=5000,INDEX('Pliegos Tarifarios (Quilicura)'!$I:$I,MATCH($B779,'Pliegos Tarifarios (Quilicura)'!$A:$A,0)),H779&gt;5000,INDEX('Pliegos Tarifarios (Quilicura)'!$J:$J,MATCH($B779,'Pliegos Tarifarios (Quilicura)'!$A:$A,0)))/1.19</f>
        <v>11346.659263361345</v>
      </c>
      <c r="R779" s="19">
        <f>INDEX('Pliegos Tarifarios (Quilicura)'!$K:$K,MATCH($B779,'Pliegos Tarifarios (Quilicura)'!$A:$A,0))</f>
        <v>733.35299999999995</v>
      </c>
      <c r="S779" s="21">
        <f t="shared" si="39"/>
        <v>723998.18159156141</v>
      </c>
      <c r="T779" s="21">
        <f t="shared" si="40"/>
        <v>137559.65450239668</v>
      </c>
      <c r="U779" s="19">
        <v>0</v>
      </c>
      <c r="V779" s="21">
        <f t="shared" si="41"/>
        <v>861557.83609395812</v>
      </c>
    </row>
    <row r="780" spans="1:22" x14ac:dyDescent="0.3">
      <c r="A780" s="7" t="s">
        <v>151</v>
      </c>
      <c r="B780" s="7">
        <v>12</v>
      </c>
      <c r="C780" s="8" t="s">
        <v>186</v>
      </c>
      <c r="D780" s="7" t="s">
        <v>193</v>
      </c>
      <c r="E780" s="7" t="s">
        <v>18</v>
      </c>
      <c r="F780" s="8" t="s">
        <v>29</v>
      </c>
      <c r="G780" s="7" t="s">
        <v>30</v>
      </c>
      <c r="H780" s="9">
        <v>1235.6579999999999</v>
      </c>
      <c r="I780" s="9">
        <v>3.2544</v>
      </c>
      <c r="J780" s="9">
        <v>3.1575000000000002</v>
      </c>
      <c r="K780" s="10">
        <v>0.97022492625368739</v>
      </c>
      <c r="L780" s="9">
        <v>39.86</v>
      </c>
      <c r="M780" s="19">
        <f>H780*INDEX('Pliegos Tarifarios (Quilicura)'!$B:$B,MATCH($B780,'Pliegos Tarifarios (Quilicura)'!$A:$A,0))</f>
        <v>162814.00505399998</v>
      </c>
      <c r="N780" s="19">
        <f>I780*INDEX('Pliegos Tarifarios (Quilicura)'!$C:$C,MATCH($B780,'Pliegos Tarifarios (Quilicura)'!$A:$A,0))</f>
        <v>11276.4406752</v>
      </c>
      <c r="O780" s="19">
        <f>J780*INDEX('Pliegos Tarifarios (Quilicura)'!$D:$D,MATCH($B780,'Pliegos Tarifarios (Quilicura)'!$A:$A,0))</f>
        <v>45906.4157175</v>
      </c>
      <c r="P780" s="19">
        <f>H780*INDEX('Pliegos Tarifarios (Quilicura)'!$E:$E,MATCH($B780,'Pliegos Tarifarios (Quilicura)'!$A:$A,0))</f>
        <v>16093.209791999998</v>
      </c>
      <c r="Q780" s="19" cm="1">
        <f t="array" ref="Q780">H780*_xlfn.IFS(H780&lt;=350,INDEX('Pliegos Tarifarios (Quilicura)'!$F:$F,MATCH($B780,'Pliegos Tarifarios (Quilicura)'!$A:$A,0)),H780&lt;=500,INDEX('Pliegos Tarifarios (Quilicura)'!$G:$G,MATCH($B780,'Pliegos Tarifarios (Quilicura)'!$A:$A,0)),H780&lt;=1000,INDEX('Pliegos Tarifarios (Quilicura)'!$H:$H,MATCH($B780,'Pliegos Tarifarios (Quilicura)'!$A:$A,0)),H780&lt;=5000,INDEX('Pliegos Tarifarios (Quilicura)'!$I:$I,MATCH($B780,'Pliegos Tarifarios (Quilicura)'!$A:$A,0)),H780&gt;5000,INDEX('Pliegos Tarifarios (Quilicura)'!$J:$J,MATCH($B780,'Pliegos Tarifarios (Quilicura)'!$A:$A,0)))/1.19</f>
        <v>3781.7365008403362</v>
      </c>
      <c r="R780" s="19">
        <f>INDEX('Pliegos Tarifarios (Quilicura)'!$K:$K,MATCH($B780,'Pliegos Tarifarios (Quilicura)'!$A:$A,0))</f>
        <v>733.35299999999995</v>
      </c>
      <c r="S780" s="21">
        <f t="shared" si="39"/>
        <v>240605.16073954033</v>
      </c>
      <c r="T780" s="21">
        <f t="shared" si="40"/>
        <v>45714.980540512661</v>
      </c>
      <c r="U780" s="19">
        <v>0</v>
      </c>
      <c r="V780" s="21">
        <f t="shared" si="41"/>
        <v>286320.14128005301</v>
      </c>
    </row>
    <row r="781" spans="1:22" x14ac:dyDescent="0.3">
      <c r="A781" s="7" t="s">
        <v>151</v>
      </c>
      <c r="B781" s="7">
        <v>12</v>
      </c>
      <c r="C781" s="8" t="s">
        <v>186</v>
      </c>
      <c r="D781" s="7" t="s">
        <v>194</v>
      </c>
      <c r="E781" s="7" t="s">
        <v>18</v>
      </c>
      <c r="F781" s="8" t="s">
        <v>32</v>
      </c>
      <c r="G781" s="7" t="s">
        <v>16</v>
      </c>
      <c r="H781" s="9">
        <v>3703.9713999999999</v>
      </c>
      <c r="I781" s="9">
        <v>9.6248000000000005</v>
      </c>
      <c r="J781" s="9">
        <v>9.5311000000000003</v>
      </c>
      <c r="K781" s="10">
        <v>0.990264732773668</v>
      </c>
      <c r="L781" s="9">
        <v>119.48</v>
      </c>
      <c r="M781" s="19">
        <f>H781*INDEX('Pliegos Tarifarios (Quilicura)'!$B:$B,MATCH($B781,'Pliegos Tarifarios (Quilicura)'!$A:$A,0))</f>
        <v>488046.38357820001</v>
      </c>
      <c r="N781" s="19">
        <f>I781*INDEX('Pliegos Tarifarios (Quilicura)'!$C:$C,MATCH($B781,'Pliegos Tarifarios (Quilicura)'!$A:$A,0))</f>
        <v>33349.768378400004</v>
      </c>
      <c r="O781" s="19">
        <f>J781*INDEX('Pliegos Tarifarios (Quilicura)'!$D:$D,MATCH($B781,'Pliegos Tarifarios (Quilicura)'!$A:$A,0))</f>
        <v>138571.2237039</v>
      </c>
      <c r="P781" s="19">
        <f>H781*INDEX('Pliegos Tarifarios (Quilicura)'!$E:$E,MATCH($B781,'Pliegos Tarifarios (Quilicura)'!$A:$A,0))</f>
        <v>48240.523513599997</v>
      </c>
      <c r="Q781" s="19" cm="1">
        <f t="array" ref="Q781">H781*_xlfn.IFS(H781&lt;=350,INDEX('Pliegos Tarifarios (Quilicura)'!$F:$F,MATCH($B781,'Pliegos Tarifarios (Quilicura)'!$A:$A,0)),H781&lt;=500,INDEX('Pliegos Tarifarios (Quilicura)'!$G:$G,MATCH($B781,'Pliegos Tarifarios (Quilicura)'!$A:$A,0)),H781&lt;=1000,INDEX('Pliegos Tarifarios (Quilicura)'!$H:$H,MATCH($B781,'Pliegos Tarifarios (Quilicura)'!$A:$A,0)),H781&lt;=5000,INDEX('Pliegos Tarifarios (Quilicura)'!$I:$I,MATCH($B781,'Pliegos Tarifarios (Quilicura)'!$A:$A,0)),H781&gt;5000,INDEX('Pliegos Tarifarios (Quilicura)'!$J:$J,MATCH($B781,'Pliegos Tarifarios (Quilicura)'!$A:$A,0)))/1.19</f>
        <v>11336.020032605042</v>
      </c>
      <c r="R781" s="19">
        <f>INDEX('Pliegos Tarifarios (Quilicura)'!$K:$K,MATCH($B781,'Pliegos Tarifarios (Quilicura)'!$A:$A,0))</f>
        <v>733.35299999999995</v>
      </c>
      <c r="S781" s="21">
        <f t="shared" si="39"/>
        <v>720277.27220670506</v>
      </c>
      <c r="T781" s="21">
        <f t="shared" si="40"/>
        <v>136852.68171927397</v>
      </c>
      <c r="U781" s="19">
        <v>0</v>
      </c>
      <c r="V781" s="21">
        <f t="shared" si="41"/>
        <v>857129.95392597909</v>
      </c>
    </row>
    <row r="782" spans="1:22" x14ac:dyDescent="0.3">
      <c r="A782" s="7" t="s">
        <v>151</v>
      </c>
      <c r="B782" s="7">
        <v>12</v>
      </c>
      <c r="C782" s="8" t="s">
        <v>186</v>
      </c>
      <c r="D782" s="7" t="s">
        <v>195</v>
      </c>
      <c r="E782" s="7" t="s">
        <v>34</v>
      </c>
      <c r="F782" s="8" t="s">
        <v>35</v>
      </c>
      <c r="G782" s="7" t="s">
        <v>30</v>
      </c>
      <c r="H782" s="9">
        <v>1543.1550999999999</v>
      </c>
      <c r="I782" s="9">
        <v>4.0658000000000003</v>
      </c>
      <c r="J782" s="9">
        <v>4.0157999999999996</v>
      </c>
      <c r="K782" s="10">
        <v>0.98770229721088088</v>
      </c>
      <c r="L782" s="9">
        <v>49.78</v>
      </c>
      <c r="M782" s="19">
        <f>H782*INDEX('Pliegos Tarifarios (Quilicura)'!$B:$B,MATCH($B782,'Pliegos Tarifarios (Quilicura)'!$A:$A,0))</f>
        <v>203330.74544130001</v>
      </c>
      <c r="N782" s="19">
        <f>I782*INDEX('Pliegos Tarifarios (Quilicura)'!$C:$C,MATCH($B782,'Pliegos Tarifarios (Quilicura)'!$A:$A,0))</f>
        <v>14087.927881400003</v>
      </c>
      <c r="O782" s="19">
        <f>J782*INDEX('Pliegos Tarifarios (Quilicura)'!$D:$D,MATCH($B782,'Pliegos Tarifarios (Quilicura)'!$A:$A,0))</f>
        <v>58385.109814199997</v>
      </c>
      <c r="P782" s="19">
        <f>H782*INDEX('Pliegos Tarifarios (Quilicura)'!$E:$E,MATCH($B782,'Pliegos Tarifarios (Quilicura)'!$A:$A,0))</f>
        <v>20098.052022399999</v>
      </c>
      <c r="Q782" s="19" cm="1">
        <f t="array" ref="Q782">H782*_xlfn.IFS(H782&lt;=350,INDEX('Pliegos Tarifarios (Quilicura)'!$F:$F,MATCH($B782,'Pliegos Tarifarios (Quilicura)'!$A:$A,0)),H782&lt;=500,INDEX('Pliegos Tarifarios (Quilicura)'!$G:$G,MATCH($B782,'Pliegos Tarifarios (Quilicura)'!$A:$A,0)),H782&lt;=1000,INDEX('Pliegos Tarifarios (Quilicura)'!$H:$H,MATCH($B782,'Pliegos Tarifarios (Quilicura)'!$A:$A,0)),H782&lt;=5000,INDEX('Pliegos Tarifarios (Quilicura)'!$I:$I,MATCH($B782,'Pliegos Tarifarios (Quilicura)'!$A:$A,0)),H782&gt;5000,INDEX('Pliegos Tarifarios (Quilicura)'!$J:$J,MATCH($B782,'Pliegos Tarifarios (Quilicura)'!$A:$A,0)))/1.19</f>
        <v>4722.8326673949587</v>
      </c>
      <c r="R782" s="19">
        <f>INDEX('Pliegos Tarifarios (Quilicura)'!$K:$K,MATCH($B782,'Pliegos Tarifarios (Quilicura)'!$A:$A,0))</f>
        <v>733.35299999999995</v>
      </c>
      <c r="S782" s="21">
        <f t="shared" si="39"/>
        <v>301358.02082669502</v>
      </c>
      <c r="T782" s="21">
        <f t="shared" si="40"/>
        <v>57258.023957072051</v>
      </c>
      <c r="U782" s="19">
        <v>0</v>
      </c>
      <c r="V782" s="21">
        <f t="shared" si="41"/>
        <v>358616.04478376708</v>
      </c>
    </row>
    <row r="783" spans="1:22" x14ac:dyDescent="0.3">
      <c r="A783" s="7" t="s">
        <v>151</v>
      </c>
      <c r="B783" s="7">
        <v>12</v>
      </c>
      <c r="C783" s="8" t="s">
        <v>186</v>
      </c>
      <c r="D783" s="7" t="s">
        <v>196</v>
      </c>
      <c r="E783" s="7" t="s">
        <v>34</v>
      </c>
      <c r="F783" s="8" t="s">
        <v>37</v>
      </c>
      <c r="G783" s="7" t="s">
        <v>30</v>
      </c>
      <c r="H783" s="9">
        <v>1233.1373000000001</v>
      </c>
      <c r="I783" s="9">
        <v>3.234</v>
      </c>
      <c r="J783" s="9">
        <v>3.1999</v>
      </c>
      <c r="K783" s="10">
        <v>0.98945578231292519</v>
      </c>
      <c r="L783" s="9">
        <v>39.78</v>
      </c>
      <c r="M783" s="19">
        <f>H783*INDEX('Pliegos Tarifarios (Quilicura)'!$B:$B,MATCH($B783,'Pliegos Tarifarios (Quilicura)'!$A:$A,0))</f>
        <v>162481.87005990001</v>
      </c>
      <c r="N783" s="19">
        <f>I783*INDEX('Pliegos Tarifarios (Quilicura)'!$C:$C,MATCH($B783,'Pliegos Tarifarios (Quilicura)'!$A:$A,0))</f>
        <v>11205.755022000001</v>
      </c>
      <c r="O783" s="19">
        <f>J783*INDEX('Pliegos Tarifarios (Quilicura)'!$D:$D,MATCH($B783,'Pliegos Tarifarios (Quilicura)'!$A:$A,0))</f>
        <v>46522.862915099999</v>
      </c>
      <c r="P783" s="19">
        <f>H783*INDEX('Pliegos Tarifarios (Quilicura)'!$E:$E,MATCH($B783,'Pliegos Tarifarios (Quilicura)'!$A:$A,0))</f>
        <v>16060.380195199999</v>
      </c>
      <c r="Q783" s="19" cm="1">
        <f t="array" ref="Q783">H783*_xlfn.IFS(H783&lt;=350,INDEX('Pliegos Tarifarios (Quilicura)'!$F:$F,MATCH($B783,'Pliegos Tarifarios (Quilicura)'!$A:$A,0)),H783&lt;=500,INDEX('Pliegos Tarifarios (Quilicura)'!$G:$G,MATCH($B783,'Pliegos Tarifarios (Quilicura)'!$A:$A,0)),H783&lt;=1000,INDEX('Pliegos Tarifarios (Quilicura)'!$H:$H,MATCH($B783,'Pliegos Tarifarios (Quilicura)'!$A:$A,0)),H783&lt;=5000,INDEX('Pliegos Tarifarios (Quilicura)'!$I:$I,MATCH($B783,'Pliegos Tarifarios (Quilicura)'!$A:$A,0)),H783&gt;5000,INDEX('Pliegos Tarifarios (Quilicura)'!$J:$J,MATCH($B783,'Pliegos Tarifarios (Quilicura)'!$A:$A,0)))/1.19</f>
        <v>3774.02188789916</v>
      </c>
      <c r="R783" s="19">
        <f>INDEX('Pliegos Tarifarios (Quilicura)'!$K:$K,MATCH($B783,'Pliegos Tarifarios (Quilicura)'!$A:$A,0))</f>
        <v>733.35299999999995</v>
      </c>
      <c r="S783" s="21">
        <f t="shared" si="39"/>
        <v>240778.2430800992</v>
      </c>
      <c r="T783" s="21">
        <f t="shared" si="40"/>
        <v>45747.866185218845</v>
      </c>
      <c r="U783" s="19">
        <v>0</v>
      </c>
      <c r="V783" s="21">
        <f t="shared" si="41"/>
        <v>286526.10926531802</v>
      </c>
    </row>
    <row r="784" spans="1:22" x14ac:dyDescent="0.3">
      <c r="A784" s="7" t="s">
        <v>151</v>
      </c>
      <c r="B784" s="7">
        <v>12</v>
      </c>
      <c r="C784" s="8" t="s">
        <v>186</v>
      </c>
      <c r="D784" s="7" t="s">
        <v>197</v>
      </c>
      <c r="E784" s="7" t="s">
        <v>34</v>
      </c>
      <c r="F784" s="8" t="s">
        <v>39</v>
      </c>
      <c r="G784" s="7" t="s">
        <v>30</v>
      </c>
      <c r="H784" s="9">
        <v>1233.5198</v>
      </c>
      <c r="I784" s="9">
        <v>3.2339000000000002</v>
      </c>
      <c r="J784" s="9">
        <v>3.1627000000000001</v>
      </c>
      <c r="K784" s="10">
        <v>0.97798324005071269</v>
      </c>
      <c r="L784" s="9">
        <v>39.79</v>
      </c>
      <c r="M784" s="19">
        <f>H784*INDEX('Pliegos Tarifarios (Quilicura)'!$B:$B,MATCH($B784,'Pliegos Tarifarios (Quilicura)'!$A:$A,0))</f>
        <v>162532.26940740002</v>
      </c>
      <c r="N784" s="19">
        <f>I784*INDEX('Pliegos Tarifarios (Quilicura)'!$C:$C,MATCH($B784,'Pliegos Tarifarios (Quilicura)'!$A:$A,0))</f>
        <v>11205.408523700002</v>
      </c>
      <c r="O784" s="19">
        <f>J784*INDEX('Pliegos Tarifarios (Quilicura)'!$D:$D,MATCH($B784,'Pliegos Tarifarios (Quilicura)'!$A:$A,0))</f>
        <v>45982.017732300003</v>
      </c>
      <c r="P784" s="19">
        <f>H784*INDEX('Pliegos Tarifarios (Quilicura)'!$E:$E,MATCH($B784,'Pliegos Tarifarios (Quilicura)'!$A:$A,0))</f>
        <v>16065.3618752</v>
      </c>
      <c r="Q784" s="19" cm="1">
        <f t="array" ref="Q784">H784*_xlfn.IFS(H784&lt;=350,INDEX('Pliegos Tarifarios (Quilicura)'!$F:$F,MATCH($B784,'Pliegos Tarifarios (Quilicura)'!$A:$A,0)),H784&lt;=500,INDEX('Pliegos Tarifarios (Quilicura)'!$G:$G,MATCH($B784,'Pliegos Tarifarios (Quilicura)'!$A:$A,0)),H784&lt;=1000,INDEX('Pliegos Tarifarios (Quilicura)'!$H:$H,MATCH($B784,'Pliegos Tarifarios (Quilicura)'!$A:$A,0)),H784&lt;=5000,INDEX('Pliegos Tarifarios (Quilicura)'!$I:$I,MATCH($B784,'Pliegos Tarifarios (Quilicura)'!$A:$A,0)),H784&gt;5000,INDEX('Pliegos Tarifarios (Quilicura)'!$J:$J,MATCH($B784,'Pliegos Tarifarios (Quilicura)'!$A:$A,0)))/1.19</f>
        <v>3775.1925307563024</v>
      </c>
      <c r="R784" s="19">
        <f>INDEX('Pliegos Tarifarios (Quilicura)'!$K:$K,MATCH($B784,'Pliegos Tarifarios (Quilicura)'!$A:$A,0))</f>
        <v>733.35299999999995</v>
      </c>
      <c r="S784" s="21">
        <f t="shared" si="39"/>
        <v>240293.60306935632</v>
      </c>
      <c r="T784" s="21">
        <f t="shared" si="40"/>
        <v>45655.784583177701</v>
      </c>
      <c r="U784" s="19">
        <v>0</v>
      </c>
      <c r="V784" s="21">
        <f t="shared" si="41"/>
        <v>285949.387652534</v>
      </c>
    </row>
    <row r="785" spans="1:22" x14ac:dyDescent="0.3">
      <c r="A785" s="7" t="s">
        <v>151</v>
      </c>
      <c r="B785" s="7">
        <v>12</v>
      </c>
      <c r="C785" s="8" t="s">
        <v>186</v>
      </c>
      <c r="D785" s="7" t="s">
        <v>198</v>
      </c>
      <c r="E785" s="7" t="s">
        <v>34</v>
      </c>
      <c r="F785" s="8" t="s">
        <v>41</v>
      </c>
      <c r="G785" s="7" t="s">
        <v>30</v>
      </c>
      <c r="H785" s="9">
        <v>925.87419999999997</v>
      </c>
      <c r="I785" s="9">
        <v>2.4064999999999999</v>
      </c>
      <c r="J785" s="9">
        <v>2.3984999999999999</v>
      </c>
      <c r="K785" s="10">
        <v>0.99667567006025348</v>
      </c>
      <c r="L785" s="9">
        <v>29.87</v>
      </c>
      <c r="M785" s="19">
        <f>H785*INDEX('Pliegos Tarifarios (Quilicura)'!$B:$B,MATCH($B785,'Pliegos Tarifarios (Quilicura)'!$A:$A,0))</f>
        <v>121995.9622146</v>
      </c>
      <c r="N785" s="19">
        <f>I785*INDEX('Pliegos Tarifarios (Quilicura)'!$C:$C,MATCH($B785,'Pliegos Tarifarios (Quilicura)'!$A:$A,0))</f>
        <v>8338.4815894999992</v>
      </c>
      <c r="O785" s="19">
        <f>J785*INDEX('Pliegos Tarifarios (Quilicura)'!$D:$D,MATCH($B785,'Pliegos Tarifarios (Quilicura)'!$A:$A,0))</f>
        <v>34871.429326500001</v>
      </c>
      <c r="P785" s="19">
        <f>H785*INDEX('Pliegos Tarifarios (Quilicura)'!$E:$E,MATCH($B785,'Pliegos Tarifarios (Quilicura)'!$A:$A,0))</f>
        <v>12058.5855808</v>
      </c>
      <c r="Q785" s="19" cm="1">
        <f t="array" ref="Q785">H785*_xlfn.IFS(H785&lt;=350,INDEX('Pliegos Tarifarios (Quilicura)'!$F:$F,MATCH($B785,'Pliegos Tarifarios (Quilicura)'!$A:$A,0)),H785&lt;=500,INDEX('Pliegos Tarifarios (Quilicura)'!$G:$G,MATCH($B785,'Pliegos Tarifarios (Quilicura)'!$A:$A,0)),H785&lt;=1000,INDEX('Pliegos Tarifarios (Quilicura)'!$H:$H,MATCH($B785,'Pliegos Tarifarios (Quilicura)'!$A:$A,0)),H785&lt;=5000,INDEX('Pliegos Tarifarios (Quilicura)'!$I:$I,MATCH($B785,'Pliegos Tarifarios (Quilicura)'!$A:$A,0)),H785&gt;5000,INDEX('Pliegos Tarifarios (Quilicura)'!$J:$J,MATCH($B785,'Pliegos Tarifarios (Quilicura)'!$A:$A,0)))/1.19</f>
        <v>2226.7663532773108</v>
      </c>
      <c r="R785" s="19">
        <f>INDEX('Pliegos Tarifarios (Quilicura)'!$K:$K,MATCH($B785,'Pliegos Tarifarios (Quilicura)'!$A:$A,0))</f>
        <v>733.35299999999995</v>
      </c>
      <c r="S785" s="21">
        <f t="shared" si="39"/>
        <v>180224.57806467733</v>
      </c>
      <c r="T785" s="21">
        <f t="shared" si="40"/>
        <v>34242.669832288695</v>
      </c>
      <c r="U785" s="19">
        <v>0</v>
      </c>
      <c r="V785" s="21">
        <f t="shared" si="41"/>
        <v>214467.24789696603</v>
      </c>
    </row>
    <row r="786" spans="1:22" x14ac:dyDescent="0.3">
      <c r="A786" s="7" t="s">
        <v>151</v>
      </c>
      <c r="B786" s="7">
        <v>12</v>
      </c>
      <c r="C786" s="8" t="s">
        <v>186</v>
      </c>
      <c r="D786" s="7" t="s">
        <v>199</v>
      </c>
      <c r="E786" s="7" t="s">
        <v>34</v>
      </c>
      <c r="F786" s="8" t="s">
        <v>43</v>
      </c>
      <c r="G786" s="7" t="s">
        <v>30</v>
      </c>
      <c r="H786" s="9">
        <v>924.35929999999996</v>
      </c>
      <c r="I786" s="9">
        <v>2.3895</v>
      </c>
      <c r="J786" s="9">
        <v>2.3719999999999999</v>
      </c>
      <c r="K786" s="10">
        <v>0.99267629211132036</v>
      </c>
      <c r="L786" s="9">
        <v>29.82</v>
      </c>
      <c r="M786" s="19">
        <f>H786*INDEX('Pliegos Tarifarios (Quilicura)'!$B:$B,MATCH($B786,'Pliegos Tarifarios (Quilicura)'!$A:$A,0))</f>
        <v>121796.3544459</v>
      </c>
      <c r="N786" s="19">
        <f>I786*INDEX('Pliegos Tarifarios (Quilicura)'!$C:$C,MATCH($B786,'Pliegos Tarifarios (Quilicura)'!$A:$A,0))</f>
        <v>8279.5768785</v>
      </c>
      <c r="O786" s="19">
        <f>J786*INDEX('Pliegos Tarifarios (Quilicura)'!$D:$D,MATCH($B786,'Pliegos Tarifarios (Quilicura)'!$A:$A,0))</f>
        <v>34486.149828000001</v>
      </c>
      <c r="P786" s="19">
        <f>H786*INDEX('Pliegos Tarifarios (Quilicura)'!$E:$E,MATCH($B786,'Pliegos Tarifarios (Quilicura)'!$A:$A,0))</f>
        <v>12038.855523199998</v>
      </c>
      <c r="Q786" s="19" cm="1">
        <f t="array" ref="Q786">H786*_xlfn.IFS(H786&lt;=350,INDEX('Pliegos Tarifarios (Quilicura)'!$F:$F,MATCH($B786,'Pliegos Tarifarios (Quilicura)'!$A:$A,0)),H786&lt;=500,INDEX('Pliegos Tarifarios (Quilicura)'!$G:$G,MATCH($B786,'Pliegos Tarifarios (Quilicura)'!$A:$A,0)),H786&lt;=1000,INDEX('Pliegos Tarifarios (Quilicura)'!$H:$H,MATCH($B786,'Pliegos Tarifarios (Quilicura)'!$A:$A,0)),H786&lt;=5000,INDEX('Pliegos Tarifarios (Quilicura)'!$I:$I,MATCH($B786,'Pliegos Tarifarios (Quilicura)'!$A:$A,0)),H786&gt;5000,INDEX('Pliegos Tarifarios (Quilicura)'!$J:$J,MATCH($B786,'Pliegos Tarifarios (Quilicura)'!$A:$A,0)))/1.19</f>
        <v>2223.1229551260508</v>
      </c>
      <c r="R786" s="19">
        <f>INDEX('Pliegos Tarifarios (Quilicura)'!$K:$K,MATCH($B786,'Pliegos Tarifarios (Quilicura)'!$A:$A,0))</f>
        <v>733.35299999999995</v>
      </c>
      <c r="S786" s="21">
        <f t="shared" si="39"/>
        <v>179557.41263072606</v>
      </c>
      <c r="T786" s="21">
        <f t="shared" si="40"/>
        <v>34115.90839983795</v>
      </c>
      <c r="U786" s="19">
        <v>0</v>
      </c>
      <c r="V786" s="21">
        <f t="shared" si="41"/>
        <v>213673.32103056402</v>
      </c>
    </row>
    <row r="787" spans="1:22" x14ac:dyDescent="0.3">
      <c r="A787" s="7" t="s">
        <v>151</v>
      </c>
      <c r="B787" s="7">
        <v>12</v>
      </c>
      <c r="C787" s="8" t="s">
        <v>186</v>
      </c>
      <c r="D787" s="7" t="s">
        <v>200</v>
      </c>
      <c r="E787" s="7" t="s">
        <v>34</v>
      </c>
      <c r="F787" s="8" t="s">
        <v>45</v>
      </c>
      <c r="G787" s="7" t="s">
        <v>30</v>
      </c>
      <c r="H787" s="9">
        <v>924.10910000000001</v>
      </c>
      <c r="I787" s="9">
        <v>2.4649000000000001</v>
      </c>
      <c r="J787" s="9">
        <v>2.4649000000000001</v>
      </c>
      <c r="K787" s="10">
        <v>1</v>
      </c>
      <c r="L787" s="9">
        <v>29.81</v>
      </c>
      <c r="M787" s="19">
        <f>H787*INDEX('Pliegos Tarifarios (Quilicura)'!$B:$B,MATCH($B787,'Pliegos Tarifarios (Quilicura)'!$A:$A,0))</f>
        <v>121763.38734330001</v>
      </c>
      <c r="N787" s="19">
        <f>I787*INDEX('Pliegos Tarifarios (Quilicura)'!$C:$C,MATCH($B787,'Pliegos Tarifarios (Quilicura)'!$A:$A,0))</f>
        <v>8540.8365967000009</v>
      </c>
      <c r="O787" s="19">
        <f>J787*INDEX('Pliegos Tarifarios (Quilicura)'!$D:$D,MATCH($B787,'Pliegos Tarifarios (Quilicura)'!$A:$A,0))</f>
        <v>35836.808900100004</v>
      </c>
      <c r="P787" s="19">
        <f>H787*INDEX('Pliegos Tarifarios (Quilicura)'!$E:$E,MATCH($B787,'Pliegos Tarifarios (Quilicura)'!$A:$A,0))</f>
        <v>12035.596918399999</v>
      </c>
      <c r="Q787" s="19" cm="1">
        <f t="array" ref="Q787">H787*_xlfn.IFS(H787&lt;=350,INDEX('Pliegos Tarifarios (Quilicura)'!$F:$F,MATCH($B787,'Pliegos Tarifarios (Quilicura)'!$A:$A,0)),H787&lt;=500,INDEX('Pliegos Tarifarios (Quilicura)'!$G:$G,MATCH($B787,'Pliegos Tarifarios (Quilicura)'!$A:$A,0)),H787&lt;=1000,INDEX('Pliegos Tarifarios (Quilicura)'!$H:$H,MATCH($B787,'Pliegos Tarifarios (Quilicura)'!$A:$A,0)),H787&lt;=5000,INDEX('Pliegos Tarifarios (Quilicura)'!$I:$I,MATCH($B787,'Pliegos Tarifarios (Quilicura)'!$A:$A,0)),H787&gt;5000,INDEX('Pliegos Tarifarios (Quilicura)'!$J:$J,MATCH($B787,'Pliegos Tarifarios (Quilicura)'!$A:$A,0)))/1.19</f>
        <v>2222.5212136134455</v>
      </c>
      <c r="R787" s="19">
        <f>INDEX('Pliegos Tarifarios (Quilicura)'!$K:$K,MATCH($B787,'Pliegos Tarifarios (Quilicura)'!$A:$A,0))</f>
        <v>733.35299999999995</v>
      </c>
      <c r="S787" s="21">
        <f t="shared" si="39"/>
        <v>181132.50397211345</v>
      </c>
      <c r="T787" s="21">
        <f t="shared" si="40"/>
        <v>34415.175754701559</v>
      </c>
      <c r="U787" s="19">
        <v>0</v>
      </c>
      <c r="V787" s="21">
        <f t="shared" si="41"/>
        <v>215547.67972681503</v>
      </c>
    </row>
    <row r="788" spans="1:22" x14ac:dyDescent="0.3">
      <c r="A788" s="7" t="s">
        <v>151</v>
      </c>
      <c r="B788" s="7">
        <v>12</v>
      </c>
      <c r="C788" s="8" t="s">
        <v>186</v>
      </c>
      <c r="D788" s="7" t="s">
        <v>201</v>
      </c>
      <c r="E788" s="7" t="s">
        <v>47</v>
      </c>
      <c r="F788" s="8" t="s">
        <v>48</v>
      </c>
      <c r="G788" s="7" t="s">
        <v>30</v>
      </c>
      <c r="H788" s="9">
        <v>925.79579999999999</v>
      </c>
      <c r="I788" s="9">
        <v>2.4453</v>
      </c>
      <c r="J788" s="9">
        <v>2.3679000000000001</v>
      </c>
      <c r="K788" s="10">
        <v>0.96834744203165257</v>
      </c>
      <c r="L788" s="9">
        <v>29.86</v>
      </c>
      <c r="M788" s="19">
        <f>H788*INDEX('Pliegos Tarifarios (Quilicura)'!$B:$B,MATCH($B788,'Pliegos Tarifarios (Quilicura)'!$A:$A,0))</f>
        <v>121985.63199540001</v>
      </c>
      <c r="N788" s="19">
        <f>I788*INDEX('Pliegos Tarifarios (Quilicura)'!$C:$C,MATCH($B788,'Pliegos Tarifarios (Quilicura)'!$A:$A,0))</f>
        <v>8472.9229298999999</v>
      </c>
      <c r="O788" s="19">
        <f>J788*INDEX('Pliegos Tarifarios (Quilicura)'!$D:$D,MATCH($B788,'Pliegos Tarifarios (Quilicura)'!$A:$A,0))</f>
        <v>34426.540547100005</v>
      </c>
      <c r="P788" s="19">
        <f>H788*INDEX('Pliegos Tarifarios (Quilicura)'!$E:$E,MATCH($B788,'Pliegos Tarifarios (Quilicura)'!$A:$A,0))</f>
        <v>12057.5644992</v>
      </c>
      <c r="Q788" s="19" cm="1">
        <f t="array" ref="Q788">H788*_xlfn.IFS(H788&lt;=350,INDEX('Pliegos Tarifarios (Quilicura)'!$F:$F,MATCH($B788,'Pliegos Tarifarios (Quilicura)'!$A:$A,0)),H788&lt;=500,INDEX('Pliegos Tarifarios (Quilicura)'!$G:$G,MATCH($B788,'Pliegos Tarifarios (Quilicura)'!$A:$A,0)),H788&lt;=1000,INDEX('Pliegos Tarifarios (Quilicura)'!$H:$H,MATCH($B788,'Pliegos Tarifarios (Quilicura)'!$A:$A,0)),H788&lt;=5000,INDEX('Pliegos Tarifarios (Quilicura)'!$I:$I,MATCH($B788,'Pliegos Tarifarios (Quilicura)'!$A:$A,0)),H788&gt;5000,INDEX('Pliegos Tarifarios (Quilicura)'!$J:$J,MATCH($B788,'Pliegos Tarifarios (Quilicura)'!$A:$A,0)))/1.19</f>
        <v>2226.5777979831932</v>
      </c>
      <c r="R788" s="19">
        <f>INDEX('Pliegos Tarifarios (Quilicura)'!$K:$K,MATCH($B788,'Pliegos Tarifarios (Quilicura)'!$A:$A,0))</f>
        <v>733.35299999999995</v>
      </c>
      <c r="S788" s="21">
        <f t="shared" si="39"/>
        <v>179902.59076958321</v>
      </c>
      <c r="T788" s="21">
        <f t="shared" si="40"/>
        <v>34181.492246220812</v>
      </c>
      <c r="U788" s="19">
        <v>0</v>
      </c>
      <c r="V788" s="21">
        <f t="shared" si="41"/>
        <v>214084.08301580403</v>
      </c>
    </row>
    <row r="789" spans="1:22" x14ac:dyDescent="0.3">
      <c r="A789" s="7" t="s">
        <v>151</v>
      </c>
      <c r="B789" s="7">
        <v>12</v>
      </c>
      <c r="C789" s="8" t="s">
        <v>186</v>
      </c>
      <c r="D789" s="7" t="s">
        <v>202</v>
      </c>
      <c r="E789" s="7" t="s">
        <v>47</v>
      </c>
      <c r="F789" s="8" t="s">
        <v>50</v>
      </c>
      <c r="G789" s="7" t="s">
        <v>30</v>
      </c>
      <c r="H789" s="9">
        <v>925.25509999999997</v>
      </c>
      <c r="I789" s="9">
        <v>2.4548999999999999</v>
      </c>
      <c r="J789" s="9">
        <v>2.4138999999999999</v>
      </c>
      <c r="K789" s="10">
        <v>0.98329870870503888</v>
      </c>
      <c r="L789" s="9">
        <v>29.85</v>
      </c>
      <c r="M789" s="19">
        <f>H789*INDEX('Pliegos Tarifarios (Quilicura)'!$B:$B,MATCH($B789,'Pliegos Tarifarios (Quilicura)'!$A:$A,0))</f>
        <v>121914.3877413</v>
      </c>
      <c r="N789" s="19">
        <f>I789*INDEX('Pliegos Tarifarios (Quilicura)'!$C:$C,MATCH($B789,'Pliegos Tarifarios (Quilicura)'!$A:$A,0))</f>
        <v>8506.1867667000006</v>
      </c>
      <c r="O789" s="19">
        <f>J789*INDEX('Pliegos Tarifarios (Quilicura)'!$D:$D,MATCH($B789,'Pliegos Tarifarios (Quilicura)'!$A:$A,0))</f>
        <v>35095.327601099998</v>
      </c>
      <c r="P789" s="19">
        <f>H789*INDEX('Pliegos Tarifarios (Quilicura)'!$E:$E,MATCH($B789,'Pliegos Tarifarios (Quilicura)'!$A:$A,0))</f>
        <v>12050.522422399999</v>
      </c>
      <c r="Q789" s="19" cm="1">
        <f t="array" ref="Q789">H789*_xlfn.IFS(H789&lt;=350,INDEX('Pliegos Tarifarios (Quilicura)'!$F:$F,MATCH($B789,'Pliegos Tarifarios (Quilicura)'!$A:$A,0)),H789&lt;=500,INDEX('Pliegos Tarifarios (Quilicura)'!$G:$G,MATCH($B789,'Pliegos Tarifarios (Quilicura)'!$A:$A,0)),H789&lt;=1000,INDEX('Pliegos Tarifarios (Quilicura)'!$H:$H,MATCH($B789,'Pliegos Tarifarios (Quilicura)'!$A:$A,0)),H789&lt;=5000,INDEX('Pliegos Tarifarios (Quilicura)'!$I:$I,MATCH($B789,'Pliegos Tarifarios (Quilicura)'!$A:$A,0)),H789&gt;5000,INDEX('Pliegos Tarifarios (Quilicura)'!$J:$J,MATCH($B789,'Pliegos Tarifarios (Quilicura)'!$A:$A,0)))/1.19</f>
        <v>2225.277391764706</v>
      </c>
      <c r="R789" s="19">
        <f>INDEX('Pliegos Tarifarios (Quilicura)'!$K:$K,MATCH($B789,'Pliegos Tarifarios (Quilicura)'!$A:$A,0))</f>
        <v>733.35299999999995</v>
      </c>
      <c r="S789" s="21">
        <f t="shared" si="39"/>
        <v>180525.05492326475</v>
      </c>
      <c r="T789" s="21">
        <f t="shared" si="40"/>
        <v>34299.760435420299</v>
      </c>
      <c r="U789" s="19">
        <v>0</v>
      </c>
      <c r="V789" s="21">
        <f t="shared" si="41"/>
        <v>214824.81535868504</v>
      </c>
    </row>
    <row r="790" spans="1:22" x14ac:dyDescent="0.3">
      <c r="A790" s="7" t="s">
        <v>151</v>
      </c>
      <c r="B790" s="7">
        <v>12</v>
      </c>
      <c r="C790" s="8" t="s">
        <v>186</v>
      </c>
      <c r="D790" s="7" t="s">
        <v>203</v>
      </c>
      <c r="E790" s="7" t="s">
        <v>52</v>
      </c>
      <c r="F790" s="8" t="s">
        <v>53</v>
      </c>
      <c r="G790" s="7" t="s">
        <v>30</v>
      </c>
      <c r="H790" s="9">
        <v>925.61379999999997</v>
      </c>
      <c r="I790" s="9">
        <v>2.4331</v>
      </c>
      <c r="J790" s="9">
        <v>2.3887999999999998</v>
      </c>
      <c r="K790" s="10">
        <v>0.98179277464962389</v>
      </c>
      <c r="L790" s="9">
        <v>29.86</v>
      </c>
      <c r="M790" s="19">
        <f>H790*INDEX('Pliegos Tarifarios (Quilicura)'!$B:$B,MATCH($B790,'Pliegos Tarifarios (Quilicura)'!$A:$A,0))</f>
        <v>121961.65112939999</v>
      </c>
      <c r="N790" s="19">
        <f>I790*INDEX('Pliegos Tarifarios (Quilicura)'!$C:$C,MATCH($B790,'Pliegos Tarifarios (Quilicura)'!$A:$A,0))</f>
        <v>8430.650137300001</v>
      </c>
      <c r="O790" s="19">
        <f>J790*INDEX('Pliegos Tarifarios (Quilicura)'!$D:$D,MATCH($B790,'Pliegos Tarifarios (Quilicura)'!$A:$A,0))</f>
        <v>34730.402491199995</v>
      </c>
      <c r="P790" s="19">
        <f>H790*INDEX('Pliegos Tarifarios (Quilicura)'!$E:$E,MATCH($B790,'Pliegos Tarifarios (Quilicura)'!$A:$A,0))</f>
        <v>12055.194131199998</v>
      </c>
      <c r="Q790" s="19" cm="1">
        <f t="array" ref="Q790">H790*_xlfn.IFS(H790&lt;=350,INDEX('Pliegos Tarifarios (Quilicura)'!$F:$F,MATCH($B790,'Pliegos Tarifarios (Quilicura)'!$A:$A,0)),H790&lt;=500,INDEX('Pliegos Tarifarios (Quilicura)'!$G:$G,MATCH($B790,'Pliegos Tarifarios (Quilicura)'!$A:$A,0)),H790&lt;=1000,INDEX('Pliegos Tarifarios (Quilicura)'!$H:$H,MATCH($B790,'Pliegos Tarifarios (Quilicura)'!$A:$A,0)),H790&lt;=5000,INDEX('Pliegos Tarifarios (Quilicura)'!$I:$I,MATCH($B790,'Pliegos Tarifarios (Quilicura)'!$A:$A,0)),H790&gt;5000,INDEX('Pliegos Tarifarios (Quilicura)'!$J:$J,MATCH($B790,'Pliegos Tarifarios (Quilicura)'!$A:$A,0)))/1.19</f>
        <v>2226.1400803361344</v>
      </c>
      <c r="R790" s="19">
        <f>INDEX('Pliegos Tarifarios (Quilicura)'!$K:$K,MATCH($B790,'Pliegos Tarifarios (Quilicura)'!$A:$A,0))</f>
        <v>733.35299999999995</v>
      </c>
      <c r="S790" s="21">
        <f t="shared" si="39"/>
        <v>180137.39096943612</v>
      </c>
      <c r="T790" s="21">
        <f t="shared" si="40"/>
        <v>34226.104284192865</v>
      </c>
      <c r="U790" s="19">
        <v>0</v>
      </c>
      <c r="V790" s="21">
        <f t="shared" si="41"/>
        <v>214363.49525362899</v>
      </c>
    </row>
    <row r="791" spans="1:22" x14ac:dyDescent="0.3">
      <c r="A791" s="7" t="s">
        <v>151</v>
      </c>
      <c r="B791" s="7">
        <v>12</v>
      </c>
      <c r="C791" s="8" t="s">
        <v>186</v>
      </c>
      <c r="D791" s="7" t="s">
        <v>204</v>
      </c>
      <c r="E791" s="7" t="s">
        <v>55</v>
      </c>
      <c r="F791" s="8" t="s">
        <v>56</v>
      </c>
      <c r="G791" s="7" t="s">
        <v>30</v>
      </c>
      <c r="H791" s="9">
        <v>616.98050000000001</v>
      </c>
      <c r="I791" s="9">
        <v>1.6241000000000001</v>
      </c>
      <c r="J791" s="9">
        <v>1.5799000000000001</v>
      </c>
      <c r="K791" s="10">
        <v>0.97278492703651254</v>
      </c>
      <c r="L791" s="9">
        <v>19.899999999999999</v>
      </c>
      <c r="M791" s="19">
        <f>H791*INDEX('Pliegos Tarifarios (Quilicura)'!$B:$B,MATCH($B791,'Pliegos Tarifarios (Quilicura)'!$A:$A,0))</f>
        <v>81295.201621500004</v>
      </c>
      <c r="N791" s="19">
        <f>I791*INDEX('Pliegos Tarifarios (Quilicura)'!$C:$C,MATCH($B791,'Pliegos Tarifarios (Quilicura)'!$A:$A,0))</f>
        <v>5627.4788903000008</v>
      </c>
      <c r="O791" s="19">
        <f>J791*INDEX('Pliegos Tarifarios (Quilicura)'!$D:$D,MATCH($B791,'Pliegos Tarifarios (Quilicura)'!$A:$A,0))</f>
        <v>22969.9275351</v>
      </c>
      <c r="P791" s="19">
        <f>H791*INDEX('Pliegos Tarifarios (Quilicura)'!$E:$E,MATCH($B791,'Pliegos Tarifarios (Quilicura)'!$A:$A,0))</f>
        <v>8035.5540319999991</v>
      </c>
      <c r="Q791" s="19" cm="1">
        <f t="array" ref="Q791">H791*_xlfn.IFS(H791&lt;=350,INDEX('Pliegos Tarifarios (Quilicura)'!$F:$F,MATCH($B791,'Pliegos Tarifarios (Quilicura)'!$A:$A,0)),H791&lt;=500,INDEX('Pliegos Tarifarios (Quilicura)'!$G:$G,MATCH($B791,'Pliegos Tarifarios (Quilicura)'!$A:$A,0)),H791&lt;=1000,INDEX('Pliegos Tarifarios (Quilicura)'!$H:$H,MATCH($B791,'Pliegos Tarifarios (Quilicura)'!$A:$A,0)),H791&lt;=5000,INDEX('Pliegos Tarifarios (Quilicura)'!$I:$I,MATCH($B791,'Pliegos Tarifarios (Quilicura)'!$A:$A,0)),H791&gt;5000,INDEX('Pliegos Tarifarios (Quilicura)'!$J:$J,MATCH($B791,'Pliegos Tarifarios (Quilicura)'!$A:$A,0)))/1.19</f>
        <v>1483.8640260504203</v>
      </c>
      <c r="R791" s="19">
        <f>INDEX('Pliegos Tarifarios (Quilicura)'!$K:$K,MATCH($B791,'Pliegos Tarifarios (Quilicura)'!$A:$A,0))</f>
        <v>733.35299999999995</v>
      </c>
      <c r="S791" s="21">
        <f t="shared" si="39"/>
        <v>120145.37910495042</v>
      </c>
      <c r="T791" s="21">
        <f t="shared" si="40"/>
        <v>22827.62202994058</v>
      </c>
      <c r="U791" s="19">
        <v>0</v>
      </c>
      <c r="V791" s="21">
        <f t="shared" si="41"/>
        <v>142973.001134891</v>
      </c>
    </row>
    <row r="792" spans="1:22" x14ac:dyDescent="0.3">
      <c r="A792" s="7" t="s">
        <v>151</v>
      </c>
      <c r="B792" s="7">
        <v>12</v>
      </c>
      <c r="C792" s="8" t="s">
        <v>186</v>
      </c>
      <c r="D792" s="7" t="s">
        <v>205</v>
      </c>
      <c r="E792" s="7" t="s">
        <v>58</v>
      </c>
      <c r="F792" s="8" t="s">
        <v>59</v>
      </c>
      <c r="G792" s="7" t="s">
        <v>30</v>
      </c>
      <c r="H792" s="9">
        <v>616.66309999999999</v>
      </c>
      <c r="I792" s="9">
        <v>1.6426000000000001</v>
      </c>
      <c r="J792" s="9">
        <v>1.6426000000000001</v>
      </c>
      <c r="K792" s="10">
        <v>1</v>
      </c>
      <c r="L792" s="9">
        <v>19.89</v>
      </c>
      <c r="M792" s="19">
        <f>H792*INDEX('Pliegos Tarifarios (Quilicura)'!$B:$B,MATCH($B792,'Pliegos Tarifarios (Quilicura)'!$A:$A,0))</f>
        <v>81253.3800453</v>
      </c>
      <c r="N792" s="19">
        <f>I792*INDEX('Pliegos Tarifarios (Quilicura)'!$C:$C,MATCH($B792,'Pliegos Tarifarios (Quilicura)'!$A:$A,0))</f>
        <v>5691.5810758000007</v>
      </c>
      <c r="O792" s="19">
        <f>J792*INDEX('Pliegos Tarifarios (Quilicura)'!$D:$D,MATCH($B792,'Pliegos Tarifarios (Quilicura)'!$A:$A,0))</f>
        <v>23881.513367400003</v>
      </c>
      <c r="P792" s="19">
        <f>H792*INDEX('Pliegos Tarifarios (Quilicura)'!$E:$E,MATCH($B792,'Pliegos Tarifarios (Quilicura)'!$A:$A,0))</f>
        <v>8031.4202143999992</v>
      </c>
      <c r="Q792" s="19" cm="1">
        <f t="array" ref="Q792">H792*_xlfn.IFS(H792&lt;=350,INDEX('Pliegos Tarifarios (Quilicura)'!$F:$F,MATCH($B792,'Pliegos Tarifarios (Quilicura)'!$A:$A,0)),H792&lt;=500,INDEX('Pliegos Tarifarios (Quilicura)'!$G:$G,MATCH($B792,'Pliegos Tarifarios (Quilicura)'!$A:$A,0)),H792&lt;=1000,INDEX('Pliegos Tarifarios (Quilicura)'!$H:$H,MATCH($B792,'Pliegos Tarifarios (Quilicura)'!$A:$A,0)),H792&lt;=5000,INDEX('Pliegos Tarifarios (Quilicura)'!$I:$I,MATCH($B792,'Pliegos Tarifarios (Quilicura)'!$A:$A,0)),H792&gt;5000,INDEX('Pliegos Tarifarios (Quilicura)'!$J:$J,MATCH($B792,'Pliegos Tarifarios (Quilicura)'!$A:$A,0)))/1.19</f>
        <v>1483.1006657142859</v>
      </c>
      <c r="R792" s="19">
        <f>INDEX('Pliegos Tarifarios (Quilicura)'!$K:$K,MATCH($B792,'Pliegos Tarifarios (Quilicura)'!$A:$A,0))</f>
        <v>733.35299999999995</v>
      </c>
      <c r="S792" s="21">
        <f t="shared" si="39"/>
        <v>121074.3483686143</v>
      </c>
      <c r="T792" s="21">
        <f t="shared" si="40"/>
        <v>23004.126190036717</v>
      </c>
      <c r="U792" s="19">
        <v>0</v>
      </c>
      <c r="V792" s="21">
        <f t="shared" si="41"/>
        <v>144078.47455865101</v>
      </c>
    </row>
    <row r="793" spans="1:22" x14ac:dyDescent="0.3">
      <c r="A793" s="7" t="s">
        <v>151</v>
      </c>
      <c r="B793" s="7">
        <v>12</v>
      </c>
      <c r="C793" s="8" t="s">
        <v>186</v>
      </c>
      <c r="D793" s="7" t="s">
        <v>206</v>
      </c>
      <c r="E793" s="7" t="s">
        <v>61</v>
      </c>
      <c r="F793" s="8" t="s">
        <v>62</v>
      </c>
      <c r="G793" s="7" t="s">
        <v>30</v>
      </c>
      <c r="H793" s="9">
        <v>617.28070000000002</v>
      </c>
      <c r="I793" s="9">
        <v>1.6138999999999999</v>
      </c>
      <c r="J793" s="9">
        <v>1.6124000000000001</v>
      </c>
      <c r="K793" s="10">
        <v>0.99907057438503011</v>
      </c>
      <c r="L793" s="9">
        <v>19.91</v>
      </c>
      <c r="M793" s="19">
        <f>H793*INDEX('Pliegos Tarifarios (Quilicura)'!$B:$B,MATCH($B793,'Pliegos Tarifarios (Quilicura)'!$A:$A,0))</f>
        <v>81334.7568741</v>
      </c>
      <c r="N793" s="19">
        <f>I793*INDEX('Pliegos Tarifarios (Quilicura)'!$C:$C,MATCH($B793,'Pliegos Tarifarios (Quilicura)'!$A:$A,0))</f>
        <v>5592.1360636999998</v>
      </c>
      <c r="O793" s="19">
        <f>J793*INDEX('Pliegos Tarifarios (Quilicura)'!$D:$D,MATCH($B793,'Pliegos Tarifarios (Quilicura)'!$A:$A,0))</f>
        <v>23442.440127600003</v>
      </c>
      <c r="P793" s="19">
        <f>H793*INDEX('Pliegos Tarifarios (Quilicura)'!$E:$E,MATCH($B793,'Pliegos Tarifarios (Quilicura)'!$A:$A,0))</f>
        <v>8039.4638367999996</v>
      </c>
      <c r="Q793" s="19" cm="1">
        <f t="array" ref="Q793">H793*_xlfn.IFS(H793&lt;=350,INDEX('Pliegos Tarifarios (Quilicura)'!$F:$F,MATCH($B793,'Pliegos Tarifarios (Quilicura)'!$A:$A,0)),H793&lt;=500,INDEX('Pliegos Tarifarios (Quilicura)'!$G:$G,MATCH($B793,'Pliegos Tarifarios (Quilicura)'!$A:$A,0)),H793&lt;=1000,INDEX('Pliegos Tarifarios (Quilicura)'!$H:$H,MATCH($B793,'Pliegos Tarifarios (Quilicura)'!$A:$A,0)),H793&lt;=5000,INDEX('Pliegos Tarifarios (Quilicura)'!$I:$I,MATCH($B793,'Pliegos Tarifarios (Quilicura)'!$A:$A,0)),H793&gt;5000,INDEX('Pliegos Tarifarios (Quilicura)'!$J:$J,MATCH($B793,'Pliegos Tarifarios (Quilicura)'!$A:$A,0)))/1.19</f>
        <v>1484.5860196638657</v>
      </c>
      <c r="R793" s="19">
        <f>INDEX('Pliegos Tarifarios (Quilicura)'!$K:$K,MATCH($B793,'Pliegos Tarifarios (Quilicura)'!$A:$A,0))</f>
        <v>733.35299999999995</v>
      </c>
      <c r="S793" s="21">
        <f t="shared" si="39"/>
        <v>120626.73592186387</v>
      </c>
      <c r="T793" s="21">
        <f t="shared" si="40"/>
        <v>22919.079825154135</v>
      </c>
      <c r="U793" s="19">
        <v>0</v>
      </c>
      <c r="V793" s="21">
        <f t="shared" si="41"/>
        <v>143545.815747018</v>
      </c>
    </row>
    <row r="794" spans="1:22" x14ac:dyDescent="0.3">
      <c r="A794" s="7" t="s">
        <v>151</v>
      </c>
      <c r="B794" s="7">
        <v>12</v>
      </c>
      <c r="C794" s="8" t="s">
        <v>186</v>
      </c>
      <c r="D794" s="7" t="s">
        <v>207</v>
      </c>
      <c r="E794" s="7" t="s">
        <v>34</v>
      </c>
      <c r="F794" s="8" t="s">
        <v>64</v>
      </c>
      <c r="G794" s="7" t="s">
        <v>30</v>
      </c>
      <c r="H794" s="9">
        <v>1235.8871999999999</v>
      </c>
      <c r="I794" s="9">
        <v>3.2107999999999999</v>
      </c>
      <c r="J794" s="9">
        <v>3.1423000000000001</v>
      </c>
      <c r="K794" s="10">
        <v>0.9786657530833438</v>
      </c>
      <c r="L794" s="9">
        <v>39.869999999999997</v>
      </c>
      <c r="M794" s="19">
        <f>H794*INDEX('Pliegos Tarifarios (Quilicura)'!$B:$B,MATCH($B794,'Pliegos Tarifarios (Quilicura)'!$A:$A,0))</f>
        <v>162844.20513359999</v>
      </c>
      <c r="N794" s="19">
        <f>I794*INDEX('Pliegos Tarifarios (Quilicura)'!$C:$C,MATCH($B794,'Pliegos Tarifarios (Quilicura)'!$A:$A,0))</f>
        <v>11125.3674164</v>
      </c>
      <c r="O794" s="19">
        <f>J794*INDEX('Pliegos Tarifarios (Quilicura)'!$D:$D,MATCH($B794,'Pliegos Tarifarios (Quilicura)'!$A:$A,0))</f>
        <v>45685.4252127</v>
      </c>
      <c r="P794" s="19">
        <f>H794*INDEX('Pliegos Tarifarios (Quilicura)'!$E:$E,MATCH($B794,'Pliegos Tarifarios (Quilicura)'!$A:$A,0))</f>
        <v>16096.194892799998</v>
      </c>
      <c r="Q794" s="19" cm="1">
        <f t="array" ref="Q794">H794*_xlfn.IFS(H794&lt;=350,INDEX('Pliegos Tarifarios (Quilicura)'!$F:$F,MATCH($B794,'Pliegos Tarifarios (Quilicura)'!$A:$A,0)),H794&lt;=500,INDEX('Pliegos Tarifarios (Quilicura)'!$G:$G,MATCH($B794,'Pliegos Tarifarios (Quilicura)'!$A:$A,0)),H794&lt;=1000,INDEX('Pliegos Tarifarios (Quilicura)'!$H:$H,MATCH($B794,'Pliegos Tarifarios (Quilicura)'!$A:$A,0)),H794&lt;=5000,INDEX('Pliegos Tarifarios (Quilicura)'!$I:$I,MATCH($B794,'Pliegos Tarifarios (Quilicura)'!$A:$A,0)),H794&gt;5000,INDEX('Pliegos Tarifarios (Quilicura)'!$J:$J,MATCH($B794,'Pliegos Tarifarios (Quilicura)'!$A:$A,0)))/1.19</f>
        <v>3782.4379684033611</v>
      </c>
      <c r="R794" s="19">
        <f>INDEX('Pliegos Tarifarios (Quilicura)'!$K:$K,MATCH($B794,'Pliegos Tarifarios (Quilicura)'!$A:$A,0))</f>
        <v>733.35299999999995</v>
      </c>
      <c r="S794" s="21">
        <f t="shared" si="39"/>
        <v>240266.98362390336</v>
      </c>
      <c r="T794" s="21">
        <f t="shared" si="40"/>
        <v>45650.726888541642</v>
      </c>
      <c r="U794" s="19">
        <v>0</v>
      </c>
      <c r="V794" s="21">
        <f t="shared" si="41"/>
        <v>285917.71051244502</v>
      </c>
    </row>
    <row r="795" spans="1:22" x14ac:dyDescent="0.3">
      <c r="A795" s="7" t="s">
        <v>151</v>
      </c>
      <c r="B795" s="7">
        <v>12</v>
      </c>
      <c r="C795" s="8" t="s">
        <v>186</v>
      </c>
      <c r="D795" s="7" t="s">
        <v>208</v>
      </c>
      <c r="E795" s="7" t="s">
        <v>34</v>
      </c>
      <c r="F795" s="8" t="s">
        <v>66</v>
      </c>
      <c r="G795" s="7" t="s">
        <v>30</v>
      </c>
      <c r="H795" s="9">
        <v>1232.9314999999999</v>
      </c>
      <c r="I795" s="9">
        <v>3.1953999999999998</v>
      </c>
      <c r="J795" s="9">
        <v>3.1657000000000002</v>
      </c>
      <c r="K795" s="10">
        <v>0.99070538899668281</v>
      </c>
      <c r="L795" s="9">
        <v>39.770000000000003</v>
      </c>
      <c r="M795" s="19">
        <f>H795*INDEX('Pliegos Tarifarios (Quilicura)'!$B:$B,MATCH($B795,'Pliegos Tarifarios (Quilicura)'!$A:$A,0))</f>
        <v>162454.75323450001</v>
      </c>
      <c r="N795" s="19">
        <f>I795*INDEX('Pliegos Tarifarios (Quilicura)'!$C:$C,MATCH($B795,'Pliegos Tarifarios (Quilicura)'!$A:$A,0))</f>
        <v>11072.006678199999</v>
      </c>
      <c r="O795" s="19">
        <f>J795*INDEX('Pliegos Tarifarios (Quilicura)'!$D:$D,MATCH($B795,'Pliegos Tarifarios (Quilicura)'!$A:$A,0))</f>
        <v>46025.6342793</v>
      </c>
      <c r="P795" s="19">
        <f>H795*INDEX('Pliegos Tarifarios (Quilicura)'!$E:$E,MATCH($B795,'Pliegos Tarifarios (Quilicura)'!$A:$A,0))</f>
        <v>16057.699855999997</v>
      </c>
      <c r="Q795" s="19" cm="1">
        <f t="array" ref="Q795">H795*_xlfn.IFS(H795&lt;=350,INDEX('Pliegos Tarifarios (Quilicura)'!$F:$F,MATCH($B795,'Pliegos Tarifarios (Quilicura)'!$A:$A,0)),H795&lt;=500,INDEX('Pliegos Tarifarios (Quilicura)'!$G:$G,MATCH($B795,'Pliegos Tarifarios (Quilicura)'!$A:$A,0)),H795&lt;=1000,INDEX('Pliegos Tarifarios (Quilicura)'!$H:$H,MATCH($B795,'Pliegos Tarifarios (Quilicura)'!$A:$A,0)),H795&lt;=5000,INDEX('Pliegos Tarifarios (Quilicura)'!$I:$I,MATCH($B795,'Pliegos Tarifarios (Quilicura)'!$A:$A,0)),H795&gt;5000,INDEX('Pliegos Tarifarios (Quilicura)'!$J:$J,MATCH($B795,'Pliegos Tarifarios (Quilicura)'!$A:$A,0)))/1.19</f>
        <v>3773.392036134454</v>
      </c>
      <c r="R795" s="19">
        <f>INDEX('Pliegos Tarifarios (Quilicura)'!$K:$K,MATCH($B795,'Pliegos Tarifarios (Quilicura)'!$A:$A,0))</f>
        <v>733.35299999999995</v>
      </c>
      <c r="S795" s="21">
        <f t="shared" si="39"/>
        <v>240116.83908413447</v>
      </c>
      <c r="T795" s="21">
        <f t="shared" si="40"/>
        <v>45622.199425985549</v>
      </c>
      <c r="U795" s="19">
        <v>0</v>
      </c>
      <c r="V795" s="21">
        <f t="shared" si="41"/>
        <v>285739.03851012001</v>
      </c>
    </row>
    <row r="796" spans="1:22" x14ac:dyDescent="0.3">
      <c r="A796" s="7" t="s">
        <v>151</v>
      </c>
      <c r="B796" s="7">
        <v>12</v>
      </c>
      <c r="C796" s="8" t="s">
        <v>186</v>
      </c>
      <c r="D796" s="7" t="s">
        <v>209</v>
      </c>
      <c r="E796" s="7" t="s">
        <v>34</v>
      </c>
      <c r="F796" s="8" t="s">
        <v>68</v>
      </c>
      <c r="G796" s="7" t="s">
        <v>30</v>
      </c>
      <c r="H796" s="9">
        <v>1233.5827999999999</v>
      </c>
      <c r="I796" s="9">
        <v>3.2275999999999998</v>
      </c>
      <c r="J796" s="9">
        <v>3.2275999999999998</v>
      </c>
      <c r="K796" s="10">
        <v>1</v>
      </c>
      <c r="L796" s="9">
        <v>39.79</v>
      </c>
      <c r="M796" s="19">
        <f>H796*INDEX('Pliegos Tarifarios (Quilicura)'!$B:$B,MATCH($B796,'Pliegos Tarifarios (Quilicura)'!$A:$A,0))</f>
        <v>162540.5704764</v>
      </c>
      <c r="N796" s="19">
        <f>I796*INDEX('Pliegos Tarifarios (Quilicura)'!$C:$C,MATCH($B796,'Pliegos Tarifarios (Quilicura)'!$A:$A,0))</f>
        <v>11183.579130800001</v>
      </c>
      <c r="O796" s="19">
        <f>J796*INDEX('Pliegos Tarifarios (Quilicura)'!$D:$D,MATCH($B796,'Pliegos Tarifarios (Quilicura)'!$A:$A,0))</f>
        <v>46925.589032399999</v>
      </c>
      <c r="P796" s="19">
        <f>H796*INDEX('Pliegos Tarifarios (Quilicura)'!$E:$E,MATCH($B796,'Pliegos Tarifarios (Quilicura)'!$A:$A,0))</f>
        <v>16066.182387199997</v>
      </c>
      <c r="Q796" s="19" cm="1">
        <f t="array" ref="Q796">H796*_xlfn.IFS(H796&lt;=350,INDEX('Pliegos Tarifarios (Quilicura)'!$F:$F,MATCH($B796,'Pliegos Tarifarios (Quilicura)'!$A:$A,0)),H796&lt;=500,INDEX('Pliegos Tarifarios (Quilicura)'!$G:$G,MATCH($B796,'Pliegos Tarifarios (Quilicura)'!$A:$A,0)),H796&lt;=1000,INDEX('Pliegos Tarifarios (Quilicura)'!$H:$H,MATCH($B796,'Pliegos Tarifarios (Quilicura)'!$A:$A,0)),H796&lt;=5000,INDEX('Pliegos Tarifarios (Quilicura)'!$I:$I,MATCH($B796,'Pliegos Tarifarios (Quilicura)'!$A:$A,0)),H796&gt;5000,INDEX('Pliegos Tarifarios (Quilicura)'!$J:$J,MATCH($B796,'Pliegos Tarifarios (Quilicura)'!$A:$A,0)))/1.19</f>
        <v>3775.3853425210086</v>
      </c>
      <c r="R796" s="19">
        <f>INDEX('Pliegos Tarifarios (Quilicura)'!$K:$K,MATCH($B796,'Pliegos Tarifarios (Quilicura)'!$A:$A,0))</f>
        <v>733.35299999999995</v>
      </c>
      <c r="S796" s="21">
        <f t="shared" si="39"/>
        <v>241224.65936932102</v>
      </c>
      <c r="T796" s="21">
        <f t="shared" si="40"/>
        <v>45832.68528017099</v>
      </c>
      <c r="U796" s="19">
        <v>0</v>
      </c>
      <c r="V796" s="21">
        <f t="shared" si="41"/>
        <v>287057.34464949201</v>
      </c>
    </row>
    <row r="797" spans="1:22" x14ac:dyDescent="0.3">
      <c r="A797" s="7" t="s">
        <v>151</v>
      </c>
      <c r="B797" s="7">
        <v>12</v>
      </c>
      <c r="C797" s="8" t="s">
        <v>186</v>
      </c>
      <c r="D797" s="7" t="s">
        <v>210</v>
      </c>
      <c r="E797" s="7" t="s">
        <v>70</v>
      </c>
      <c r="F797" s="8" t="s">
        <v>71</v>
      </c>
      <c r="G797" s="7" t="s">
        <v>30</v>
      </c>
      <c r="H797" s="9">
        <v>1543.2457999999999</v>
      </c>
      <c r="I797" s="9">
        <v>4.0191999999999997</v>
      </c>
      <c r="J797" s="9">
        <v>3.9306000000000001</v>
      </c>
      <c r="K797" s="10">
        <v>0.97795581210191096</v>
      </c>
      <c r="L797" s="9">
        <v>49.78</v>
      </c>
      <c r="M797" s="19">
        <f>H797*INDEX('Pliegos Tarifarios (Quilicura)'!$B:$B,MATCH($B797,'Pliegos Tarifarios (Quilicura)'!$A:$A,0))</f>
        <v>203342.69634540001</v>
      </c>
      <c r="N797" s="19">
        <f>I797*INDEX('Pliegos Tarifarios (Quilicura)'!$C:$C,MATCH($B797,'Pliegos Tarifarios (Quilicura)'!$A:$A,0))</f>
        <v>13926.4596736</v>
      </c>
      <c r="O797" s="19">
        <f>J797*INDEX('Pliegos Tarifarios (Quilicura)'!$D:$D,MATCH($B797,'Pliegos Tarifarios (Quilicura)'!$A:$A,0))</f>
        <v>57146.3998794</v>
      </c>
      <c r="P797" s="19">
        <f>H797*INDEX('Pliegos Tarifarios (Quilicura)'!$E:$E,MATCH($B797,'Pliegos Tarifarios (Quilicura)'!$A:$A,0))</f>
        <v>20099.233299199997</v>
      </c>
      <c r="Q797" s="19" cm="1">
        <f t="array" ref="Q797">H797*_xlfn.IFS(H797&lt;=350,INDEX('Pliegos Tarifarios (Quilicura)'!$F:$F,MATCH($B797,'Pliegos Tarifarios (Quilicura)'!$A:$A,0)),H797&lt;=500,INDEX('Pliegos Tarifarios (Quilicura)'!$G:$G,MATCH($B797,'Pliegos Tarifarios (Quilicura)'!$A:$A,0)),H797&lt;=1000,INDEX('Pliegos Tarifarios (Quilicura)'!$H:$H,MATCH($B797,'Pliegos Tarifarios (Quilicura)'!$A:$A,0)),H797&lt;=5000,INDEX('Pliegos Tarifarios (Quilicura)'!$I:$I,MATCH($B797,'Pliegos Tarifarios (Quilicura)'!$A:$A,0)),H797&gt;5000,INDEX('Pliegos Tarifarios (Quilicura)'!$J:$J,MATCH($B797,'Pliegos Tarifarios (Quilicura)'!$A:$A,0)))/1.19</f>
        <v>4723.1102551260501</v>
      </c>
      <c r="R797" s="19">
        <f>INDEX('Pliegos Tarifarios (Quilicura)'!$K:$K,MATCH($B797,'Pliegos Tarifarios (Quilicura)'!$A:$A,0))</f>
        <v>733.35299999999995</v>
      </c>
      <c r="S797" s="21">
        <f t="shared" si="39"/>
        <v>299971.25245272607</v>
      </c>
      <c r="T797" s="21">
        <f t="shared" si="40"/>
        <v>56994.537966017953</v>
      </c>
      <c r="U797" s="19">
        <v>0</v>
      </c>
      <c r="V797" s="21">
        <f t="shared" si="41"/>
        <v>356965.79041874403</v>
      </c>
    </row>
    <row r="798" spans="1:22" x14ac:dyDescent="0.3">
      <c r="A798" s="7" t="s">
        <v>151</v>
      </c>
      <c r="B798" s="7">
        <v>12</v>
      </c>
      <c r="C798" s="8" t="s">
        <v>186</v>
      </c>
      <c r="D798" s="7" t="s">
        <v>211</v>
      </c>
      <c r="E798" s="7" t="s">
        <v>73</v>
      </c>
      <c r="F798" s="8" t="s">
        <v>74</v>
      </c>
      <c r="G798" s="7" t="s">
        <v>16</v>
      </c>
      <c r="H798" s="9">
        <v>2465.9850999999999</v>
      </c>
      <c r="I798" s="9">
        <v>6.3362999999999996</v>
      </c>
      <c r="J798" s="9">
        <v>6.3033000000000001</v>
      </c>
      <c r="K798" s="10">
        <v>0.99479191326168281</v>
      </c>
      <c r="L798" s="9">
        <v>79.55</v>
      </c>
      <c r="M798" s="19">
        <f>H798*INDEX('Pliegos Tarifarios (Quilicura)'!$B:$B,MATCH($B798,'Pliegos Tarifarios (Quilicura)'!$A:$A,0))</f>
        <v>324925.59473130002</v>
      </c>
      <c r="N798" s="19">
        <f>I798*INDEX('Pliegos Tarifarios (Quilicura)'!$C:$C,MATCH($B798,'Pliegos Tarifarios (Quilicura)'!$A:$A,0))</f>
        <v>21955.171782900001</v>
      </c>
      <c r="O798" s="19">
        <f>J798*INDEX('Pliegos Tarifarios (Quilicura)'!$D:$D,MATCH($B798,'Pliegos Tarifarios (Quilicura)'!$A:$A,0))</f>
        <v>91642.726901700007</v>
      </c>
      <c r="P798" s="19">
        <f>H798*INDEX('Pliegos Tarifarios (Quilicura)'!$E:$E,MATCH($B798,'Pliegos Tarifarios (Quilicura)'!$A:$A,0))</f>
        <v>32116.989942399996</v>
      </c>
      <c r="Q798" s="19" cm="1">
        <f t="array" ref="Q798">H798*_xlfn.IFS(H798&lt;=350,INDEX('Pliegos Tarifarios (Quilicura)'!$F:$F,MATCH($B798,'Pliegos Tarifarios (Quilicura)'!$A:$A,0)),H798&lt;=500,INDEX('Pliegos Tarifarios (Quilicura)'!$G:$G,MATCH($B798,'Pliegos Tarifarios (Quilicura)'!$A:$A,0)),H798&lt;=1000,INDEX('Pliegos Tarifarios (Quilicura)'!$H:$H,MATCH($B798,'Pliegos Tarifarios (Quilicura)'!$A:$A,0)),H798&lt;=5000,INDEX('Pliegos Tarifarios (Quilicura)'!$I:$I,MATCH($B798,'Pliegos Tarifarios (Quilicura)'!$A:$A,0)),H798&gt;5000,INDEX('Pliegos Tarifarios (Quilicura)'!$J:$J,MATCH($B798,'Pliegos Tarifarios (Quilicura)'!$A:$A,0)))/1.19</f>
        <v>7547.1577598319327</v>
      </c>
      <c r="R798" s="19">
        <f>INDEX('Pliegos Tarifarios (Quilicura)'!$K:$K,MATCH($B798,'Pliegos Tarifarios (Quilicura)'!$A:$A,0))</f>
        <v>733.35299999999995</v>
      </c>
      <c r="S798" s="21">
        <f t="shared" si="39"/>
        <v>478920.99411813199</v>
      </c>
      <c r="T798" s="21">
        <f t="shared" si="40"/>
        <v>90994.988882445075</v>
      </c>
      <c r="U798" s="19">
        <v>0</v>
      </c>
      <c r="V798" s="21">
        <f t="shared" si="41"/>
        <v>569915.98300057708</v>
      </c>
    </row>
    <row r="799" spans="1:22" x14ac:dyDescent="0.3">
      <c r="A799" s="7" t="s">
        <v>151</v>
      </c>
      <c r="B799" s="7">
        <v>12</v>
      </c>
      <c r="C799" s="8" t="s">
        <v>186</v>
      </c>
      <c r="D799" s="7" t="s">
        <v>212</v>
      </c>
      <c r="E799" s="7" t="s">
        <v>73</v>
      </c>
      <c r="F799" s="8" t="s">
        <v>76</v>
      </c>
      <c r="G799" s="7" t="s">
        <v>16</v>
      </c>
      <c r="H799" s="9">
        <v>1851.452</v>
      </c>
      <c r="I799" s="9">
        <v>4.8619000000000003</v>
      </c>
      <c r="J799" s="9">
        <v>4.8037000000000001</v>
      </c>
      <c r="K799" s="10">
        <v>0.98802937123346835</v>
      </c>
      <c r="L799" s="9">
        <v>59.72</v>
      </c>
      <c r="M799" s="19">
        <f>H799*INDEX('Pliegos Tarifarios (Quilicura)'!$B:$B,MATCH($B799,'Pliegos Tarifarios (Quilicura)'!$A:$A,0))</f>
        <v>243952.86987600001</v>
      </c>
      <c r="N799" s="19">
        <f>I799*INDEX('Pliegos Tarifarios (Quilicura)'!$C:$C,MATCH($B799,'Pliegos Tarifarios (Quilicura)'!$A:$A,0))</f>
        <v>16846.400847700002</v>
      </c>
      <c r="O799" s="19">
        <f>J799*INDEX('Pliegos Tarifarios (Quilicura)'!$D:$D,MATCH($B799,'Pliegos Tarifarios (Quilicura)'!$A:$A,0))</f>
        <v>69840.268941300004</v>
      </c>
      <c r="P799" s="19">
        <f>H799*INDEX('Pliegos Tarifarios (Quilicura)'!$E:$E,MATCH($B799,'Pliegos Tarifarios (Quilicura)'!$A:$A,0))</f>
        <v>24113.310847999997</v>
      </c>
      <c r="Q799" s="19" cm="1">
        <f t="array" ref="Q799">H799*_xlfn.IFS(H799&lt;=350,INDEX('Pliegos Tarifarios (Quilicura)'!$F:$F,MATCH($B799,'Pliegos Tarifarios (Quilicura)'!$A:$A,0)),H799&lt;=500,INDEX('Pliegos Tarifarios (Quilicura)'!$G:$G,MATCH($B799,'Pliegos Tarifarios (Quilicura)'!$A:$A,0)),H799&lt;=1000,INDEX('Pliegos Tarifarios (Quilicura)'!$H:$H,MATCH($B799,'Pliegos Tarifarios (Quilicura)'!$A:$A,0)),H799&lt;=5000,INDEX('Pliegos Tarifarios (Quilicura)'!$I:$I,MATCH($B799,'Pliegos Tarifarios (Quilicura)'!$A:$A,0)),H799&gt;5000,INDEX('Pliegos Tarifarios (Quilicura)'!$J:$J,MATCH($B799,'Pliegos Tarifarios (Quilicura)'!$A:$A,0)))/1.19</f>
        <v>5666.3766252100841</v>
      </c>
      <c r="R799" s="19">
        <f>INDEX('Pliegos Tarifarios (Quilicura)'!$K:$K,MATCH($B799,'Pliegos Tarifarios (Quilicura)'!$A:$A,0))</f>
        <v>733.35299999999995</v>
      </c>
      <c r="S799" s="21">
        <f t="shared" si="39"/>
        <v>361152.58013821009</v>
      </c>
      <c r="T799" s="21">
        <f t="shared" si="40"/>
        <v>68618.990226259921</v>
      </c>
      <c r="U799" s="19">
        <v>0</v>
      </c>
      <c r="V799" s="21">
        <f t="shared" si="41"/>
        <v>429771.57036447001</v>
      </c>
    </row>
    <row r="800" spans="1:22" x14ac:dyDescent="0.3">
      <c r="A800" s="7" t="s">
        <v>151</v>
      </c>
      <c r="B800" s="7">
        <v>12</v>
      </c>
      <c r="C800" s="8" t="s">
        <v>186</v>
      </c>
      <c r="D800" s="7" t="s">
        <v>213</v>
      </c>
      <c r="E800" s="7" t="s">
        <v>78</v>
      </c>
      <c r="F800" s="8" t="s">
        <v>79</v>
      </c>
      <c r="G800" s="7" t="s">
        <v>16</v>
      </c>
      <c r="H800" s="9">
        <v>1540.9114999999999</v>
      </c>
      <c r="I800" s="9">
        <v>3.9868000000000001</v>
      </c>
      <c r="J800" s="9">
        <v>3.9813000000000001</v>
      </c>
      <c r="K800" s="10">
        <v>0.998620447476673</v>
      </c>
      <c r="L800" s="9">
        <v>49.71</v>
      </c>
      <c r="M800" s="19">
        <f>H800*INDEX('Pliegos Tarifarios (Quilicura)'!$B:$B,MATCH($B800,'Pliegos Tarifarios (Quilicura)'!$A:$A,0))</f>
        <v>203035.12197450001</v>
      </c>
      <c r="N800" s="19">
        <f>I800*INDEX('Pliegos Tarifarios (Quilicura)'!$C:$C,MATCH($B800,'Pliegos Tarifarios (Quilicura)'!$A:$A,0))</f>
        <v>13814.194224400002</v>
      </c>
      <c r="O800" s="19">
        <f>J800*INDEX('Pliegos Tarifarios (Quilicura)'!$D:$D,MATCH($B800,'Pliegos Tarifarios (Quilicura)'!$A:$A,0))</f>
        <v>57883.519523700001</v>
      </c>
      <c r="P800" s="19">
        <f>H800*INDEX('Pliegos Tarifarios (Quilicura)'!$E:$E,MATCH($B800,'Pliegos Tarifarios (Quilicura)'!$A:$A,0))</f>
        <v>20068.831375999998</v>
      </c>
      <c r="Q800" s="19" cm="1">
        <f t="array" ref="Q800">H800*_xlfn.IFS(H800&lt;=350,INDEX('Pliegos Tarifarios (Quilicura)'!$F:$F,MATCH($B800,'Pliegos Tarifarios (Quilicura)'!$A:$A,0)),H800&lt;=500,INDEX('Pliegos Tarifarios (Quilicura)'!$G:$G,MATCH($B800,'Pliegos Tarifarios (Quilicura)'!$A:$A,0)),H800&lt;=1000,INDEX('Pliegos Tarifarios (Quilicura)'!$H:$H,MATCH($B800,'Pliegos Tarifarios (Quilicura)'!$A:$A,0)),H800&lt;=5000,INDEX('Pliegos Tarifarios (Quilicura)'!$I:$I,MATCH($B800,'Pliegos Tarifarios (Quilicura)'!$A:$A,0)),H800&gt;5000,INDEX('Pliegos Tarifarios (Quilicura)'!$J:$J,MATCH($B800,'Pliegos Tarifarios (Quilicura)'!$A:$A,0)))/1.19</f>
        <v>4715.9661201680674</v>
      </c>
      <c r="R800" s="19">
        <f>INDEX('Pliegos Tarifarios (Quilicura)'!$K:$K,MATCH($B800,'Pliegos Tarifarios (Quilicura)'!$A:$A,0))</f>
        <v>733.35299999999995</v>
      </c>
      <c r="S800" s="21">
        <f t="shared" si="39"/>
        <v>300250.98621876806</v>
      </c>
      <c r="T800" s="21">
        <f t="shared" si="40"/>
        <v>57047.687381565935</v>
      </c>
      <c r="U800" s="19">
        <v>0</v>
      </c>
      <c r="V800" s="21">
        <f t="shared" si="41"/>
        <v>357298.67360033398</v>
      </c>
    </row>
    <row r="801" spans="1:22" x14ac:dyDescent="0.3">
      <c r="A801" s="7" t="s">
        <v>151</v>
      </c>
      <c r="B801" s="7">
        <v>12</v>
      </c>
      <c r="C801" s="8" t="s">
        <v>186</v>
      </c>
      <c r="D801" s="7" t="s">
        <v>214</v>
      </c>
      <c r="E801" s="7" t="s">
        <v>78</v>
      </c>
      <c r="F801" s="8" t="s">
        <v>81</v>
      </c>
      <c r="G801" s="7" t="s">
        <v>16</v>
      </c>
      <c r="H801" s="9">
        <v>1028.0932</v>
      </c>
      <c r="I801" s="9">
        <v>2.6511999999999998</v>
      </c>
      <c r="J801" s="9">
        <v>2.6358999999999999</v>
      </c>
      <c r="K801" s="10">
        <v>0.99422902836451421</v>
      </c>
      <c r="L801" s="9">
        <v>33.159999999999997</v>
      </c>
      <c r="M801" s="19">
        <f>H801*INDEX('Pliegos Tarifarios (Quilicura)'!$B:$B,MATCH($B801,'Pliegos Tarifarios (Quilicura)'!$A:$A,0))</f>
        <v>135464.64431160002</v>
      </c>
      <c r="N801" s="19">
        <f>I801*INDEX('Pliegos Tarifarios (Quilicura)'!$C:$C,MATCH($B801,'Pliegos Tarifarios (Quilicura)'!$A:$A,0))</f>
        <v>9186.3629295999999</v>
      </c>
      <c r="O801" s="19">
        <f>J801*INDEX('Pliegos Tarifarios (Quilicura)'!$D:$D,MATCH($B801,'Pliegos Tarifarios (Quilicura)'!$A:$A,0))</f>
        <v>38322.952079099996</v>
      </c>
      <c r="P801" s="19">
        <f>H801*INDEX('Pliegos Tarifarios (Quilicura)'!$E:$E,MATCH($B801,'Pliegos Tarifarios (Quilicura)'!$A:$A,0))</f>
        <v>13389.8858368</v>
      </c>
      <c r="Q801" s="19" cm="1">
        <f t="array" ref="Q801">H801*_xlfn.IFS(H801&lt;=350,INDEX('Pliegos Tarifarios (Quilicura)'!$F:$F,MATCH($B801,'Pliegos Tarifarios (Quilicura)'!$A:$A,0)),H801&lt;=500,INDEX('Pliegos Tarifarios (Quilicura)'!$G:$G,MATCH($B801,'Pliegos Tarifarios (Quilicura)'!$A:$A,0)),H801&lt;=1000,INDEX('Pliegos Tarifarios (Quilicura)'!$H:$H,MATCH($B801,'Pliegos Tarifarios (Quilicura)'!$A:$A,0)),H801&lt;=5000,INDEX('Pliegos Tarifarios (Quilicura)'!$I:$I,MATCH($B801,'Pliegos Tarifarios (Quilicura)'!$A:$A,0)),H801&gt;5000,INDEX('Pliegos Tarifarios (Quilicura)'!$J:$J,MATCH($B801,'Pliegos Tarifarios (Quilicura)'!$A:$A,0)))/1.19</f>
        <v>3146.483558319328</v>
      </c>
      <c r="R801" s="19">
        <f>INDEX('Pliegos Tarifarios (Quilicura)'!$K:$K,MATCH($B801,'Pliegos Tarifarios (Quilicura)'!$A:$A,0))</f>
        <v>733.35299999999995</v>
      </c>
      <c r="S801" s="21">
        <f t="shared" si="39"/>
        <v>200243.68171541937</v>
      </c>
      <c r="T801" s="21">
        <f t="shared" si="40"/>
        <v>38046.29952592968</v>
      </c>
      <c r="U801" s="19">
        <v>0</v>
      </c>
      <c r="V801" s="21">
        <f t="shared" si="41"/>
        <v>238289.98124134904</v>
      </c>
    </row>
    <row r="802" spans="1:22" x14ac:dyDescent="0.3">
      <c r="A802" s="7" t="s">
        <v>151</v>
      </c>
      <c r="B802" s="7">
        <v>12</v>
      </c>
      <c r="C802" s="8" t="s">
        <v>186</v>
      </c>
      <c r="D802" s="7" t="s">
        <v>215</v>
      </c>
      <c r="E802" s="7" t="s">
        <v>78</v>
      </c>
      <c r="F802" s="8" t="s">
        <v>83</v>
      </c>
      <c r="G802" s="7" t="s">
        <v>16</v>
      </c>
      <c r="H802" s="9">
        <v>1028.4820999999999</v>
      </c>
      <c r="I802" s="9">
        <v>2.6806999999999999</v>
      </c>
      <c r="J802" s="9">
        <v>2.6806999999999999</v>
      </c>
      <c r="K802" s="10">
        <v>1</v>
      </c>
      <c r="L802" s="9">
        <v>33.18</v>
      </c>
      <c r="M802" s="19">
        <f>H802*INDEX('Pliegos Tarifarios (Quilicura)'!$B:$B,MATCH($B802,'Pliegos Tarifarios (Quilicura)'!$A:$A,0))</f>
        <v>135515.88694229999</v>
      </c>
      <c r="N802" s="19">
        <f>I802*INDEX('Pliegos Tarifarios (Quilicura)'!$C:$C,MATCH($B802,'Pliegos Tarifarios (Quilicura)'!$A:$A,0))</f>
        <v>9288.5799281</v>
      </c>
      <c r="O802" s="19">
        <f>J802*INDEX('Pliegos Tarifarios (Quilicura)'!$D:$D,MATCH($B802,'Pliegos Tarifarios (Quilicura)'!$A:$A,0))</f>
        <v>38974.292514299996</v>
      </c>
      <c r="P802" s="19">
        <f>H802*INDEX('Pliegos Tarifarios (Quilicura)'!$E:$E,MATCH($B802,'Pliegos Tarifarios (Quilicura)'!$A:$A,0))</f>
        <v>13394.950870399998</v>
      </c>
      <c r="Q802" s="19" cm="1">
        <f t="array" ref="Q802">H802*_xlfn.IFS(H802&lt;=350,INDEX('Pliegos Tarifarios (Quilicura)'!$F:$F,MATCH($B802,'Pliegos Tarifarios (Quilicura)'!$A:$A,0)),H802&lt;=500,INDEX('Pliegos Tarifarios (Quilicura)'!$G:$G,MATCH($B802,'Pliegos Tarifarios (Quilicura)'!$A:$A,0)),H802&lt;=1000,INDEX('Pliegos Tarifarios (Quilicura)'!$H:$H,MATCH($B802,'Pliegos Tarifarios (Quilicura)'!$A:$A,0)),H802&lt;=5000,INDEX('Pliegos Tarifarios (Quilicura)'!$I:$I,MATCH($B802,'Pliegos Tarifarios (Quilicura)'!$A:$A,0)),H802&gt;5000,INDEX('Pliegos Tarifarios (Quilicura)'!$J:$J,MATCH($B802,'Pliegos Tarifarios (Quilicura)'!$A:$A,0)))/1.19</f>
        <v>3147.6737884033614</v>
      </c>
      <c r="R802" s="19">
        <f>INDEX('Pliegos Tarifarios (Quilicura)'!$K:$K,MATCH($B802,'Pliegos Tarifarios (Quilicura)'!$A:$A,0))</f>
        <v>733.35299999999995</v>
      </c>
      <c r="S802" s="21">
        <f t="shared" si="39"/>
        <v>201054.73704350335</v>
      </c>
      <c r="T802" s="21">
        <f t="shared" si="40"/>
        <v>38200.400038265638</v>
      </c>
      <c r="U802" s="19">
        <v>0</v>
      </c>
      <c r="V802" s="21">
        <f t="shared" si="41"/>
        <v>239255.137081769</v>
      </c>
    </row>
    <row r="803" spans="1:22" x14ac:dyDescent="0.3">
      <c r="A803" s="7" t="s">
        <v>151</v>
      </c>
      <c r="B803" s="7">
        <v>12</v>
      </c>
      <c r="C803" s="8" t="s">
        <v>186</v>
      </c>
      <c r="D803" s="7" t="s">
        <v>216</v>
      </c>
      <c r="E803" s="7" t="s">
        <v>78</v>
      </c>
      <c r="F803" s="8" t="s">
        <v>85</v>
      </c>
      <c r="G803" s="7" t="s">
        <v>16</v>
      </c>
      <c r="H803" s="9">
        <v>1234.1387999999999</v>
      </c>
      <c r="I803" s="9">
        <v>3.2469000000000001</v>
      </c>
      <c r="J803" s="9">
        <v>3.1781000000000001</v>
      </c>
      <c r="K803" s="10">
        <v>0.97881055776278914</v>
      </c>
      <c r="L803" s="9">
        <v>39.81</v>
      </c>
      <c r="M803" s="19">
        <f>H803*INDEX('Pliegos Tarifarios (Quilicura)'!$B:$B,MATCH($B803,'Pliegos Tarifarios (Quilicura)'!$A:$A,0))</f>
        <v>162613.8307044</v>
      </c>
      <c r="N803" s="19">
        <f>I803*INDEX('Pliegos Tarifarios (Quilicura)'!$C:$C,MATCH($B803,'Pliegos Tarifarios (Quilicura)'!$A:$A,0))</f>
        <v>11250.453302700002</v>
      </c>
      <c r="O803" s="19">
        <f>J803*INDEX('Pliegos Tarifarios (Quilicura)'!$D:$D,MATCH($B803,'Pliegos Tarifarios (Quilicura)'!$A:$A,0))</f>
        <v>46205.916006899999</v>
      </c>
      <c r="P803" s="19">
        <f>H803*INDEX('Pliegos Tarifarios (Quilicura)'!$E:$E,MATCH($B803,'Pliegos Tarifarios (Quilicura)'!$A:$A,0))</f>
        <v>16073.423731199999</v>
      </c>
      <c r="Q803" s="19" cm="1">
        <f t="array" ref="Q803">H803*_xlfn.IFS(H803&lt;=350,INDEX('Pliegos Tarifarios (Quilicura)'!$F:$F,MATCH($B803,'Pliegos Tarifarios (Quilicura)'!$A:$A,0)),H803&lt;=500,INDEX('Pliegos Tarifarios (Quilicura)'!$G:$G,MATCH($B803,'Pliegos Tarifarios (Quilicura)'!$A:$A,0)),H803&lt;=1000,INDEX('Pliegos Tarifarios (Quilicura)'!$H:$H,MATCH($B803,'Pliegos Tarifarios (Quilicura)'!$A:$A,0)),H803&lt;=5000,INDEX('Pliegos Tarifarios (Quilicura)'!$I:$I,MATCH($B803,'Pliegos Tarifarios (Quilicura)'!$A:$A,0)),H803&gt;5000,INDEX('Pliegos Tarifarios (Quilicura)'!$J:$J,MATCH($B803,'Pliegos Tarifarios (Quilicura)'!$A:$A,0)))/1.19</f>
        <v>3777.0869828571426</v>
      </c>
      <c r="R803" s="19">
        <f>INDEX('Pliegos Tarifarios (Quilicura)'!$K:$K,MATCH($B803,'Pliegos Tarifarios (Quilicura)'!$A:$A,0))</f>
        <v>733.35299999999995</v>
      </c>
      <c r="S803" s="21">
        <f t="shared" si="39"/>
        <v>240654.06372805714</v>
      </c>
      <c r="T803" s="21">
        <f t="shared" si="40"/>
        <v>45724.272108330857</v>
      </c>
      <c r="U803" s="19">
        <v>0</v>
      </c>
      <c r="V803" s="21">
        <f t="shared" si="41"/>
        <v>286378.335836388</v>
      </c>
    </row>
    <row r="804" spans="1:22" x14ac:dyDescent="0.3">
      <c r="A804" s="7" t="s">
        <v>151</v>
      </c>
      <c r="B804" s="7">
        <v>12</v>
      </c>
      <c r="C804" s="8" t="s">
        <v>186</v>
      </c>
      <c r="D804" s="7" t="s">
        <v>217</v>
      </c>
      <c r="E804" s="7" t="s">
        <v>78</v>
      </c>
      <c r="F804" s="8" t="s">
        <v>87</v>
      </c>
      <c r="G804" s="7" t="s">
        <v>16</v>
      </c>
      <c r="H804" s="9">
        <v>1234.1016</v>
      </c>
      <c r="I804" s="9">
        <v>3.2252000000000001</v>
      </c>
      <c r="J804" s="9">
        <v>3.2193999999999998</v>
      </c>
      <c r="K804" s="10">
        <v>0.99820166191243942</v>
      </c>
      <c r="L804" s="9">
        <v>39.81</v>
      </c>
      <c r="M804" s="19">
        <f>H804*INDEX('Pliegos Tarifarios (Quilicura)'!$B:$B,MATCH($B804,'Pliegos Tarifarios (Quilicura)'!$A:$A,0))</f>
        <v>162608.92912079999</v>
      </c>
      <c r="N804" s="19">
        <f>I804*INDEX('Pliegos Tarifarios (Quilicura)'!$C:$C,MATCH($B804,'Pliegos Tarifarios (Quilicura)'!$A:$A,0))</f>
        <v>11175.263171600001</v>
      </c>
      <c r="O804" s="19">
        <f>J804*INDEX('Pliegos Tarifarios (Quilicura)'!$D:$D,MATCH($B804,'Pliegos Tarifarios (Quilicura)'!$A:$A,0))</f>
        <v>46806.370470599999</v>
      </c>
      <c r="P804" s="19">
        <f>H804*INDEX('Pliegos Tarifarios (Quilicura)'!$E:$E,MATCH($B804,'Pliegos Tarifarios (Quilicura)'!$A:$A,0))</f>
        <v>16072.939238399998</v>
      </c>
      <c r="Q804" s="19" cm="1">
        <f t="array" ref="Q804">H804*_xlfn.IFS(H804&lt;=350,INDEX('Pliegos Tarifarios (Quilicura)'!$F:$F,MATCH($B804,'Pliegos Tarifarios (Quilicura)'!$A:$A,0)),H804&lt;=500,INDEX('Pliegos Tarifarios (Quilicura)'!$G:$G,MATCH($B804,'Pliegos Tarifarios (Quilicura)'!$A:$A,0)),H804&lt;=1000,INDEX('Pliegos Tarifarios (Quilicura)'!$H:$H,MATCH($B804,'Pliegos Tarifarios (Quilicura)'!$A:$A,0)),H804&lt;=5000,INDEX('Pliegos Tarifarios (Quilicura)'!$I:$I,MATCH($B804,'Pliegos Tarifarios (Quilicura)'!$A:$A,0)),H804&gt;5000,INDEX('Pliegos Tarifarios (Quilicura)'!$J:$J,MATCH($B804,'Pliegos Tarifarios (Quilicura)'!$A:$A,0)))/1.19</f>
        <v>3776.9731321008403</v>
      </c>
      <c r="R804" s="19">
        <f>INDEX('Pliegos Tarifarios (Quilicura)'!$K:$K,MATCH($B804,'Pliegos Tarifarios (Quilicura)'!$A:$A,0))</f>
        <v>733.35299999999995</v>
      </c>
      <c r="S804" s="21">
        <f t="shared" si="39"/>
        <v>241173.82813350082</v>
      </c>
      <c r="T804" s="21">
        <f t="shared" si="40"/>
        <v>45823.027345365153</v>
      </c>
      <c r="U804" s="19">
        <v>0</v>
      </c>
      <c r="V804" s="21">
        <f t="shared" si="41"/>
        <v>286996.85547886597</v>
      </c>
    </row>
    <row r="805" spans="1:22" x14ac:dyDescent="0.3">
      <c r="A805" s="7" t="s">
        <v>151</v>
      </c>
      <c r="B805" s="7">
        <v>12</v>
      </c>
      <c r="C805" s="8" t="s">
        <v>186</v>
      </c>
      <c r="D805" s="7" t="s">
        <v>218</v>
      </c>
      <c r="E805" s="7" t="s">
        <v>78</v>
      </c>
      <c r="F805" s="8" t="s">
        <v>89</v>
      </c>
      <c r="G805" s="7" t="s">
        <v>16</v>
      </c>
      <c r="H805" s="9">
        <v>1542.0908999999999</v>
      </c>
      <c r="I805" s="9">
        <v>4.0415999999999999</v>
      </c>
      <c r="J805" s="9">
        <v>4.0415999999999999</v>
      </c>
      <c r="K805" s="10">
        <v>1</v>
      </c>
      <c r="L805" s="9">
        <v>49.74</v>
      </c>
      <c r="M805" s="19">
        <f>H805*INDEX('Pliegos Tarifarios (Quilicura)'!$B:$B,MATCH($B805,'Pliegos Tarifarios (Quilicura)'!$A:$A,0))</f>
        <v>203190.52325669999</v>
      </c>
      <c r="N805" s="19">
        <f>I805*INDEX('Pliegos Tarifarios (Quilicura)'!$C:$C,MATCH($B805,'Pliegos Tarifarios (Quilicura)'!$A:$A,0))</f>
        <v>14004.0752928</v>
      </c>
      <c r="O805" s="19">
        <f>J805*INDEX('Pliegos Tarifarios (Quilicura)'!$D:$D,MATCH($B805,'Pliegos Tarifarios (Quilicura)'!$A:$A,0))</f>
        <v>58760.212118399999</v>
      </c>
      <c r="P805" s="19">
        <f>H805*INDEX('Pliegos Tarifarios (Quilicura)'!$E:$E,MATCH($B805,'Pliegos Tarifarios (Quilicura)'!$A:$A,0))</f>
        <v>20084.191881599996</v>
      </c>
      <c r="Q805" s="19" cm="1">
        <f t="array" ref="Q805">H805*_xlfn.IFS(H805&lt;=350,INDEX('Pliegos Tarifarios (Quilicura)'!$F:$F,MATCH($B805,'Pliegos Tarifarios (Quilicura)'!$A:$A,0)),H805&lt;=500,INDEX('Pliegos Tarifarios (Quilicura)'!$G:$G,MATCH($B805,'Pliegos Tarifarios (Quilicura)'!$A:$A,0)),H805&lt;=1000,INDEX('Pliegos Tarifarios (Quilicura)'!$H:$H,MATCH($B805,'Pliegos Tarifarios (Quilicura)'!$A:$A,0)),H805&lt;=5000,INDEX('Pliegos Tarifarios (Quilicura)'!$I:$I,MATCH($B805,'Pliegos Tarifarios (Quilicura)'!$A:$A,0)),H805&gt;5000,INDEX('Pliegos Tarifarios (Quilicura)'!$J:$J,MATCH($B805,'Pliegos Tarifarios (Quilicura)'!$A:$A,0)))/1.19</f>
        <v>4719.5756788235294</v>
      </c>
      <c r="R805" s="19">
        <f>INDEX('Pliegos Tarifarios (Quilicura)'!$K:$K,MATCH($B805,'Pliegos Tarifarios (Quilicura)'!$A:$A,0))</f>
        <v>733.35299999999995</v>
      </c>
      <c r="S805" s="21">
        <f t="shared" si="39"/>
        <v>301491.93122832355</v>
      </c>
      <c r="T805" s="21">
        <f t="shared" si="40"/>
        <v>57283.466933381475</v>
      </c>
      <c r="U805" s="19">
        <v>0</v>
      </c>
      <c r="V805" s="21">
        <f t="shared" si="41"/>
        <v>358775.398161705</v>
      </c>
    </row>
    <row r="806" spans="1:22" x14ac:dyDescent="0.3">
      <c r="A806" s="7" t="s">
        <v>151</v>
      </c>
      <c r="B806" s="7">
        <v>12</v>
      </c>
      <c r="C806" s="8" t="s">
        <v>186</v>
      </c>
      <c r="D806" s="7" t="s">
        <v>219</v>
      </c>
      <c r="E806" s="7" t="s">
        <v>91</v>
      </c>
      <c r="F806" s="8" t="s">
        <v>92</v>
      </c>
      <c r="G806" s="7" t="s">
        <v>16</v>
      </c>
      <c r="H806" s="9">
        <v>1234.7849000000001</v>
      </c>
      <c r="I806" s="9">
        <v>3.1991999999999998</v>
      </c>
      <c r="J806" s="9">
        <v>3.1711999999999998</v>
      </c>
      <c r="K806" s="10">
        <v>0.99124781195298828</v>
      </c>
      <c r="L806" s="9">
        <v>39.83</v>
      </c>
      <c r="M806" s="19">
        <f>H806*INDEX('Pliegos Tarifarios (Quilicura)'!$B:$B,MATCH($B806,'Pliegos Tarifarios (Quilicura)'!$A:$A,0))</f>
        <v>162698.96277870002</v>
      </c>
      <c r="N806" s="19">
        <f>I806*INDEX('Pliegos Tarifarios (Quilicura)'!$C:$C,MATCH($B806,'Pliegos Tarifarios (Quilicura)'!$A:$A,0))</f>
        <v>11085.1736136</v>
      </c>
      <c r="O806" s="19">
        <f>J806*INDEX('Pliegos Tarifarios (Quilicura)'!$D:$D,MATCH($B806,'Pliegos Tarifarios (Quilicura)'!$A:$A,0))</f>
        <v>46105.597948800001</v>
      </c>
      <c r="P806" s="19">
        <f>H806*INDEX('Pliegos Tarifarios (Quilicura)'!$E:$E,MATCH($B806,'Pliegos Tarifarios (Quilicura)'!$A:$A,0))</f>
        <v>16081.838537600001</v>
      </c>
      <c r="Q806" s="19" cm="1">
        <f t="array" ref="Q806">H806*_xlfn.IFS(H806&lt;=350,INDEX('Pliegos Tarifarios (Quilicura)'!$F:$F,MATCH($B806,'Pliegos Tarifarios (Quilicura)'!$A:$A,0)),H806&lt;=500,INDEX('Pliegos Tarifarios (Quilicura)'!$G:$G,MATCH($B806,'Pliegos Tarifarios (Quilicura)'!$A:$A,0)),H806&lt;=1000,INDEX('Pliegos Tarifarios (Quilicura)'!$H:$H,MATCH($B806,'Pliegos Tarifarios (Quilicura)'!$A:$A,0)),H806&lt;=5000,INDEX('Pliegos Tarifarios (Quilicura)'!$I:$I,MATCH($B806,'Pliegos Tarifarios (Quilicura)'!$A:$A,0)),H806&gt;5000,INDEX('Pliegos Tarifarios (Quilicura)'!$J:$J,MATCH($B806,'Pliegos Tarifarios (Quilicura)'!$A:$A,0)))/1.19</f>
        <v>3779.0643746218489</v>
      </c>
      <c r="R806" s="19">
        <f>INDEX('Pliegos Tarifarios (Quilicura)'!$K:$K,MATCH($B806,'Pliegos Tarifarios (Quilicura)'!$A:$A,0))</f>
        <v>733.35299999999995</v>
      </c>
      <c r="S806" s="21">
        <f t="shared" si="39"/>
        <v>240483.99025332188</v>
      </c>
      <c r="T806" s="21">
        <f t="shared" si="40"/>
        <v>45691.958148131162</v>
      </c>
      <c r="U806" s="19">
        <v>0</v>
      </c>
      <c r="V806" s="21">
        <f t="shared" si="41"/>
        <v>286175.94840145303</v>
      </c>
    </row>
    <row r="807" spans="1:22" x14ac:dyDescent="0.3">
      <c r="A807" s="7" t="s">
        <v>151</v>
      </c>
      <c r="B807" s="7">
        <v>12</v>
      </c>
      <c r="C807" s="8" t="s">
        <v>186</v>
      </c>
      <c r="D807" s="7" t="s">
        <v>220</v>
      </c>
      <c r="E807" s="7" t="s">
        <v>94</v>
      </c>
      <c r="F807" s="8" t="s">
        <v>95</v>
      </c>
      <c r="G807" s="7" t="s">
        <v>16</v>
      </c>
      <c r="H807" s="9">
        <v>924.28380000000004</v>
      </c>
      <c r="I807" s="9">
        <v>2.4224999999999999</v>
      </c>
      <c r="J807" s="9">
        <v>2.4224999999999999</v>
      </c>
      <c r="K807" s="10">
        <v>1</v>
      </c>
      <c r="L807" s="9">
        <v>29.82</v>
      </c>
      <c r="M807" s="19">
        <f>H807*INDEX('Pliegos Tarifarios (Quilicura)'!$B:$B,MATCH($B807,'Pliegos Tarifarios (Quilicura)'!$A:$A,0))</f>
        <v>121786.40633940001</v>
      </c>
      <c r="N807" s="19">
        <f>I807*INDEX('Pliegos Tarifarios (Quilicura)'!$C:$C,MATCH($B807,'Pliegos Tarifarios (Quilicura)'!$A:$A,0))</f>
        <v>8393.9213175000004</v>
      </c>
      <c r="O807" s="19">
        <f>J807*INDEX('Pliegos Tarifarios (Quilicura)'!$D:$D,MATCH($B807,'Pliegos Tarifarios (Quilicura)'!$A:$A,0))</f>
        <v>35220.361702499999</v>
      </c>
      <c r="P807" s="19">
        <f>H807*INDEX('Pliegos Tarifarios (Quilicura)'!$E:$E,MATCH($B807,'Pliegos Tarifarios (Quilicura)'!$A:$A,0))</f>
        <v>12037.8722112</v>
      </c>
      <c r="Q807" s="19" cm="1">
        <f t="array" ref="Q807">H807*_xlfn.IFS(H807&lt;=350,INDEX('Pliegos Tarifarios (Quilicura)'!$F:$F,MATCH($B807,'Pliegos Tarifarios (Quilicura)'!$A:$A,0)),H807&lt;=500,INDEX('Pliegos Tarifarios (Quilicura)'!$G:$G,MATCH($B807,'Pliegos Tarifarios (Quilicura)'!$A:$A,0)),H807&lt;=1000,INDEX('Pliegos Tarifarios (Quilicura)'!$H:$H,MATCH($B807,'Pliegos Tarifarios (Quilicura)'!$A:$A,0)),H807&lt;=5000,INDEX('Pliegos Tarifarios (Quilicura)'!$I:$I,MATCH($B807,'Pliegos Tarifarios (Quilicura)'!$A:$A,0)),H807&gt;5000,INDEX('Pliegos Tarifarios (Quilicura)'!$J:$J,MATCH($B807,'Pliegos Tarifarios (Quilicura)'!$A:$A,0)))/1.19</f>
        <v>2222.9413744537819</v>
      </c>
      <c r="R807" s="19">
        <f>INDEX('Pliegos Tarifarios (Quilicura)'!$K:$K,MATCH($B807,'Pliegos Tarifarios (Quilicura)'!$A:$A,0))</f>
        <v>733.35299999999995</v>
      </c>
      <c r="S807" s="21">
        <f t="shared" si="39"/>
        <v>180394.8559450538</v>
      </c>
      <c r="T807" s="21">
        <f t="shared" si="40"/>
        <v>34275.022629560226</v>
      </c>
      <c r="U807" s="19">
        <v>0</v>
      </c>
      <c r="V807" s="21">
        <f t="shared" si="41"/>
        <v>214669.87857461403</v>
      </c>
    </row>
    <row r="808" spans="1:22" x14ac:dyDescent="0.3">
      <c r="A808" s="7" t="s">
        <v>151</v>
      </c>
      <c r="B808" s="7">
        <v>12</v>
      </c>
      <c r="C808" s="8" t="s">
        <v>186</v>
      </c>
      <c r="D808" s="7" t="s">
        <v>221</v>
      </c>
      <c r="E808" s="7" t="s">
        <v>91</v>
      </c>
      <c r="F808" s="8" t="s">
        <v>97</v>
      </c>
      <c r="G808" s="7" t="s">
        <v>16</v>
      </c>
      <c r="H808" s="9">
        <v>924.05889999999999</v>
      </c>
      <c r="I808" s="9">
        <v>2.4432999999999998</v>
      </c>
      <c r="J808" s="9">
        <v>2.4045000000000001</v>
      </c>
      <c r="K808" s="10">
        <v>0.98411983792411917</v>
      </c>
      <c r="L808" s="9">
        <v>29.81</v>
      </c>
      <c r="M808" s="19">
        <f>H808*INDEX('Pliegos Tarifarios (Quilicura)'!$B:$B,MATCH($B808,'Pliegos Tarifarios (Quilicura)'!$A:$A,0))</f>
        <v>121756.77284070001</v>
      </c>
      <c r="N808" s="19">
        <f>I808*INDEX('Pliegos Tarifarios (Quilicura)'!$C:$C,MATCH($B808,'Pliegos Tarifarios (Quilicura)'!$A:$A,0))</f>
        <v>8465.9929639000002</v>
      </c>
      <c r="O808" s="19">
        <f>J808*INDEX('Pliegos Tarifarios (Quilicura)'!$D:$D,MATCH($B808,'Pliegos Tarifarios (Quilicura)'!$A:$A,0))</f>
        <v>34958.662420500004</v>
      </c>
      <c r="P808" s="19">
        <f>H808*INDEX('Pliegos Tarifarios (Quilicura)'!$E:$E,MATCH($B808,'Pliegos Tarifarios (Quilicura)'!$A:$A,0))</f>
        <v>12034.943113599998</v>
      </c>
      <c r="Q808" s="19" cm="1">
        <f t="array" ref="Q808">H808*_xlfn.IFS(H808&lt;=350,INDEX('Pliegos Tarifarios (Quilicura)'!$F:$F,MATCH($B808,'Pliegos Tarifarios (Quilicura)'!$A:$A,0)),H808&lt;=500,INDEX('Pliegos Tarifarios (Quilicura)'!$G:$G,MATCH($B808,'Pliegos Tarifarios (Quilicura)'!$A:$A,0)),H808&lt;=1000,INDEX('Pliegos Tarifarios (Quilicura)'!$H:$H,MATCH($B808,'Pliegos Tarifarios (Quilicura)'!$A:$A,0)),H808&lt;=5000,INDEX('Pliegos Tarifarios (Quilicura)'!$I:$I,MATCH($B808,'Pliegos Tarifarios (Quilicura)'!$A:$A,0)),H808&gt;5000,INDEX('Pliegos Tarifarios (Quilicura)'!$J:$J,MATCH($B808,'Pliegos Tarifarios (Quilicura)'!$A:$A,0)))/1.19</f>
        <v>2222.4004805042018</v>
      </c>
      <c r="R808" s="19">
        <f>INDEX('Pliegos Tarifarios (Quilicura)'!$K:$K,MATCH($B808,'Pliegos Tarifarios (Quilicura)'!$A:$A,0))</f>
        <v>733.35299999999995</v>
      </c>
      <c r="S808" s="21">
        <f t="shared" si="39"/>
        <v>180172.12481920421</v>
      </c>
      <c r="T808" s="21">
        <f t="shared" si="40"/>
        <v>34232.7037156488</v>
      </c>
      <c r="U808" s="19">
        <v>0</v>
      </c>
      <c r="V808" s="21">
        <f t="shared" si="41"/>
        <v>214404.828534853</v>
      </c>
    </row>
    <row r="809" spans="1:22" x14ac:dyDescent="0.3">
      <c r="A809" s="7" t="s">
        <v>151</v>
      </c>
      <c r="B809" s="7">
        <v>12</v>
      </c>
      <c r="C809" s="8" t="s">
        <v>186</v>
      </c>
      <c r="D809" s="7" t="s">
        <v>222</v>
      </c>
      <c r="E809" s="7" t="s">
        <v>99</v>
      </c>
      <c r="F809" s="8" t="s">
        <v>100</v>
      </c>
      <c r="G809" s="7" t="s">
        <v>16</v>
      </c>
      <c r="H809" s="9">
        <v>4628.6697999999997</v>
      </c>
      <c r="I809" s="9">
        <v>12.0786</v>
      </c>
      <c r="J809" s="9">
        <v>12.0786</v>
      </c>
      <c r="K809" s="10">
        <v>1</v>
      </c>
      <c r="L809" s="9">
        <v>149.31</v>
      </c>
      <c r="M809" s="19">
        <f>H809*INDEX('Pliegos Tarifarios (Quilicura)'!$B:$B,MATCH($B809,'Pliegos Tarifarios (Quilicura)'!$A:$A,0))</f>
        <v>609887.41885739996</v>
      </c>
      <c r="N809" s="19">
        <f>I809*INDEX('Pliegos Tarifarios (Quilicura)'!$C:$C,MATCH($B809,'Pliegos Tarifarios (Quilicura)'!$A:$A,0))</f>
        <v>41852.143663800001</v>
      </c>
      <c r="O809" s="19">
        <f>J809*INDEX('Pliegos Tarifarios (Quilicura)'!$D:$D,MATCH($B809,'Pliegos Tarifarios (Quilicura)'!$A:$A,0))</f>
        <v>175608.94153139999</v>
      </c>
      <c r="P809" s="19">
        <f>H809*INDEX('Pliegos Tarifarios (Quilicura)'!$E:$E,MATCH($B809,'Pliegos Tarifarios (Quilicura)'!$A:$A,0))</f>
        <v>60283.795475199993</v>
      </c>
      <c r="Q809" s="19" cm="1">
        <f t="array" ref="Q809">H809*_xlfn.IFS(H809&lt;=350,INDEX('Pliegos Tarifarios (Quilicura)'!$F:$F,MATCH($B809,'Pliegos Tarifarios (Quilicura)'!$A:$A,0)),H809&lt;=500,INDEX('Pliegos Tarifarios (Quilicura)'!$G:$G,MATCH($B809,'Pliegos Tarifarios (Quilicura)'!$A:$A,0)),H809&lt;=1000,INDEX('Pliegos Tarifarios (Quilicura)'!$H:$H,MATCH($B809,'Pliegos Tarifarios (Quilicura)'!$A:$A,0)),H809&lt;=5000,INDEX('Pliegos Tarifarios (Quilicura)'!$I:$I,MATCH($B809,'Pliegos Tarifarios (Quilicura)'!$A:$A,0)),H809&gt;5000,INDEX('Pliegos Tarifarios (Quilicura)'!$J:$J,MATCH($B809,'Pliegos Tarifarios (Quilicura)'!$A:$A,0)))/1.19</f>
        <v>14166.063371092438</v>
      </c>
      <c r="R809" s="19">
        <f>INDEX('Pliegos Tarifarios (Quilicura)'!$K:$K,MATCH($B809,'Pliegos Tarifarios (Quilicura)'!$A:$A,0))</f>
        <v>733.35299999999995</v>
      </c>
      <c r="S809" s="21">
        <f t="shared" si="39"/>
        <v>902531.71589889238</v>
      </c>
      <c r="T809" s="21">
        <f t="shared" si="40"/>
        <v>171481.02602078955</v>
      </c>
      <c r="U809" s="19">
        <v>0</v>
      </c>
      <c r="V809" s="21">
        <f t="shared" si="41"/>
        <v>1074012.7419196819</v>
      </c>
    </row>
    <row r="810" spans="1:22" x14ac:dyDescent="0.3">
      <c r="A810" s="7" t="s">
        <v>151</v>
      </c>
      <c r="B810" s="7">
        <v>12</v>
      </c>
      <c r="C810" s="8" t="s">
        <v>186</v>
      </c>
      <c r="D810" s="7" t="s">
        <v>223</v>
      </c>
      <c r="E810" s="7" t="s">
        <v>102</v>
      </c>
      <c r="F810" s="8" t="s">
        <v>103</v>
      </c>
      <c r="G810" s="7" t="s">
        <v>16</v>
      </c>
      <c r="H810" s="9">
        <v>3704.5805999999998</v>
      </c>
      <c r="I810" s="9">
        <v>9.9450000000000003</v>
      </c>
      <c r="J810" s="9">
        <v>9.8058999999999994</v>
      </c>
      <c r="K810" s="10">
        <v>0.98601307189542475</v>
      </c>
      <c r="L810" s="9">
        <v>119.5</v>
      </c>
      <c r="M810" s="19">
        <f>H810*INDEX('Pliegos Tarifarios (Quilicura)'!$B:$B,MATCH($B810,'Pliegos Tarifarios (Quilicura)'!$A:$A,0))</f>
        <v>488126.6535978</v>
      </c>
      <c r="N810" s="19">
        <f>I810*INDEX('Pliegos Tarifarios (Quilicura)'!$C:$C,MATCH($B810,'Pliegos Tarifarios (Quilicura)'!$A:$A,0))</f>
        <v>34459.255935000001</v>
      </c>
      <c r="O810" s="19">
        <f>J810*INDEX('Pliegos Tarifarios (Quilicura)'!$D:$D,MATCH($B810,'Pliegos Tarifarios (Quilicura)'!$A:$A,0))</f>
        <v>142566.49940909998</v>
      </c>
      <c r="P810" s="19">
        <f>H810*INDEX('Pliegos Tarifarios (Quilicura)'!$E:$E,MATCH($B810,'Pliegos Tarifarios (Quilicura)'!$A:$A,0))</f>
        <v>48248.457734399992</v>
      </c>
      <c r="Q810" s="19" cm="1">
        <f t="array" ref="Q810">H810*_xlfn.IFS(H810&lt;=350,INDEX('Pliegos Tarifarios (Quilicura)'!$F:$F,MATCH($B810,'Pliegos Tarifarios (Quilicura)'!$A:$A,0)),H810&lt;=500,INDEX('Pliegos Tarifarios (Quilicura)'!$G:$G,MATCH($B810,'Pliegos Tarifarios (Quilicura)'!$A:$A,0)),H810&lt;=1000,INDEX('Pliegos Tarifarios (Quilicura)'!$H:$H,MATCH($B810,'Pliegos Tarifarios (Quilicura)'!$A:$A,0)),H810&lt;=5000,INDEX('Pliegos Tarifarios (Quilicura)'!$I:$I,MATCH($B810,'Pliegos Tarifarios (Quilicura)'!$A:$A,0)),H810&gt;5000,INDEX('Pliegos Tarifarios (Quilicura)'!$J:$J,MATCH($B810,'Pliegos Tarifarios (Quilicura)'!$A:$A,0)))/1.19</f>
        <v>11337.884491764706</v>
      </c>
      <c r="R810" s="19">
        <f>INDEX('Pliegos Tarifarios (Quilicura)'!$K:$K,MATCH($B810,'Pliegos Tarifarios (Quilicura)'!$A:$A,0))</f>
        <v>733.35299999999995</v>
      </c>
      <c r="S810" s="21">
        <f t="shared" si="39"/>
        <v>725472.10416806466</v>
      </c>
      <c r="T810" s="21">
        <f t="shared" si="40"/>
        <v>137839.69979193227</v>
      </c>
      <c r="U810" s="19">
        <v>0</v>
      </c>
      <c r="V810" s="21">
        <f t="shared" si="41"/>
        <v>863311.80395999691</v>
      </c>
    </row>
    <row r="811" spans="1:22" x14ac:dyDescent="0.3">
      <c r="A811" s="7" t="s">
        <v>151</v>
      </c>
      <c r="B811" s="7">
        <v>12</v>
      </c>
      <c r="C811" s="8" t="s">
        <v>186</v>
      </c>
      <c r="D811" s="7" t="s">
        <v>224</v>
      </c>
      <c r="E811" s="7" t="s">
        <v>105</v>
      </c>
      <c r="F811" s="8" t="s">
        <v>106</v>
      </c>
      <c r="G811" s="7" t="s">
        <v>30</v>
      </c>
      <c r="H811" s="9">
        <v>1235.3783000000001</v>
      </c>
      <c r="I811" s="9">
        <v>3.2244000000000002</v>
      </c>
      <c r="J811" s="9">
        <v>3.1753</v>
      </c>
      <c r="K811" s="10">
        <v>0.98477236074928665</v>
      </c>
      <c r="L811" s="9">
        <v>39.85</v>
      </c>
      <c r="M811" s="19">
        <f>H811*INDEX('Pliegos Tarifarios (Quilicura)'!$B:$B,MATCH($B811,'Pliegos Tarifarios (Quilicura)'!$A:$A,0))</f>
        <v>162777.15094290001</v>
      </c>
      <c r="N811" s="19">
        <f>I811*INDEX('Pliegos Tarifarios (Quilicura)'!$C:$C,MATCH($B811,'Pliegos Tarifarios (Quilicura)'!$A:$A,0))</f>
        <v>11172.4911852</v>
      </c>
      <c r="O811" s="19">
        <f>J811*INDEX('Pliegos Tarifarios (Quilicura)'!$D:$D,MATCH($B811,'Pliegos Tarifarios (Quilicura)'!$A:$A,0))</f>
        <v>46165.207229699998</v>
      </c>
      <c r="P811" s="19">
        <f>H811*INDEX('Pliegos Tarifarios (Quilicura)'!$E:$E,MATCH($B811,'Pliegos Tarifarios (Quilicura)'!$A:$A,0))</f>
        <v>16089.566979200001</v>
      </c>
      <c r="Q811" s="19" cm="1">
        <f t="array" ref="Q811">H811*_xlfn.IFS(H811&lt;=350,INDEX('Pliegos Tarifarios (Quilicura)'!$F:$F,MATCH($B811,'Pliegos Tarifarios (Quilicura)'!$A:$A,0)),H811&lt;=500,INDEX('Pliegos Tarifarios (Quilicura)'!$G:$G,MATCH($B811,'Pliegos Tarifarios (Quilicura)'!$A:$A,0)),H811&lt;=1000,INDEX('Pliegos Tarifarios (Quilicura)'!$H:$H,MATCH($B811,'Pliegos Tarifarios (Quilicura)'!$A:$A,0)),H811&lt;=5000,INDEX('Pliegos Tarifarios (Quilicura)'!$I:$I,MATCH($B811,'Pliegos Tarifarios (Quilicura)'!$A:$A,0)),H811&gt;5000,INDEX('Pliegos Tarifarios (Quilicura)'!$J:$J,MATCH($B811,'Pliegos Tarifarios (Quilicura)'!$A:$A,0)))/1.19</f>
        <v>3780.8804778151266</v>
      </c>
      <c r="R811" s="19">
        <f>INDEX('Pliegos Tarifarios (Quilicura)'!$K:$K,MATCH($B811,'Pliegos Tarifarios (Quilicura)'!$A:$A,0))</f>
        <v>733.35299999999995</v>
      </c>
      <c r="S811" s="21">
        <f t="shared" si="39"/>
        <v>240718.64981481514</v>
      </c>
      <c r="T811" s="21">
        <f t="shared" si="40"/>
        <v>45736.54346481488</v>
      </c>
      <c r="U811" s="19">
        <v>0</v>
      </c>
      <c r="V811" s="21">
        <f t="shared" si="41"/>
        <v>286455.19327963004</v>
      </c>
    </row>
    <row r="812" spans="1:22" x14ac:dyDescent="0.3">
      <c r="A812" s="7" t="s">
        <v>151</v>
      </c>
      <c r="B812" s="7">
        <v>12</v>
      </c>
      <c r="C812" s="8" t="s">
        <v>186</v>
      </c>
      <c r="D812" s="7" t="s">
        <v>225</v>
      </c>
      <c r="E812" s="7" t="s">
        <v>105</v>
      </c>
      <c r="F812" s="8" t="s">
        <v>108</v>
      </c>
      <c r="G812" s="7" t="s">
        <v>30</v>
      </c>
      <c r="H812" s="9">
        <v>1231.9303</v>
      </c>
      <c r="I812" s="9">
        <v>3.2031000000000001</v>
      </c>
      <c r="J812" s="9">
        <v>3.2031000000000001</v>
      </c>
      <c r="K812" s="10">
        <v>1</v>
      </c>
      <c r="L812" s="9">
        <v>39.74</v>
      </c>
      <c r="M812" s="19">
        <f>H812*INDEX('Pliegos Tarifarios (Quilicura)'!$B:$B,MATCH($B812,'Pliegos Tarifarios (Quilicura)'!$A:$A,0))</f>
        <v>162322.8321189</v>
      </c>
      <c r="N812" s="19">
        <f>I812*INDEX('Pliegos Tarifarios (Quilicura)'!$C:$C,MATCH($B812,'Pliegos Tarifarios (Quilicura)'!$A:$A,0))</f>
        <v>11098.6870473</v>
      </c>
      <c r="O812" s="19">
        <f>J812*INDEX('Pliegos Tarifarios (Quilicura)'!$D:$D,MATCH($B812,'Pliegos Tarifarios (Quilicura)'!$A:$A,0))</f>
        <v>46569.3872319</v>
      </c>
      <c r="P812" s="19">
        <f>H812*INDEX('Pliegos Tarifarios (Quilicura)'!$E:$E,MATCH($B812,'Pliegos Tarifarios (Quilicura)'!$A:$A,0))</f>
        <v>16044.660227199998</v>
      </c>
      <c r="Q812" s="19" cm="1">
        <f t="array" ref="Q812">H812*_xlfn.IFS(H812&lt;=350,INDEX('Pliegos Tarifarios (Quilicura)'!$F:$F,MATCH($B812,'Pliegos Tarifarios (Quilicura)'!$A:$A,0)),H812&lt;=500,INDEX('Pliegos Tarifarios (Quilicura)'!$G:$G,MATCH($B812,'Pliegos Tarifarios (Quilicura)'!$A:$A,0)),H812&lt;=1000,INDEX('Pliegos Tarifarios (Quilicura)'!$H:$H,MATCH($B812,'Pliegos Tarifarios (Quilicura)'!$A:$A,0)),H812&lt;=5000,INDEX('Pliegos Tarifarios (Quilicura)'!$I:$I,MATCH($B812,'Pliegos Tarifarios (Quilicura)'!$A:$A,0)),H812&gt;5000,INDEX('Pliegos Tarifarios (Quilicura)'!$J:$J,MATCH($B812,'Pliegos Tarifarios (Quilicura)'!$A:$A,0)))/1.19</f>
        <v>3770.3278593277314</v>
      </c>
      <c r="R812" s="19">
        <f>INDEX('Pliegos Tarifarios (Quilicura)'!$K:$K,MATCH($B812,'Pliegos Tarifarios (Quilicura)'!$A:$A,0))</f>
        <v>733.35299999999995</v>
      </c>
      <c r="S812" s="21">
        <f t="shared" si="39"/>
        <v>240539.2474846277</v>
      </c>
      <c r="T812" s="21">
        <f t="shared" si="40"/>
        <v>45702.457022079267</v>
      </c>
      <c r="U812" s="19">
        <v>0</v>
      </c>
      <c r="V812" s="21">
        <f t="shared" si="41"/>
        <v>286241.70450670697</v>
      </c>
    </row>
    <row r="813" spans="1:22" x14ac:dyDescent="0.3">
      <c r="A813" s="7" t="s">
        <v>151</v>
      </c>
      <c r="B813" s="7">
        <v>12</v>
      </c>
      <c r="C813" s="8" t="s">
        <v>186</v>
      </c>
      <c r="D813" s="7" t="s">
        <v>226</v>
      </c>
      <c r="E813" s="7" t="s">
        <v>110</v>
      </c>
      <c r="F813" s="8" t="s">
        <v>111</v>
      </c>
      <c r="G813" s="7" t="s">
        <v>30</v>
      </c>
      <c r="H813" s="9">
        <v>617.423</v>
      </c>
      <c r="I813" s="9">
        <v>1.6094999999999999</v>
      </c>
      <c r="J813" s="9">
        <v>1.6094999999999999</v>
      </c>
      <c r="K813" s="10">
        <v>1</v>
      </c>
      <c r="L813" s="9">
        <v>19.920000000000002</v>
      </c>
      <c r="M813" s="19">
        <f>H813*INDEX('Pliegos Tarifarios (Quilicura)'!$B:$B,MATCH($B813,'Pliegos Tarifarios (Quilicura)'!$A:$A,0))</f>
        <v>81353.506749000007</v>
      </c>
      <c r="N813" s="19">
        <f>I813*INDEX('Pliegos Tarifarios (Quilicura)'!$C:$C,MATCH($B813,'Pliegos Tarifarios (Quilicura)'!$A:$A,0))</f>
        <v>5576.8901384999999</v>
      </c>
      <c r="O813" s="19">
        <f>J813*INDEX('Pliegos Tarifarios (Quilicura)'!$D:$D,MATCH($B813,'Pliegos Tarifarios (Quilicura)'!$A:$A,0))</f>
        <v>23400.277465499999</v>
      </c>
      <c r="P813" s="19">
        <f>H813*INDEX('Pliegos Tarifarios (Quilicura)'!$E:$E,MATCH($B813,'Pliegos Tarifarios (Quilicura)'!$A:$A,0))</f>
        <v>8041.3171519999996</v>
      </c>
      <c r="Q813" s="19" cm="1">
        <f t="array" ref="Q813">H813*_xlfn.IFS(H813&lt;=350,INDEX('Pliegos Tarifarios (Quilicura)'!$F:$F,MATCH($B813,'Pliegos Tarifarios (Quilicura)'!$A:$A,0)),H813&lt;=500,INDEX('Pliegos Tarifarios (Quilicura)'!$G:$G,MATCH($B813,'Pliegos Tarifarios (Quilicura)'!$A:$A,0)),H813&lt;=1000,INDEX('Pliegos Tarifarios (Quilicura)'!$H:$H,MATCH($B813,'Pliegos Tarifarios (Quilicura)'!$A:$A,0)),H813&lt;=5000,INDEX('Pliegos Tarifarios (Quilicura)'!$I:$I,MATCH($B813,'Pliegos Tarifarios (Quilicura)'!$A:$A,0)),H813&gt;5000,INDEX('Pliegos Tarifarios (Quilicura)'!$J:$J,MATCH($B813,'Pliegos Tarifarios (Quilicura)'!$A:$A,0)))/1.19</f>
        <v>1484.9282571428573</v>
      </c>
      <c r="R813" s="19">
        <f>INDEX('Pliegos Tarifarios (Quilicura)'!$K:$K,MATCH($B813,'Pliegos Tarifarios (Quilicura)'!$A:$A,0))</f>
        <v>733.35299999999995</v>
      </c>
      <c r="S813" s="21">
        <f t="shared" si="39"/>
        <v>120590.27276214288</v>
      </c>
      <c r="T813" s="21">
        <f t="shared" si="40"/>
        <v>22912.151824807148</v>
      </c>
      <c r="U813" s="19">
        <v>0</v>
      </c>
      <c r="V813" s="21">
        <f t="shared" si="41"/>
        <v>143502.42458695002</v>
      </c>
    </row>
    <row r="814" spans="1:22" x14ac:dyDescent="0.3">
      <c r="A814" s="7" t="s">
        <v>151</v>
      </c>
      <c r="B814" s="7">
        <v>12</v>
      </c>
      <c r="C814" s="8" t="s">
        <v>186</v>
      </c>
      <c r="D814" s="7" t="s">
        <v>227</v>
      </c>
      <c r="E814" s="7" t="s">
        <v>113</v>
      </c>
      <c r="F814" s="8" t="s">
        <v>114</v>
      </c>
      <c r="G814" s="7" t="s">
        <v>30</v>
      </c>
      <c r="H814" s="9">
        <v>926.01329999999996</v>
      </c>
      <c r="I814" s="9">
        <v>2.3978999999999999</v>
      </c>
      <c r="J814" s="9">
        <v>2.3933</v>
      </c>
      <c r="K814" s="10">
        <v>0.99808165478126698</v>
      </c>
      <c r="L814" s="9">
        <v>29.87</v>
      </c>
      <c r="M814" s="19">
        <f>H814*INDEX('Pliegos Tarifarios (Quilicura)'!$B:$B,MATCH($B814,'Pliegos Tarifarios (Quilicura)'!$A:$A,0))</f>
        <v>122014.2904479</v>
      </c>
      <c r="N814" s="19">
        <f>I814*INDEX('Pliegos Tarifarios (Quilicura)'!$C:$C,MATCH($B814,'Pliegos Tarifarios (Quilicura)'!$A:$A,0))</f>
        <v>8308.6827357000002</v>
      </c>
      <c r="O814" s="19">
        <f>J814*INDEX('Pliegos Tarifarios (Quilicura)'!$D:$D,MATCH($B814,'Pliegos Tarifarios (Quilicura)'!$A:$A,0))</f>
        <v>34795.827311699999</v>
      </c>
      <c r="P814" s="19">
        <f>H814*INDEX('Pliegos Tarifarios (Quilicura)'!$E:$E,MATCH($B814,'Pliegos Tarifarios (Quilicura)'!$A:$A,0))</f>
        <v>12060.397219199998</v>
      </c>
      <c r="Q814" s="19" cm="1">
        <f t="array" ref="Q814">H814*_xlfn.IFS(H814&lt;=350,INDEX('Pliegos Tarifarios (Quilicura)'!$F:$F,MATCH($B814,'Pliegos Tarifarios (Quilicura)'!$A:$A,0)),H814&lt;=500,INDEX('Pliegos Tarifarios (Quilicura)'!$G:$G,MATCH($B814,'Pliegos Tarifarios (Quilicura)'!$A:$A,0)),H814&lt;=1000,INDEX('Pliegos Tarifarios (Quilicura)'!$H:$H,MATCH($B814,'Pliegos Tarifarios (Quilicura)'!$A:$A,0)),H814&lt;=5000,INDEX('Pliegos Tarifarios (Quilicura)'!$I:$I,MATCH($B814,'Pliegos Tarifarios (Quilicura)'!$A:$A,0)),H814&gt;5000,INDEX('Pliegos Tarifarios (Quilicura)'!$J:$J,MATCH($B814,'Pliegos Tarifarios (Quilicura)'!$A:$A,0)))/1.19</f>
        <v>2227.1008946218485</v>
      </c>
      <c r="R814" s="19">
        <f>INDEX('Pliegos Tarifarios (Quilicura)'!$K:$K,MATCH($B814,'Pliegos Tarifarios (Quilicura)'!$A:$A,0))</f>
        <v>733.35299999999995</v>
      </c>
      <c r="S814" s="21">
        <f t="shared" si="39"/>
        <v>180139.65160912185</v>
      </c>
      <c r="T814" s="21">
        <f t="shared" si="40"/>
        <v>34226.533805733154</v>
      </c>
      <c r="U814" s="19">
        <v>0</v>
      </c>
      <c r="V814" s="21">
        <f t="shared" si="41"/>
        <v>214366.18541485502</v>
      </c>
    </row>
    <row r="815" spans="1:22" x14ac:dyDescent="0.3">
      <c r="A815" s="7" t="s">
        <v>151</v>
      </c>
      <c r="B815" s="7">
        <v>12</v>
      </c>
      <c r="C815" s="8" t="s">
        <v>186</v>
      </c>
      <c r="D815" s="7" t="s">
        <v>228</v>
      </c>
      <c r="E815" s="7" t="s">
        <v>116</v>
      </c>
      <c r="F815" s="8" t="s">
        <v>117</v>
      </c>
      <c r="G815" s="7" t="s">
        <v>30</v>
      </c>
      <c r="H815" s="9">
        <v>154.1909</v>
      </c>
      <c r="I815" s="9">
        <v>0.40410000000000001</v>
      </c>
      <c r="J815" s="9">
        <v>0.40060000000000001</v>
      </c>
      <c r="K815" s="10">
        <v>0.9913387775303143</v>
      </c>
      <c r="L815" s="9">
        <v>4.97</v>
      </c>
      <c r="M815" s="19">
        <f>H815*INDEX('Pliegos Tarifarios (Quilicura)'!$B:$B,MATCH($B815,'Pliegos Tarifarios (Quilicura)'!$A:$A,0))</f>
        <v>20316.6555567</v>
      </c>
      <c r="N815" s="19">
        <f>I815*INDEX('Pliegos Tarifarios (Quilicura)'!$C:$C,MATCH($B815,'Pliegos Tarifarios (Quilicura)'!$A:$A,0))</f>
        <v>1400.1996303000001</v>
      </c>
      <c r="O815" s="19">
        <f>J815*INDEX('Pliegos Tarifarios (Quilicura)'!$D:$D,MATCH($B815,'Pliegos Tarifarios (Quilicura)'!$A:$A,0))</f>
        <v>5824.2629094000004</v>
      </c>
      <c r="P815" s="19">
        <f>H815*INDEX('Pliegos Tarifarios (Quilicura)'!$E:$E,MATCH($B815,'Pliegos Tarifarios (Quilicura)'!$A:$A,0))</f>
        <v>2008.1822815999999</v>
      </c>
      <c r="Q815" s="19" cm="1">
        <f t="array" ref="Q815">H815*_xlfn.IFS(H815&lt;=350,INDEX('Pliegos Tarifarios (Quilicura)'!$F:$F,MATCH($B815,'Pliegos Tarifarios (Quilicura)'!$A:$A,0)),H815&lt;=500,INDEX('Pliegos Tarifarios (Quilicura)'!$G:$G,MATCH($B815,'Pliegos Tarifarios (Quilicura)'!$A:$A,0)),H815&lt;=1000,INDEX('Pliegos Tarifarios (Quilicura)'!$H:$H,MATCH($B815,'Pliegos Tarifarios (Quilicura)'!$A:$A,0)),H815&lt;=5000,INDEX('Pliegos Tarifarios (Quilicura)'!$I:$I,MATCH($B815,'Pliegos Tarifarios (Quilicura)'!$A:$A,0)),H815&gt;5000,INDEX('Pliegos Tarifarios (Quilicura)'!$J:$J,MATCH($B815,'Pliegos Tarifarios (Quilicura)'!$A:$A,0)))/1.19</f>
        <v>110.78421806722689</v>
      </c>
      <c r="R815" s="19">
        <f>INDEX('Pliegos Tarifarios (Quilicura)'!$K:$K,MATCH($B815,'Pliegos Tarifarios (Quilicura)'!$A:$A,0))</f>
        <v>733.35299999999995</v>
      </c>
      <c r="S815" s="21">
        <f t="shared" si="39"/>
        <v>30393.437596067226</v>
      </c>
      <c r="T815" s="21">
        <f t="shared" si="40"/>
        <v>5774.753143252773</v>
      </c>
      <c r="U815" s="19">
        <v>0</v>
      </c>
      <c r="V815" s="21">
        <f t="shared" si="41"/>
        <v>36168.190739320002</v>
      </c>
    </row>
    <row r="816" spans="1:22" x14ac:dyDescent="0.3">
      <c r="A816" s="7" t="s">
        <v>151</v>
      </c>
      <c r="B816" s="7">
        <v>12</v>
      </c>
      <c r="C816" s="8" t="s">
        <v>186</v>
      </c>
      <c r="D816" s="7" t="s">
        <v>229</v>
      </c>
      <c r="E816" s="7" t="s">
        <v>116</v>
      </c>
      <c r="F816" s="8" t="s">
        <v>119</v>
      </c>
      <c r="G816" s="7" t="s">
        <v>30</v>
      </c>
      <c r="H816" s="9">
        <v>154.15940000000001</v>
      </c>
      <c r="I816" s="9">
        <v>0.40560000000000002</v>
      </c>
      <c r="J816" s="9">
        <v>0.40560000000000002</v>
      </c>
      <c r="K816" s="10">
        <v>1</v>
      </c>
      <c r="L816" s="9">
        <v>4.97</v>
      </c>
      <c r="M816" s="19">
        <f>H816*INDEX('Pliegos Tarifarios (Quilicura)'!$B:$B,MATCH($B816,'Pliegos Tarifarios (Quilicura)'!$A:$A,0))</f>
        <v>20312.505022200003</v>
      </c>
      <c r="N816" s="19">
        <f>I816*INDEX('Pliegos Tarifarios (Quilicura)'!$C:$C,MATCH($B816,'Pliegos Tarifarios (Quilicura)'!$A:$A,0))</f>
        <v>1405.3971048000001</v>
      </c>
      <c r="O816" s="19">
        <f>J816*INDEX('Pliegos Tarifarios (Quilicura)'!$D:$D,MATCH($B816,'Pliegos Tarifarios (Quilicura)'!$A:$A,0))</f>
        <v>5896.9571544</v>
      </c>
      <c r="P816" s="19">
        <f>H816*INDEX('Pliegos Tarifarios (Quilicura)'!$E:$E,MATCH($B816,'Pliegos Tarifarios (Quilicura)'!$A:$A,0))</f>
        <v>2007.7720256</v>
      </c>
      <c r="Q816" s="19" cm="1">
        <f t="array" ref="Q816">H816*_xlfn.IFS(H816&lt;=350,INDEX('Pliegos Tarifarios (Quilicura)'!$F:$F,MATCH($B816,'Pliegos Tarifarios (Quilicura)'!$A:$A,0)),H816&lt;=500,INDEX('Pliegos Tarifarios (Quilicura)'!$G:$G,MATCH($B816,'Pliegos Tarifarios (Quilicura)'!$A:$A,0)),H816&lt;=1000,INDEX('Pliegos Tarifarios (Quilicura)'!$H:$H,MATCH($B816,'Pliegos Tarifarios (Quilicura)'!$A:$A,0)),H816&lt;=5000,INDEX('Pliegos Tarifarios (Quilicura)'!$I:$I,MATCH($B816,'Pliegos Tarifarios (Quilicura)'!$A:$A,0)),H816&gt;5000,INDEX('Pliegos Tarifarios (Quilicura)'!$J:$J,MATCH($B816,'Pliegos Tarifarios (Quilicura)'!$A:$A,0)))/1.19</f>
        <v>110.76158571428572</v>
      </c>
      <c r="R816" s="19">
        <f>INDEX('Pliegos Tarifarios (Quilicura)'!$K:$K,MATCH($B816,'Pliegos Tarifarios (Quilicura)'!$A:$A,0))</f>
        <v>733.35299999999995</v>
      </c>
      <c r="S816" s="21">
        <f t="shared" si="39"/>
        <v>30466.745892714283</v>
      </c>
      <c r="T816" s="21">
        <f t="shared" si="40"/>
        <v>5788.6817196157135</v>
      </c>
      <c r="U816" s="19">
        <v>0</v>
      </c>
      <c r="V816" s="21">
        <f t="shared" si="41"/>
        <v>36255.427612329993</v>
      </c>
    </row>
    <row r="817" spans="1:22" x14ac:dyDescent="0.3">
      <c r="A817" s="7" t="s">
        <v>151</v>
      </c>
      <c r="B817" s="7">
        <v>12</v>
      </c>
      <c r="C817" s="8" t="s">
        <v>186</v>
      </c>
      <c r="D817" s="7" t="s">
        <v>230</v>
      </c>
      <c r="E817" s="7" t="s">
        <v>121</v>
      </c>
      <c r="F817" s="8" t="s">
        <v>122</v>
      </c>
      <c r="G817" s="7" t="s">
        <v>30</v>
      </c>
      <c r="H817" s="9">
        <v>154.3434</v>
      </c>
      <c r="I817" s="9">
        <v>0.40389999999999998</v>
      </c>
      <c r="J817" s="9">
        <v>0.40389999999999998</v>
      </c>
      <c r="K817" s="10">
        <v>1</v>
      </c>
      <c r="L817" s="9">
        <v>4.9800000000000004</v>
      </c>
      <c r="M817" s="19">
        <f>H817*INDEX('Pliegos Tarifarios (Quilicura)'!$B:$B,MATCH($B817,'Pliegos Tarifarios (Quilicura)'!$A:$A,0))</f>
        <v>20336.7494142</v>
      </c>
      <c r="N817" s="19">
        <f>I817*INDEX('Pliegos Tarifarios (Quilicura)'!$C:$C,MATCH($B817,'Pliegos Tarifarios (Quilicura)'!$A:$A,0))</f>
        <v>1399.5066337000001</v>
      </c>
      <c r="O817" s="19">
        <f>J817*INDEX('Pliegos Tarifarios (Quilicura)'!$D:$D,MATCH($B817,'Pliegos Tarifarios (Quilicura)'!$A:$A,0))</f>
        <v>5872.2411111000001</v>
      </c>
      <c r="P817" s="19">
        <f>H817*INDEX('Pliegos Tarifarios (Quilicura)'!$E:$E,MATCH($B817,'Pliegos Tarifarios (Quilicura)'!$A:$A,0))</f>
        <v>2010.1684415999998</v>
      </c>
      <c r="Q817" s="19" cm="1">
        <f t="array" ref="Q817">H817*_xlfn.IFS(H817&lt;=350,INDEX('Pliegos Tarifarios (Quilicura)'!$F:$F,MATCH($B817,'Pliegos Tarifarios (Quilicura)'!$A:$A,0)),H817&lt;=500,INDEX('Pliegos Tarifarios (Quilicura)'!$G:$G,MATCH($B817,'Pliegos Tarifarios (Quilicura)'!$A:$A,0)),H817&lt;=1000,INDEX('Pliegos Tarifarios (Quilicura)'!$H:$H,MATCH($B817,'Pliegos Tarifarios (Quilicura)'!$A:$A,0)),H817&lt;=5000,INDEX('Pliegos Tarifarios (Quilicura)'!$I:$I,MATCH($B817,'Pliegos Tarifarios (Quilicura)'!$A:$A,0)),H817&gt;5000,INDEX('Pliegos Tarifarios (Quilicura)'!$J:$J,MATCH($B817,'Pliegos Tarifarios (Quilicura)'!$A:$A,0)))/1.19</f>
        <v>110.89378739495798</v>
      </c>
      <c r="R817" s="19">
        <f>INDEX('Pliegos Tarifarios (Quilicura)'!$K:$K,MATCH($B817,'Pliegos Tarifarios (Quilicura)'!$A:$A,0))</f>
        <v>733.35299999999995</v>
      </c>
      <c r="S817" s="21">
        <f t="shared" si="39"/>
        <v>30462.912387994955</v>
      </c>
      <c r="T817" s="21">
        <f t="shared" si="40"/>
        <v>5787.9533537190418</v>
      </c>
      <c r="U817" s="19">
        <v>0</v>
      </c>
      <c r="V817" s="21">
        <f t="shared" si="41"/>
        <v>36250.865741713998</v>
      </c>
    </row>
    <row r="818" spans="1:22" x14ac:dyDescent="0.3">
      <c r="A818" s="7" t="s">
        <v>151</v>
      </c>
      <c r="B818" s="7">
        <v>12</v>
      </c>
      <c r="C818" s="8" t="s">
        <v>186</v>
      </c>
      <c r="D818" s="7" t="s">
        <v>231</v>
      </c>
      <c r="E818" s="7" t="s">
        <v>121</v>
      </c>
      <c r="F818" s="8" t="s">
        <v>124</v>
      </c>
      <c r="G818" s="7" t="s">
        <v>30</v>
      </c>
      <c r="H818" s="9">
        <v>154.0839</v>
      </c>
      <c r="I818" s="9">
        <v>0.41170000000000001</v>
      </c>
      <c r="J818" s="9">
        <v>0.39639999999999997</v>
      </c>
      <c r="K818" s="10">
        <v>0.96283701724556703</v>
      </c>
      <c r="L818" s="9">
        <v>4.97</v>
      </c>
      <c r="M818" s="19">
        <f>H818*INDEX('Pliegos Tarifarios (Quilicura)'!$B:$B,MATCH($B818,'Pliegos Tarifarios (Quilicura)'!$A:$A,0))</f>
        <v>20302.556915699999</v>
      </c>
      <c r="N818" s="19">
        <f>I818*INDEX('Pliegos Tarifarios (Quilicura)'!$C:$C,MATCH($B818,'Pliegos Tarifarios (Quilicura)'!$A:$A,0))</f>
        <v>1426.5335011000002</v>
      </c>
      <c r="O818" s="19">
        <f>J818*INDEX('Pliegos Tarifarios (Quilicura)'!$D:$D,MATCH($B818,'Pliegos Tarifarios (Quilicura)'!$A:$A,0))</f>
        <v>5763.1997436000001</v>
      </c>
      <c r="P818" s="19">
        <f>H818*INDEX('Pliegos Tarifarios (Quilicura)'!$E:$E,MATCH($B818,'Pliegos Tarifarios (Quilicura)'!$A:$A,0))</f>
        <v>2006.7887135999999</v>
      </c>
      <c r="Q818" s="19" cm="1">
        <f t="array" ref="Q818">H818*_xlfn.IFS(H818&lt;=350,INDEX('Pliegos Tarifarios (Quilicura)'!$F:$F,MATCH($B818,'Pliegos Tarifarios (Quilicura)'!$A:$A,0)),H818&lt;=500,INDEX('Pliegos Tarifarios (Quilicura)'!$G:$G,MATCH($B818,'Pliegos Tarifarios (Quilicura)'!$A:$A,0)),H818&lt;=1000,INDEX('Pliegos Tarifarios (Quilicura)'!$H:$H,MATCH($B818,'Pliegos Tarifarios (Quilicura)'!$A:$A,0)),H818&lt;=5000,INDEX('Pliegos Tarifarios (Quilicura)'!$I:$I,MATCH($B818,'Pliegos Tarifarios (Quilicura)'!$A:$A,0)),H818&gt;5000,INDEX('Pliegos Tarifarios (Quilicura)'!$J:$J,MATCH($B818,'Pliegos Tarifarios (Quilicura)'!$A:$A,0)))/1.19</f>
        <v>110.7073399159664</v>
      </c>
      <c r="R818" s="19">
        <f>INDEX('Pliegos Tarifarios (Quilicura)'!$K:$K,MATCH($B818,'Pliegos Tarifarios (Quilicura)'!$A:$A,0))</f>
        <v>733.35299999999995</v>
      </c>
      <c r="S818" s="21">
        <f t="shared" si="39"/>
        <v>30343.139213915965</v>
      </c>
      <c r="T818" s="21">
        <f t="shared" si="40"/>
        <v>5765.1964506440336</v>
      </c>
      <c r="U818" s="19">
        <v>0</v>
      </c>
      <c r="V818" s="21">
        <f t="shared" si="41"/>
        <v>36108.33566456</v>
      </c>
    </row>
    <row r="819" spans="1:22" x14ac:dyDescent="0.3">
      <c r="A819" s="7" t="s">
        <v>151</v>
      </c>
      <c r="B819" s="7">
        <v>12</v>
      </c>
      <c r="C819" s="8" t="s">
        <v>186</v>
      </c>
      <c r="D819" s="7" t="s">
        <v>232</v>
      </c>
      <c r="E819" s="7" t="s">
        <v>121</v>
      </c>
      <c r="F819" s="8" t="s">
        <v>126</v>
      </c>
      <c r="G819" s="7" t="s">
        <v>30</v>
      </c>
      <c r="H819" s="9">
        <v>154.40960000000001</v>
      </c>
      <c r="I819" s="9">
        <v>0.40300000000000002</v>
      </c>
      <c r="J819" s="9">
        <v>0.3987</v>
      </c>
      <c r="K819" s="10">
        <v>0.98933002481389576</v>
      </c>
      <c r="L819" s="9">
        <v>4.9800000000000004</v>
      </c>
      <c r="M819" s="19">
        <f>H819*INDEX('Pliegos Tarifarios (Quilicura)'!$B:$B,MATCH($B819,'Pliegos Tarifarios (Quilicura)'!$A:$A,0))</f>
        <v>20345.472124800002</v>
      </c>
      <c r="N819" s="19">
        <f>I819*INDEX('Pliegos Tarifarios (Quilicura)'!$C:$C,MATCH($B819,'Pliegos Tarifarios (Quilicura)'!$A:$A,0))</f>
        <v>1396.3881490000001</v>
      </c>
      <c r="O819" s="19">
        <f>J819*INDEX('Pliegos Tarifarios (Quilicura)'!$D:$D,MATCH($B819,'Pliegos Tarifarios (Quilicura)'!$A:$A,0))</f>
        <v>5796.6390963000003</v>
      </c>
      <c r="P819" s="19">
        <f>H819*INDEX('Pliegos Tarifarios (Quilicura)'!$E:$E,MATCH($B819,'Pliegos Tarifarios (Quilicura)'!$A:$A,0))</f>
        <v>2011.0306304000001</v>
      </c>
      <c r="Q819" s="19" cm="1">
        <f t="array" ref="Q819">H819*_xlfn.IFS(H819&lt;=350,INDEX('Pliegos Tarifarios (Quilicura)'!$F:$F,MATCH($B819,'Pliegos Tarifarios (Quilicura)'!$A:$A,0)),H819&lt;=500,INDEX('Pliegos Tarifarios (Quilicura)'!$G:$G,MATCH($B819,'Pliegos Tarifarios (Quilicura)'!$A:$A,0)),H819&lt;=1000,INDEX('Pliegos Tarifarios (Quilicura)'!$H:$H,MATCH($B819,'Pliegos Tarifarios (Quilicura)'!$A:$A,0)),H819&lt;=5000,INDEX('Pliegos Tarifarios (Quilicura)'!$I:$I,MATCH($B819,'Pliegos Tarifarios (Quilicura)'!$A:$A,0)),H819&gt;5000,INDEX('Pliegos Tarifarios (Quilicura)'!$J:$J,MATCH($B819,'Pliegos Tarifarios (Quilicura)'!$A:$A,0)))/1.19</f>
        <v>110.94135126050421</v>
      </c>
      <c r="R819" s="19">
        <f>INDEX('Pliegos Tarifarios (Quilicura)'!$K:$K,MATCH($B819,'Pliegos Tarifarios (Quilicura)'!$A:$A,0))</f>
        <v>733.35299999999995</v>
      </c>
      <c r="S819" s="21">
        <f t="shared" si="39"/>
        <v>30393.824351760504</v>
      </c>
      <c r="T819" s="21">
        <f t="shared" si="40"/>
        <v>5774.826626834496</v>
      </c>
      <c r="U819" s="19">
        <v>0</v>
      </c>
      <c r="V819" s="21">
        <f t="shared" si="41"/>
        <v>36168.650978595004</v>
      </c>
    </row>
    <row r="820" spans="1:22" x14ac:dyDescent="0.3">
      <c r="A820" s="7" t="s">
        <v>151</v>
      </c>
      <c r="B820" s="7">
        <v>12</v>
      </c>
      <c r="C820" s="8" t="s">
        <v>186</v>
      </c>
      <c r="D820" s="7" t="s">
        <v>233</v>
      </c>
      <c r="E820" s="7" t="s">
        <v>121</v>
      </c>
      <c r="F820" s="8" t="s">
        <v>128</v>
      </c>
      <c r="G820" s="7" t="s">
        <v>30</v>
      </c>
      <c r="H820" s="9">
        <v>154.48259999999999</v>
      </c>
      <c r="I820" s="9">
        <v>0.40550000000000003</v>
      </c>
      <c r="J820" s="9">
        <v>0.40550000000000003</v>
      </c>
      <c r="K820" s="10">
        <v>1</v>
      </c>
      <c r="L820" s="9">
        <v>4.9800000000000004</v>
      </c>
      <c r="M820" s="19">
        <f>H820*INDEX('Pliegos Tarifarios (Quilicura)'!$B:$B,MATCH($B820,'Pliegos Tarifarios (Quilicura)'!$A:$A,0))</f>
        <v>20355.090823800001</v>
      </c>
      <c r="N820" s="19">
        <f>I820*INDEX('Pliegos Tarifarios (Quilicura)'!$C:$C,MATCH($B820,'Pliegos Tarifarios (Quilicura)'!$A:$A,0))</f>
        <v>1405.0506065000002</v>
      </c>
      <c r="O820" s="19">
        <f>J820*INDEX('Pliegos Tarifarios (Quilicura)'!$D:$D,MATCH($B820,'Pliegos Tarifarios (Quilicura)'!$A:$A,0))</f>
        <v>5895.5032695000009</v>
      </c>
      <c r="P820" s="19">
        <f>H820*INDEX('Pliegos Tarifarios (Quilicura)'!$E:$E,MATCH($B820,'Pliegos Tarifarios (Quilicura)'!$A:$A,0))</f>
        <v>2011.9813823999998</v>
      </c>
      <c r="Q820" s="19" cm="1">
        <f t="array" ref="Q820">H820*_xlfn.IFS(H820&lt;=350,INDEX('Pliegos Tarifarios (Quilicura)'!$F:$F,MATCH($B820,'Pliegos Tarifarios (Quilicura)'!$A:$A,0)),H820&lt;=500,INDEX('Pliegos Tarifarios (Quilicura)'!$G:$G,MATCH($B820,'Pliegos Tarifarios (Quilicura)'!$A:$A,0)),H820&lt;=1000,INDEX('Pliegos Tarifarios (Quilicura)'!$H:$H,MATCH($B820,'Pliegos Tarifarios (Quilicura)'!$A:$A,0)),H820&lt;=5000,INDEX('Pliegos Tarifarios (Quilicura)'!$I:$I,MATCH($B820,'Pliegos Tarifarios (Quilicura)'!$A:$A,0)),H820&gt;5000,INDEX('Pliegos Tarifarios (Quilicura)'!$J:$J,MATCH($B820,'Pliegos Tarifarios (Quilicura)'!$A:$A,0)))/1.19</f>
        <v>110.99380084033612</v>
      </c>
      <c r="R820" s="19">
        <f>INDEX('Pliegos Tarifarios (Quilicura)'!$K:$K,MATCH($B820,'Pliegos Tarifarios (Quilicura)'!$A:$A,0))</f>
        <v>733.35299999999995</v>
      </c>
      <c r="S820" s="21">
        <f t="shared" si="39"/>
        <v>30511.97288304034</v>
      </c>
      <c r="T820" s="21">
        <f t="shared" si="40"/>
        <v>5797.2748477776649</v>
      </c>
      <c r="U820" s="19">
        <v>0</v>
      </c>
      <c r="V820" s="21">
        <f t="shared" si="41"/>
        <v>36309.247730818002</v>
      </c>
    </row>
    <row r="821" spans="1:22" x14ac:dyDescent="0.3">
      <c r="A821" s="7" t="s">
        <v>151</v>
      </c>
      <c r="B821" s="7">
        <v>12</v>
      </c>
      <c r="C821" s="8" t="s">
        <v>186</v>
      </c>
      <c r="D821" s="7" t="s">
        <v>234</v>
      </c>
      <c r="E821" s="7" t="s">
        <v>121</v>
      </c>
      <c r="F821" s="8" t="s">
        <v>130</v>
      </c>
      <c r="G821" s="7" t="s">
        <v>30</v>
      </c>
      <c r="H821" s="9">
        <v>154.35900000000001</v>
      </c>
      <c r="I821" s="9">
        <v>0.40450000000000003</v>
      </c>
      <c r="J821" s="9">
        <v>0.39810000000000001</v>
      </c>
      <c r="K821" s="10">
        <v>0.9841779975278121</v>
      </c>
      <c r="L821" s="9">
        <v>4.9800000000000004</v>
      </c>
      <c r="M821" s="19">
        <f>H821*INDEX('Pliegos Tarifarios (Quilicura)'!$B:$B,MATCH($B821,'Pliegos Tarifarios (Quilicura)'!$A:$A,0))</f>
        <v>20338.804917000001</v>
      </c>
      <c r="N821" s="19">
        <f>I821*INDEX('Pliegos Tarifarios (Quilicura)'!$C:$C,MATCH($B821,'Pliegos Tarifarios (Quilicura)'!$A:$A,0))</f>
        <v>1401.5856235000001</v>
      </c>
      <c r="O821" s="19">
        <f>J821*INDEX('Pliegos Tarifarios (Quilicura)'!$D:$D,MATCH($B821,'Pliegos Tarifarios (Quilicura)'!$A:$A,0))</f>
        <v>5787.9157869000001</v>
      </c>
      <c r="P821" s="19">
        <f>H821*INDEX('Pliegos Tarifarios (Quilicura)'!$E:$E,MATCH($B821,'Pliegos Tarifarios (Quilicura)'!$A:$A,0))</f>
        <v>2010.3716159999999</v>
      </c>
      <c r="Q821" s="19" cm="1">
        <f t="array" ref="Q821">H821*_xlfn.IFS(H821&lt;=350,INDEX('Pliegos Tarifarios (Quilicura)'!$F:$F,MATCH($B821,'Pliegos Tarifarios (Quilicura)'!$A:$A,0)),H821&lt;=500,INDEX('Pliegos Tarifarios (Quilicura)'!$G:$G,MATCH($B821,'Pliegos Tarifarios (Quilicura)'!$A:$A,0)),H821&lt;=1000,INDEX('Pliegos Tarifarios (Quilicura)'!$H:$H,MATCH($B821,'Pliegos Tarifarios (Quilicura)'!$A:$A,0)),H821&lt;=5000,INDEX('Pliegos Tarifarios (Quilicura)'!$I:$I,MATCH($B821,'Pliegos Tarifarios (Quilicura)'!$A:$A,0)),H821&gt;5000,INDEX('Pliegos Tarifarios (Quilicura)'!$J:$J,MATCH($B821,'Pliegos Tarifarios (Quilicura)'!$A:$A,0)))/1.19</f>
        <v>110.90499579831933</v>
      </c>
      <c r="R821" s="19">
        <f>INDEX('Pliegos Tarifarios (Quilicura)'!$K:$K,MATCH($B821,'Pliegos Tarifarios (Quilicura)'!$A:$A,0))</f>
        <v>733.35299999999995</v>
      </c>
      <c r="S821" s="21">
        <f t="shared" si="39"/>
        <v>30382.93593919832</v>
      </c>
      <c r="T821" s="21">
        <f t="shared" si="40"/>
        <v>5772.7578284476813</v>
      </c>
      <c r="U821" s="19">
        <v>0</v>
      </c>
      <c r="V821" s="21">
        <f t="shared" si="41"/>
        <v>36155.693767646</v>
      </c>
    </row>
    <row r="822" spans="1:22" x14ac:dyDescent="0.3">
      <c r="A822" s="7" t="s">
        <v>151</v>
      </c>
      <c r="B822" s="7">
        <v>12</v>
      </c>
      <c r="C822" s="8" t="s">
        <v>186</v>
      </c>
      <c r="D822" s="7" t="s">
        <v>235</v>
      </c>
      <c r="E822" s="7" t="s">
        <v>121</v>
      </c>
      <c r="F822" s="8" t="s">
        <v>132</v>
      </c>
      <c r="G822" s="7" t="s">
        <v>30</v>
      </c>
      <c r="H822" s="9">
        <v>154.10499999999999</v>
      </c>
      <c r="I822" s="9">
        <v>0.40379999999999999</v>
      </c>
      <c r="J822" s="9">
        <v>0.4017</v>
      </c>
      <c r="K822" s="10">
        <v>0.9947994056463596</v>
      </c>
      <c r="L822" s="9">
        <v>4.97</v>
      </c>
      <c r="M822" s="19">
        <f>H822*INDEX('Pliegos Tarifarios (Quilicura)'!$B:$B,MATCH($B822,'Pliegos Tarifarios (Quilicura)'!$A:$A,0))</f>
        <v>20305.337114999998</v>
      </c>
      <c r="N822" s="19">
        <f>I822*INDEX('Pliegos Tarifarios (Quilicura)'!$C:$C,MATCH($B822,'Pliegos Tarifarios (Quilicura)'!$A:$A,0))</f>
        <v>1399.1601353999999</v>
      </c>
      <c r="O822" s="19">
        <f>J822*INDEX('Pliegos Tarifarios (Quilicura)'!$D:$D,MATCH($B822,'Pliegos Tarifarios (Quilicura)'!$A:$A,0))</f>
        <v>5840.2556433</v>
      </c>
      <c r="P822" s="19">
        <f>H822*INDEX('Pliegos Tarifarios (Quilicura)'!$E:$E,MATCH($B822,'Pliegos Tarifarios (Quilicura)'!$A:$A,0))</f>
        <v>2007.0635199999997</v>
      </c>
      <c r="Q822" s="19" cm="1">
        <f t="array" ref="Q822">H822*_xlfn.IFS(H822&lt;=350,INDEX('Pliegos Tarifarios (Quilicura)'!$F:$F,MATCH($B822,'Pliegos Tarifarios (Quilicura)'!$A:$A,0)),H822&lt;=500,INDEX('Pliegos Tarifarios (Quilicura)'!$G:$G,MATCH($B822,'Pliegos Tarifarios (Quilicura)'!$A:$A,0)),H822&lt;=1000,INDEX('Pliegos Tarifarios (Quilicura)'!$H:$H,MATCH($B822,'Pliegos Tarifarios (Quilicura)'!$A:$A,0)),H822&lt;=5000,INDEX('Pliegos Tarifarios (Quilicura)'!$I:$I,MATCH($B822,'Pliegos Tarifarios (Quilicura)'!$A:$A,0)),H822&gt;5000,INDEX('Pliegos Tarifarios (Quilicura)'!$J:$J,MATCH($B822,'Pliegos Tarifarios (Quilicura)'!$A:$A,0)))/1.19</f>
        <v>110.7225</v>
      </c>
      <c r="R822" s="19">
        <f>INDEX('Pliegos Tarifarios (Quilicura)'!$K:$K,MATCH($B822,'Pliegos Tarifarios (Quilicura)'!$A:$A,0))</f>
        <v>733.35299999999995</v>
      </c>
      <c r="S822" s="21">
        <f t="shared" si="39"/>
        <v>30395.891913699998</v>
      </c>
      <c r="T822" s="21">
        <f t="shared" si="40"/>
        <v>5775.2194636029999</v>
      </c>
      <c r="U822" s="19">
        <v>0</v>
      </c>
      <c r="V822" s="21">
        <f t="shared" si="41"/>
        <v>36171.111377302994</v>
      </c>
    </row>
    <row r="823" spans="1:22" x14ac:dyDescent="0.3">
      <c r="A823" s="7" t="s">
        <v>151</v>
      </c>
      <c r="B823" s="7">
        <v>12</v>
      </c>
      <c r="C823" s="8" t="s">
        <v>186</v>
      </c>
      <c r="D823" s="7" t="s">
        <v>236</v>
      </c>
      <c r="E823" s="7" t="s">
        <v>121</v>
      </c>
      <c r="F823" s="8" t="s">
        <v>134</v>
      </c>
      <c r="G823" s="7" t="s">
        <v>30</v>
      </c>
      <c r="H823" s="9">
        <v>154.43029999999999</v>
      </c>
      <c r="I823" s="9">
        <v>0.40579999999999999</v>
      </c>
      <c r="J823" s="9">
        <v>0.40579999999999999</v>
      </c>
      <c r="K823" s="10">
        <v>1</v>
      </c>
      <c r="L823" s="9">
        <v>4.9800000000000004</v>
      </c>
      <c r="M823" s="19">
        <f>H823*INDEX('Pliegos Tarifarios (Quilicura)'!$B:$B,MATCH($B823,'Pliegos Tarifarios (Quilicura)'!$A:$A,0))</f>
        <v>20348.199618899998</v>
      </c>
      <c r="N823" s="19">
        <f>I823*INDEX('Pliegos Tarifarios (Quilicura)'!$C:$C,MATCH($B823,'Pliegos Tarifarios (Quilicura)'!$A:$A,0))</f>
        <v>1406.0901014000001</v>
      </c>
      <c r="O823" s="19">
        <f>J823*INDEX('Pliegos Tarifarios (Quilicura)'!$D:$D,MATCH($B823,'Pliegos Tarifarios (Quilicura)'!$A:$A,0))</f>
        <v>5899.8649242000001</v>
      </c>
      <c r="P823" s="19">
        <f>H823*INDEX('Pliegos Tarifarios (Quilicura)'!$E:$E,MATCH($B823,'Pliegos Tarifarios (Quilicura)'!$A:$A,0))</f>
        <v>2011.3002271999997</v>
      </c>
      <c r="Q823" s="19" cm="1">
        <f t="array" ref="Q823">H823*_xlfn.IFS(H823&lt;=350,INDEX('Pliegos Tarifarios (Quilicura)'!$F:$F,MATCH($B823,'Pliegos Tarifarios (Quilicura)'!$A:$A,0)),H823&lt;=500,INDEX('Pliegos Tarifarios (Quilicura)'!$G:$G,MATCH($B823,'Pliegos Tarifarios (Quilicura)'!$A:$A,0)),H823&lt;=1000,INDEX('Pliegos Tarifarios (Quilicura)'!$H:$H,MATCH($B823,'Pliegos Tarifarios (Quilicura)'!$A:$A,0)),H823&lt;=5000,INDEX('Pliegos Tarifarios (Quilicura)'!$I:$I,MATCH($B823,'Pliegos Tarifarios (Quilicura)'!$A:$A,0)),H823&gt;5000,INDEX('Pliegos Tarifarios (Quilicura)'!$J:$J,MATCH($B823,'Pliegos Tarifarios (Quilicura)'!$A:$A,0)))/1.19</f>
        <v>110.95622394957984</v>
      </c>
      <c r="R823" s="19">
        <f>INDEX('Pliegos Tarifarios (Quilicura)'!$K:$K,MATCH($B823,'Pliegos Tarifarios (Quilicura)'!$A:$A,0))</f>
        <v>733.35299999999995</v>
      </c>
      <c r="S823" s="21">
        <f t="shared" si="39"/>
        <v>30509.764095649578</v>
      </c>
      <c r="T823" s="21">
        <f t="shared" si="40"/>
        <v>5796.8551781734195</v>
      </c>
      <c r="U823" s="19">
        <v>0</v>
      </c>
      <c r="V823" s="21">
        <f t="shared" si="41"/>
        <v>36306.619273822995</v>
      </c>
    </row>
    <row r="824" spans="1:22" x14ac:dyDescent="0.3">
      <c r="A824" s="7" t="s">
        <v>151</v>
      </c>
      <c r="B824" s="7">
        <v>12</v>
      </c>
      <c r="C824" s="8" t="s">
        <v>186</v>
      </c>
      <c r="D824" s="7" t="s">
        <v>237</v>
      </c>
      <c r="E824" s="7" t="s">
        <v>121</v>
      </c>
      <c r="F824" s="8" t="s">
        <v>136</v>
      </c>
      <c r="G824" s="7" t="s">
        <v>30</v>
      </c>
      <c r="H824" s="9">
        <v>154.4863</v>
      </c>
      <c r="I824" s="9">
        <v>0.40620000000000001</v>
      </c>
      <c r="J824" s="9">
        <v>0.40620000000000001</v>
      </c>
      <c r="K824" s="10">
        <v>1</v>
      </c>
      <c r="L824" s="9">
        <v>4.9800000000000004</v>
      </c>
      <c r="M824" s="19">
        <f>H824*INDEX('Pliegos Tarifarios (Quilicura)'!$B:$B,MATCH($B824,'Pliegos Tarifarios (Quilicura)'!$A:$A,0))</f>
        <v>20355.578346900002</v>
      </c>
      <c r="N824" s="19">
        <f>I824*INDEX('Pliegos Tarifarios (Quilicura)'!$C:$C,MATCH($B824,'Pliegos Tarifarios (Quilicura)'!$A:$A,0))</f>
        <v>1407.4760946000001</v>
      </c>
      <c r="O824" s="19">
        <f>J824*INDEX('Pliegos Tarifarios (Quilicura)'!$D:$D,MATCH($B824,'Pliegos Tarifarios (Quilicura)'!$A:$A,0))</f>
        <v>5905.6804638000003</v>
      </c>
      <c r="P824" s="19">
        <f>H824*INDEX('Pliegos Tarifarios (Quilicura)'!$E:$E,MATCH($B824,'Pliegos Tarifarios (Quilicura)'!$A:$A,0))</f>
        <v>2012.0295712</v>
      </c>
      <c r="Q824" s="19" cm="1">
        <f t="array" ref="Q824">H824*_xlfn.IFS(H824&lt;=350,INDEX('Pliegos Tarifarios (Quilicura)'!$F:$F,MATCH($B824,'Pliegos Tarifarios (Quilicura)'!$A:$A,0)),H824&lt;=500,INDEX('Pliegos Tarifarios (Quilicura)'!$G:$G,MATCH($B824,'Pliegos Tarifarios (Quilicura)'!$A:$A,0)),H824&lt;=1000,INDEX('Pliegos Tarifarios (Quilicura)'!$H:$H,MATCH($B824,'Pliegos Tarifarios (Quilicura)'!$A:$A,0)),H824&lt;=5000,INDEX('Pliegos Tarifarios (Quilicura)'!$I:$I,MATCH($B824,'Pliegos Tarifarios (Quilicura)'!$A:$A,0)),H824&gt;5000,INDEX('Pliegos Tarifarios (Quilicura)'!$J:$J,MATCH($B824,'Pliegos Tarifarios (Quilicura)'!$A:$A,0)))/1.19</f>
        <v>110.99645924369747</v>
      </c>
      <c r="R824" s="19">
        <f>INDEX('Pliegos Tarifarios (Quilicura)'!$K:$K,MATCH($B824,'Pliegos Tarifarios (Quilicura)'!$A:$A,0))</f>
        <v>733.35299999999995</v>
      </c>
      <c r="S824" s="21">
        <f t="shared" si="39"/>
        <v>30525.113935743699</v>
      </c>
      <c r="T824" s="21">
        <f t="shared" si="40"/>
        <v>5799.7716477913027</v>
      </c>
      <c r="U824" s="19">
        <v>0</v>
      </c>
      <c r="V824" s="21">
        <f t="shared" si="41"/>
        <v>36324.885583535004</v>
      </c>
    </row>
    <row r="825" spans="1:22" x14ac:dyDescent="0.3">
      <c r="A825" s="7" t="s">
        <v>151</v>
      </c>
      <c r="B825" s="7">
        <v>12</v>
      </c>
      <c r="C825" s="8" t="s">
        <v>186</v>
      </c>
      <c r="D825" s="7" t="s">
        <v>238</v>
      </c>
      <c r="E825" s="7" t="s">
        <v>121</v>
      </c>
      <c r="F825" s="8" t="s">
        <v>138</v>
      </c>
      <c r="G825" s="7" t="s">
        <v>30</v>
      </c>
      <c r="H825" s="9">
        <v>154.0744</v>
      </c>
      <c r="I825" s="9">
        <v>0.40279999999999999</v>
      </c>
      <c r="J825" s="9">
        <v>0.39729999999999999</v>
      </c>
      <c r="K825" s="10">
        <v>0.98634558093346569</v>
      </c>
      <c r="L825" s="9">
        <v>4.97</v>
      </c>
      <c r="M825" s="19">
        <f>H825*INDEX('Pliegos Tarifarios (Quilicura)'!$B:$B,MATCH($B825,'Pliegos Tarifarios (Quilicura)'!$A:$A,0))</f>
        <v>20301.3051672</v>
      </c>
      <c r="N825" s="19">
        <f>I825*INDEX('Pliegos Tarifarios (Quilicura)'!$C:$C,MATCH($B825,'Pliegos Tarifarios (Quilicura)'!$A:$A,0))</f>
        <v>1395.6951524000001</v>
      </c>
      <c r="O825" s="19">
        <f>J825*INDEX('Pliegos Tarifarios (Quilicura)'!$D:$D,MATCH($B825,'Pliegos Tarifarios (Quilicura)'!$A:$A,0))</f>
        <v>5776.2847076999997</v>
      </c>
      <c r="P825" s="19">
        <f>H825*INDEX('Pliegos Tarifarios (Quilicura)'!$E:$E,MATCH($B825,'Pliegos Tarifarios (Quilicura)'!$A:$A,0))</f>
        <v>2006.6649855999999</v>
      </c>
      <c r="Q825" s="19" cm="1">
        <f t="array" ref="Q825">H825*_xlfn.IFS(H825&lt;=350,INDEX('Pliegos Tarifarios (Quilicura)'!$F:$F,MATCH($B825,'Pliegos Tarifarios (Quilicura)'!$A:$A,0)),H825&lt;=500,INDEX('Pliegos Tarifarios (Quilicura)'!$G:$G,MATCH($B825,'Pliegos Tarifarios (Quilicura)'!$A:$A,0)),H825&lt;=1000,INDEX('Pliegos Tarifarios (Quilicura)'!$H:$H,MATCH($B825,'Pliegos Tarifarios (Quilicura)'!$A:$A,0)),H825&lt;=5000,INDEX('Pliegos Tarifarios (Quilicura)'!$I:$I,MATCH($B825,'Pliegos Tarifarios (Quilicura)'!$A:$A,0)),H825&gt;5000,INDEX('Pliegos Tarifarios (Quilicura)'!$J:$J,MATCH($B825,'Pliegos Tarifarios (Quilicura)'!$A:$A,0)))/1.19</f>
        <v>110.70051428571429</v>
      </c>
      <c r="R825" s="19">
        <f>INDEX('Pliegos Tarifarios (Quilicura)'!$K:$K,MATCH($B825,'Pliegos Tarifarios (Quilicura)'!$A:$A,0))</f>
        <v>733.35299999999995</v>
      </c>
      <c r="S825" s="21">
        <f t="shared" si="39"/>
        <v>30324.003527185716</v>
      </c>
      <c r="T825" s="21">
        <f t="shared" si="40"/>
        <v>5761.560670165286</v>
      </c>
      <c r="U825" s="19">
        <v>0</v>
      </c>
      <c r="V825" s="21">
        <f t="shared" si="41"/>
        <v>36085.564197350999</v>
      </c>
    </row>
    <row r="826" spans="1:22" x14ac:dyDescent="0.3">
      <c r="A826" s="7" t="s">
        <v>151</v>
      </c>
      <c r="B826" s="7">
        <v>12</v>
      </c>
      <c r="C826" s="8" t="s">
        <v>186</v>
      </c>
      <c r="D826" s="7" t="s">
        <v>239</v>
      </c>
      <c r="E826" s="7" t="s">
        <v>121</v>
      </c>
      <c r="F826" s="8" t="s">
        <v>140</v>
      </c>
      <c r="G826" s="7" t="s">
        <v>30</v>
      </c>
      <c r="H826" s="9">
        <v>154.3426</v>
      </c>
      <c r="I826" s="9">
        <v>0.40079999999999999</v>
      </c>
      <c r="J826" s="9">
        <v>0.39950000000000002</v>
      </c>
      <c r="K826" s="10">
        <v>0.99675648702594821</v>
      </c>
      <c r="L826" s="9">
        <v>4.9800000000000004</v>
      </c>
      <c r="M826" s="19">
        <f>H826*INDEX('Pliegos Tarifarios (Quilicura)'!$B:$B,MATCH($B826,'Pliegos Tarifarios (Quilicura)'!$A:$A,0))</f>
        <v>20336.6440038</v>
      </c>
      <c r="N826" s="19">
        <f>I826*INDEX('Pliegos Tarifarios (Quilicura)'!$C:$C,MATCH($B826,'Pliegos Tarifarios (Quilicura)'!$A:$A,0))</f>
        <v>1388.7651863999999</v>
      </c>
      <c r="O826" s="19">
        <f>J826*INDEX('Pliegos Tarifarios (Quilicura)'!$D:$D,MATCH($B826,'Pliegos Tarifarios (Quilicura)'!$A:$A,0))</f>
        <v>5808.2701755000007</v>
      </c>
      <c r="P826" s="19">
        <f>H826*INDEX('Pliegos Tarifarios (Quilicura)'!$E:$E,MATCH($B826,'Pliegos Tarifarios (Quilicura)'!$A:$A,0))</f>
        <v>2010.1580223999999</v>
      </c>
      <c r="Q826" s="19" cm="1">
        <f t="array" ref="Q826">H826*_xlfn.IFS(H826&lt;=350,INDEX('Pliegos Tarifarios (Quilicura)'!$F:$F,MATCH($B826,'Pliegos Tarifarios (Quilicura)'!$A:$A,0)),H826&lt;=500,INDEX('Pliegos Tarifarios (Quilicura)'!$G:$G,MATCH($B826,'Pliegos Tarifarios (Quilicura)'!$A:$A,0)),H826&lt;=1000,INDEX('Pliegos Tarifarios (Quilicura)'!$H:$H,MATCH($B826,'Pliegos Tarifarios (Quilicura)'!$A:$A,0)),H826&lt;=5000,INDEX('Pliegos Tarifarios (Quilicura)'!$I:$I,MATCH($B826,'Pliegos Tarifarios (Quilicura)'!$A:$A,0)),H826&gt;5000,INDEX('Pliegos Tarifarios (Quilicura)'!$J:$J,MATCH($B826,'Pliegos Tarifarios (Quilicura)'!$A:$A,0)))/1.19</f>
        <v>110.89321260504201</v>
      </c>
      <c r="R826" s="19">
        <f>INDEX('Pliegos Tarifarios (Quilicura)'!$K:$K,MATCH($B826,'Pliegos Tarifarios (Quilicura)'!$A:$A,0))</f>
        <v>733.35299999999995</v>
      </c>
      <c r="S826" s="21">
        <f t="shared" si="39"/>
        <v>30388.083600705042</v>
      </c>
      <c r="T826" s="21">
        <f t="shared" si="40"/>
        <v>5773.7358841339583</v>
      </c>
      <c r="U826" s="19">
        <v>0</v>
      </c>
      <c r="V826" s="21">
        <f t="shared" si="41"/>
        <v>36161.819484838998</v>
      </c>
    </row>
    <row r="827" spans="1:22" x14ac:dyDescent="0.3">
      <c r="A827" s="7" t="s">
        <v>151</v>
      </c>
      <c r="B827" s="7">
        <v>12</v>
      </c>
      <c r="C827" s="8" t="s">
        <v>186</v>
      </c>
      <c r="D827" s="7" t="s">
        <v>240</v>
      </c>
      <c r="E827" s="7" t="s">
        <v>121</v>
      </c>
      <c r="F827" s="8" t="s">
        <v>241</v>
      </c>
      <c r="G827" s="7" t="s">
        <v>30</v>
      </c>
      <c r="H827" s="9">
        <v>154.2961</v>
      </c>
      <c r="I827" s="9">
        <v>0.40289999999999998</v>
      </c>
      <c r="J827" s="9">
        <v>0.4017</v>
      </c>
      <c r="K827" s="10">
        <v>0.99702159344750563</v>
      </c>
      <c r="L827" s="9">
        <v>4.9800000000000004</v>
      </c>
      <c r="M827" s="19">
        <f>H827*INDEX('Pliegos Tarifarios (Quilicura)'!$B:$B,MATCH($B827,'Pliegos Tarifarios (Quilicura)'!$A:$A,0))</f>
        <v>20330.517024299999</v>
      </c>
      <c r="N827" s="19">
        <f>I827*INDEX('Pliegos Tarifarios (Quilicura)'!$C:$C,MATCH($B827,'Pliegos Tarifarios (Quilicura)'!$A:$A,0))</f>
        <v>1396.0416507</v>
      </c>
      <c r="O827" s="19">
        <f>J827*INDEX('Pliegos Tarifarios (Quilicura)'!$D:$D,MATCH($B827,'Pliegos Tarifarios (Quilicura)'!$A:$A,0))</f>
        <v>5840.2556433</v>
      </c>
      <c r="P827" s="19">
        <f>H827*INDEX('Pliegos Tarifarios (Quilicura)'!$E:$E,MATCH($B827,'Pliegos Tarifarios (Quilicura)'!$A:$A,0))</f>
        <v>2009.5524063999999</v>
      </c>
      <c r="Q827" s="19" cm="1">
        <f t="array" ref="Q827">H827*_xlfn.IFS(H827&lt;=350,INDEX('Pliegos Tarifarios (Quilicura)'!$F:$F,MATCH($B827,'Pliegos Tarifarios (Quilicura)'!$A:$A,0)),H827&lt;=500,INDEX('Pliegos Tarifarios (Quilicura)'!$G:$G,MATCH($B827,'Pliegos Tarifarios (Quilicura)'!$A:$A,0)),H827&lt;=1000,INDEX('Pliegos Tarifarios (Quilicura)'!$H:$H,MATCH($B827,'Pliegos Tarifarios (Quilicura)'!$A:$A,0)),H827&lt;=5000,INDEX('Pliegos Tarifarios (Quilicura)'!$I:$I,MATCH($B827,'Pliegos Tarifarios (Quilicura)'!$A:$A,0)),H827&gt;5000,INDEX('Pliegos Tarifarios (Quilicura)'!$J:$J,MATCH($B827,'Pliegos Tarifarios (Quilicura)'!$A:$A,0)))/1.19</f>
        <v>110.85980294117645</v>
      </c>
      <c r="R827" s="19">
        <f>INDEX('Pliegos Tarifarios (Quilicura)'!$K:$K,MATCH($B827,'Pliegos Tarifarios (Quilicura)'!$A:$A,0))</f>
        <v>733.35299999999995</v>
      </c>
      <c r="S827" s="21">
        <f t="shared" si="39"/>
        <v>30420.579527641174</v>
      </c>
      <c r="T827" s="21">
        <f t="shared" si="40"/>
        <v>5779.9101102518234</v>
      </c>
      <c r="U827" s="19">
        <v>0</v>
      </c>
      <c r="V827" s="21">
        <f t="shared" si="41"/>
        <v>36200.489637892999</v>
      </c>
    </row>
    <row r="828" spans="1:22" x14ac:dyDescent="0.3">
      <c r="A828" s="7" t="s">
        <v>151</v>
      </c>
      <c r="B828" s="7">
        <v>12</v>
      </c>
      <c r="C828" s="8" t="s">
        <v>186</v>
      </c>
      <c r="D828" s="7" t="s">
        <v>242</v>
      </c>
      <c r="E828" s="7" t="s">
        <v>121</v>
      </c>
      <c r="F828" s="8" t="s">
        <v>243</v>
      </c>
      <c r="G828" s="7" t="s">
        <v>30</v>
      </c>
      <c r="H828" s="9">
        <v>154.32490000000001</v>
      </c>
      <c r="I828" s="9">
        <v>0.40339999999999998</v>
      </c>
      <c r="J828" s="9">
        <v>0.40339999999999998</v>
      </c>
      <c r="K828" s="10">
        <v>1</v>
      </c>
      <c r="L828" s="9">
        <v>4.9800000000000004</v>
      </c>
      <c r="M828" s="19">
        <f>H828*INDEX('Pliegos Tarifarios (Quilicura)'!$B:$B,MATCH($B828,'Pliegos Tarifarios (Quilicura)'!$A:$A,0))</f>
        <v>20334.311798700004</v>
      </c>
      <c r="N828" s="19">
        <f>I828*INDEX('Pliegos Tarifarios (Quilicura)'!$C:$C,MATCH($B828,'Pliegos Tarifarios (Quilicura)'!$A:$A,0))</f>
        <v>1397.7741421999999</v>
      </c>
      <c r="O828" s="19">
        <f>J828*INDEX('Pliegos Tarifarios (Quilicura)'!$D:$D,MATCH($B828,'Pliegos Tarifarios (Quilicura)'!$A:$A,0))</f>
        <v>5864.9716865999999</v>
      </c>
      <c r="P828" s="19">
        <f>H828*INDEX('Pliegos Tarifarios (Quilicura)'!$E:$E,MATCH($B828,'Pliegos Tarifarios (Quilicura)'!$A:$A,0))</f>
        <v>2009.9274976000002</v>
      </c>
      <c r="Q828" s="19" cm="1">
        <f t="array" ref="Q828">H828*_xlfn.IFS(H828&lt;=350,INDEX('Pliegos Tarifarios (Quilicura)'!$F:$F,MATCH($B828,'Pliegos Tarifarios (Quilicura)'!$A:$A,0)),H828&lt;=500,INDEX('Pliegos Tarifarios (Quilicura)'!$G:$G,MATCH($B828,'Pliegos Tarifarios (Quilicura)'!$A:$A,0)),H828&lt;=1000,INDEX('Pliegos Tarifarios (Quilicura)'!$H:$H,MATCH($B828,'Pliegos Tarifarios (Quilicura)'!$A:$A,0)),H828&lt;=5000,INDEX('Pliegos Tarifarios (Quilicura)'!$I:$I,MATCH($B828,'Pliegos Tarifarios (Quilicura)'!$A:$A,0)),H828&gt;5000,INDEX('Pliegos Tarifarios (Quilicura)'!$J:$J,MATCH($B828,'Pliegos Tarifarios (Quilicura)'!$A:$A,0)))/1.19</f>
        <v>110.88049537815127</v>
      </c>
      <c r="R828" s="19">
        <f>INDEX('Pliegos Tarifarios (Quilicura)'!$K:$K,MATCH($B828,'Pliegos Tarifarios (Quilicura)'!$A:$A,0))</f>
        <v>733.35299999999995</v>
      </c>
      <c r="S828" s="21">
        <f t="shared" si="39"/>
        <v>30451.218620478157</v>
      </c>
      <c r="T828" s="21">
        <f t="shared" si="40"/>
        <v>5785.7315378908497</v>
      </c>
      <c r="U828" s="19">
        <v>0</v>
      </c>
      <c r="V828" s="21">
        <f t="shared" si="41"/>
        <v>36236.950158369007</v>
      </c>
    </row>
    <row r="829" spans="1:22" x14ac:dyDescent="0.3">
      <c r="A829" s="7" t="s">
        <v>151</v>
      </c>
      <c r="B829" s="7">
        <v>12</v>
      </c>
      <c r="C829" s="8" t="s">
        <v>186</v>
      </c>
      <c r="D829" s="7" t="s">
        <v>244</v>
      </c>
      <c r="E829" s="7" t="s">
        <v>121</v>
      </c>
      <c r="F829" s="8" t="s">
        <v>245</v>
      </c>
      <c r="G829" s="7" t="s">
        <v>30</v>
      </c>
      <c r="H829" s="9">
        <v>154.2235</v>
      </c>
      <c r="I829" s="9">
        <v>0.40970000000000001</v>
      </c>
      <c r="J829" s="9">
        <v>0.40510000000000002</v>
      </c>
      <c r="K829" s="10">
        <v>0.98877227239443499</v>
      </c>
      <c r="L829" s="9">
        <v>4.97</v>
      </c>
      <c r="M829" s="19">
        <f>H829*INDEX('Pliegos Tarifarios (Quilicura)'!$B:$B,MATCH($B829,'Pliegos Tarifarios (Quilicura)'!$A:$A,0))</f>
        <v>20320.9510305</v>
      </c>
      <c r="N829" s="19">
        <f>I829*INDEX('Pliegos Tarifarios (Quilicura)'!$C:$C,MATCH($B829,'Pliegos Tarifarios (Quilicura)'!$A:$A,0))</f>
        <v>1419.6035351</v>
      </c>
      <c r="O829" s="19">
        <f>J829*INDEX('Pliegos Tarifarios (Quilicura)'!$D:$D,MATCH($B829,'Pliegos Tarifarios (Quilicura)'!$A:$A,0))</f>
        <v>5889.6877299000007</v>
      </c>
      <c r="P829" s="19">
        <f>H829*INDEX('Pliegos Tarifarios (Quilicura)'!$E:$E,MATCH($B829,'Pliegos Tarifarios (Quilicura)'!$A:$A,0))</f>
        <v>2008.6068639999999</v>
      </c>
      <c r="Q829" s="19" cm="1">
        <f t="array" ref="Q829">H829*_xlfn.IFS(H829&lt;=350,INDEX('Pliegos Tarifarios (Quilicura)'!$F:$F,MATCH($B829,'Pliegos Tarifarios (Quilicura)'!$A:$A,0)),H829&lt;=500,INDEX('Pliegos Tarifarios (Quilicura)'!$G:$G,MATCH($B829,'Pliegos Tarifarios (Quilicura)'!$A:$A,0)),H829&lt;=1000,INDEX('Pliegos Tarifarios (Quilicura)'!$H:$H,MATCH($B829,'Pliegos Tarifarios (Quilicura)'!$A:$A,0)),H829&lt;=5000,INDEX('Pliegos Tarifarios (Quilicura)'!$I:$I,MATCH($B829,'Pliegos Tarifarios (Quilicura)'!$A:$A,0)),H829&gt;5000,INDEX('Pliegos Tarifarios (Quilicura)'!$J:$J,MATCH($B829,'Pliegos Tarifarios (Quilicura)'!$A:$A,0)))/1.19</f>
        <v>110.80764075630253</v>
      </c>
      <c r="R829" s="19">
        <f>INDEX('Pliegos Tarifarios (Quilicura)'!$K:$K,MATCH($B829,'Pliegos Tarifarios (Quilicura)'!$A:$A,0))</f>
        <v>733.35299999999995</v>
      </c>
      <c r="S829" s="21">
        <f t="shared" si="39"/>
        <v>30483.009800256303</v>
      </c>
      <c r="T829" s="21">
        <f t="shared" si="40"/>
        <v>5791.7718620486976</v>
      </c>
      <c r="U829" s="19">
        <v>0</v>
      </c>
      <c r="V829" s="21">
        <f t="shared" si="41"/>
        <v>36274.781662305002</v>
      </c>
    </row>
    <row r="830" spans="1:22" x14ac:dyDescent="0.3">
      <c r="A830" s="7" t="s">
        <v>151</v>
      </c>
      <c r="B830" s="7">
        <v>12</v>
      </c>
      <c r="C830" s="8" t="s">
        <v>186</v>
      </c>
      <c r="D830" s="7" t="s">
        <v>246</v>
      </c>
      <c r="E830" s="7" t="s">
        <v>121</v>
      </c>
      <c r="F830" s="8" t="s">
        <v>247</v>
      </c>
      <c r="G830" s="7" t="s">
        <v>30</v>
      </c>
      <c r="H830" s="9">
        <v>154.52359999999999</v>
      </c>
      <c r="I830" s="9">
        <v>0.40289999999999998</v>
      </c>
      <c r="J830" s="9">
        <v>0.39679999999999999</v>
      </c>
      <c r="K830" s="10">
        <v>0.98485976669148678</v>
      </c>
      <c r="L830" s="9">
        <v>4.9800000000000004</v>
      </c>
      <c r="M830" s="19">
        <f>H830*INDEX('Pliegos Tarifarios (Quilicura)'!$B:$B,MATCH($B830,'Pliegos Tarifarios (Quilicura)'!$A:$A,0))</f>
        <v>20360.493106800001</v>
      </c>
      <c r="N830" s="19">
        <f>I830*INDEX('Pliegos Tarifarios (Quilicura)'!$C:$C,MATCH($B830,'Pliegos Tarifarios (Quilicura)'!$A:$A,0))</f>
        <v>1396.0416507</v>
      </c>
      <c r="O830" s="19">
        <f>J830*INDEX('Pliegos Tarifarios (Quilicura)'!$D:$D,MATCH($B830,'Pliegos Tarifarios (Quilicura)'!$A:$A,0))</f>
        <v>5769.0152831999994</v>
      </c>
      <c r="P830" s="19">
        <f>H830*INDEX('Pliegos Tarifarios (Quilicura)'!$E:$E,MATCH($B830,'Pliegos Tarifarios (Quilicura)'!$A:$A,0))</f>
        <v>2012.5153663999997</v>
      </c>
      <c r="Q830" s="19" cm="1">
        <f t="array" ref="Q830">H830*_xlfn.IFS(H830&lt;=350,INDEX('Pliegos Tarifarios (Quilicura)'!$F:$F,MATCH($B830,'Pliegos Tarifarios (Quilicura)'!$A:$A,0)),H830&lt;=500,INDEX('Pliegos Tarifarios (Quilicura)'!$G:$G,MATCH($B830,'Pliegos Tarifarios (Quilicura)'!$A:$A,0)),H830&lt;=1000,INDEX('Pliegos Tarifarios (Quilicura)'!$H:$H,MATCH($B830,'Pliegos Tarifarios (Quilicura)'!$A:$A,0)),H830&lt;=5000,INDEX('Pliegos Tarifarios (Quilicura)'!$I:$I,MATCH($B830,'Pliegos Tarifarios (Quilicura)'!$A:$A,0)),H830&gt;5000,INDEX('Pliegos Tarifarios (Quilicura)'!$J:$J,MATCH($B830,'Pliegos Tarifarios (Quilicura)'!$A:$A,0)))/1.19</f>
        <v>111.0232588235294</v>
      </c>
      <c r="R830" s="19">
        <f>INDEX('Pliegos Tarifarios (Quilicura)'!$K:$K,MATCH($B830,'Pliegos Tarifarios (Quilicura)'!$A:$A,0))</f>
        <v>733.35299999999995</v>
      </c>
      <c r="S830" s="21">
        <f t="shared" si="39"/>
        <v>30382.441665923528</v>
      </c>
      <c r="T830" s="21">
        <f t="shared" si="40"/>
        <v>5772.6639165254701</v>
      </c>
      <c r="U830" s="19">
        <v>0</v>
      </c>
      <c r="V830" s="21">
        <f t="shared" si="41"/>
        <v>36155.105582448996</v>
      </c>
    </row>
    <row r="831" spans="1:22" x14ac:dyDescent="0.3">
      <c r="A831" s="7" t="s">
        <v>151</v>
      </c>
      <c r="B831" s="7">
        <v>12</v>
      </c>
      <c r="C831" s="8" t="s">
        <v>186</v>
      </c>
      <c r="D831" s="7" t="s">
        <v>248</v>
      </c>
      <c r="E831" s="7" t="s">
        <v>121</v>
      </c>
      <c r="F831" s="8" t="s">
        <v>249</v>
      </c>
      <c r="G831" s="7" t="s">
        <v>30</v>
      </c>
      <c r="H831" s="9">
        <v>154.0446</v>
      </c>
      <c r="I831" s="9">
        <v>0.40510000000000002</v>
      </c>
      <c r="J831" s="9">
        <v>0.40510000000000002</v>
      </c>
      <c r="K831" s="10">
        <v>1</v>
      </c>
      <c r="L831" s="9">
        <v>4.97</v>
      </c>
      <c r="M831" s="19">
        <f>H831*INDEX('Pliegos Tarifarios (Quilicura)'!$B:$B,MATCH($B831,'Pliegos Tarifarios (Quilicura)'!$A:$A,0))</f>
        <v>20297.378629800001</v>
      </c>
      <c r="N831" s="19">
        <f>I831*INDEX('Pliegos Tarifarios (Quilicura)'!$C:$C,MATCH($B831,'Pliegos Tarifarios (Quilicura)'!$A:$A,0))</f>
        <v>1403.6646133000002</v>
      </c>
      <c r="O831" s="19">
        <f>J831*INDEX('Pliegos Tarifarios (Quilicura)'!$D:$D,MATCH($B831,'Pliegos Tarifarios (Quilicura)'!$A:$A,0))</f>
        <v>5889.6877299000007</v>
      </c>
      <c r="P831" s="19">
        <f>H831*INDEX('Pliegos Tarifarios (Quilicura)'!$E:$E,MATCH($B831,'Pliegos Tarifarios (Quilicura)'!$A:$A,0))</f>
        <v>2006.2768704</v>
      </c>
      <c r="Q831" s="19" cm="1">
        <f t="array" ref="Q831">H831*_xlfn.IFS(H831&lt;=350,INDEX('Pliegos Tarifarios (Quilicura)'!$F:$F,MATCH($B831,'Pliegos Tarifarios (Quilicura)'!$A:$A,0)),H831&lt;=500,INDEX('Pliegos Tarifarios (Quilicura)'!$G:$G,MATCH($B831,'Pliegos Tarifarios (Quilicura)'!$A:$A,0)),H831&lt;=1000,INDEX('Pliegos Tarifarios (Quilicura)'!$H:$H,MATCH($B831,'Pliegos Tarifarios (Quilicura)'!$A:$A,0)),H831&lt;=5000,INDEX('Pliegos Tarifarios (Quilicura)'!$I:$I,MATCH($B831,'Pliegos Tarifarios (Quilicura)'!$A:$A,0)),H831&gt;5000,INDEX('Pliegos Tarifarios (Quilicura)'!$J:$J,MATCH($B831,'Pliegos Tarifarios (Quilicura)'!$A:$A,0)))/1.19</f>
        <v>110.67910336134454</v>
      </c>
      <c r="R831" s="19">
        <f>INDEX('Pliegos Tarifarios (Quilicura)'!$K:$K,MATCH($B831,'Pliegos Tarifarios (Quilicura)'!$A:$A,0))</f>
        <v>733.35299999999995</v>
      </c>
      <c r="S831" s="21">
        <f t="shared" si="39"/>
        <v>30441.039946761346</v>
      </c>
      <c r="T831" s="21">
        <f t="shared" si="40"/>
        <v>5783.7975898846562</v>
      </c>
      <c r="U831" s="19">
        <v>0</v>
      </c>
      <c r="V831" s="21">
        <f t="shared" si="41"/>
        <v>36224.837536646002</v>
      </c>
    </row>
    <row r="832" spans="1:22" x14ac:dyDescent="0.3">
      <c r="A832" s="7" t="s">
        <v>151</v>
      </c>
      <c r="B832" s="7">
        <v>12</v>
      </c>
      <c r="C832" s="8" t="s">
        <v>186</v>
      </c>
      <c r="D832" s="7" t="s">
        <v>250</v>
      </c>
      <c r="E832" s="7" t="s">
        <v>121</v>
      </c>
      <c r="F832" s="8" t="s">
        <v>251</v>
      </c>
      <c r="G832" s="7" t="s">
        <v>30</v>
      </c>
      <c r="H832" s="9">
        <v>154.29750000000001</v>
      </c>
      <c r="I832" s="9">
        <v>0.40250000000000002</v>
      </c>
      <c r="J832" s="9">
        <v>0.3921</v>
      </c>
      <c r="K832" s="10">
        <v>0.97416149068322977</v>
      </c>
      <c r="L832" s="9">
        <v>4.9800000000000004</v>
      </c>
      <c r="M832" s="19">
        <f>H832*INDEX('Pliegos Tarifarios (Quilicura)'!$B:$B,MATCH($B832,'Pliegos Tarifarios (Quilicura)'!$A:$A,0))</f>
        <v>20330.701492500004</v>
      </c>
      <c r="N832" s="19">
        <f>I832*INDEX('Pliegos Tarifarios (Quilicura)'!$C:$C,MATCH($B832,'Pliegos Tarifarios (Quilicura)'!$A:$A,0))</f>
        <v>1394.6556575000002</v>
      </c>
      <c r="O832" s="19">
        <f>J832*INDEX('Pliegos Tarifarios (Quilicura)'!$D:$D,MATCH($B832,'Pliegos Tarifarios (Quilicura)'!$A:$A,0))</f>
        <v>5700.6826928999999</v>
      </c>
      <c r="P832" s="19">
        <f>H832*INDEX('Pliegos Tarifarios (Quilicura)'!$E:$E,MATCH($B832,'Pliegos Tarifarios (Quilicura)'!$A:$A,0))</f>
        <v>2009.5706400000001</v>
      </c>
      <c r="Q832" s="19" cm="1">
        <f t="array" ref="Q832">H832*_xlfn.IFS(H832&lt;=350,INDEX('Pliegos Tarifarios (Quilicura)'!$F:$F,MATCH($B832,'Pliegos Tarifarios (Quilicura)'!$A:$A,0)),H832&lt;=500,INDEX('Pliegos Tarifarios (Quilicura)'!$G:$G,MATCH($B832,'Pliegos Tarifarios (Quilicura)'!$A:$A,0)),H832&lt;=1000,INDEX('Pliegos Tarifarios (Quilicura)'!$H:$H,MATCH($B832,'Pliegos Tarifarios (Quilicura)'!$A:$A,0)),H832&lt;=5000,INDEX('Pliegos Tarifarios (Quilicura)'!$I:$I,MATCH($B832,'Pliegos Tarifarios (Quilicura)'!$A:$A,0)),H832&gt;5000,INDEX('Pliegos Tarifarios (Quilicura)'!$J:$J,MATCH($B832,'Pliegos Tarifarios (Quilicura)'!$A:$A,0)))/1.19</f>
        <v>110.86080882352941</v>
      </c>
      <c r="R832" s="19">
        <f>INDEX('Pliegos Tarifarios (Quilicura)'!$K:$K,MATCH($B832,'Pliegos Tarifarios (Quilicura)'!$A:$A,0))</f>
        <v>733.35299999999995</v>
      </c>
      <c r="S832" s="21">
        <f t="shared" si="39"/>
        <v>30279.824291723537</v>
      </c>
      <c r="T832" s="21">
        <f t="shared" si="40"/>
        <v>5753.1666154274717</v>
      </c>
      <c r="U832" s="19">
        <v>0</v>
      </c>
      <c r="V832" s="21">
        <f t="shared" si="41"/>
        <v>36032.990907151005</v>
      </c>
    </row>
    <row r="833" spans="1:22" x14ac:dyDescent="0.3">
      <c r="A833" s="7" t="s">
        <v>151</v>
      </c>
      <c r="B833" s="7">
        <v>12</v>
      </c>
      <c r="C833" s="8" t="s">
        <v>186</v>
      </c>
      <c r="D833" s="7" t="s">
        <v>252</v>
      </c>
      <c r="E833" s="7" t="s">
        <v>121</v>
      </c>
      <c r="F833" s="8" t="s">
        <v>253</v>
      </c>
      <c r="G833" s="7" t="s">
        <v>30</v>
      </c>
      <c r="H833" s="9">
        <v>153.99979999999999</v>
      </c>
      <c r="I833" s="9">
        <v>0.40429999999999999</v>
      </c>
      <c r="J833" s="9">
        <v>0.40089999999999998</v>
      </c>
      <c r="K833" s="10">
        <v>0.99159040316596581</v>
      </c>
      <c r="L833" s="9">
        <v>4.97</v>
      </c>
      <c r="M833" s="19">
        <f>H833*INDEX('Pliegos Tarifarios (Quilicura)'!$B:$B,MATCH($B833,'Pliegos Tarifarios (Quilicura)'!$A:$A,0))</f>
        <v>20291.475647399999</v>
      </c>
      <c r="N833" s="19">
        <f>I833*INDEX('Pliegos Tarifarios (Quilicura)'!$C:$C,MATCH($B833,'Pliegos Tarifarios (Quilicura)'!$A:$A,0))</f>
        <v>1400.8926269000001</v>
      </c>
      <c r="O833" s="19">
        <f>J833*INDEX('Pliegos Tarifarios (Quilicura)'!$D:$D,MATCH($B833,'Pliegos Tarifarios (Quilicura)'!$A:$A,0))</f>
        <v>5828.6245640999996</v>
      </c>
      <c r="P833" s="19">
        <f>H833*INDEX('Pliegos Tarifarios (Quilicura)'!$E:$E,MATCH($B833,'Pliegos Tarifarios (Quilicura)'!$A:$A,0))</f>
        <v>2005.6933951999997</v>
      </c>
      <c r="Q833" s="19" cm="1">
        <f t="array" ref="Q833">H833*_xlfn.IFS(H833&lt;=350,INDEX('Pliegos Tarifarios (Quilicura)'!$F:$F,MATCH($B833,'Pliegos Tarifarios (Quilicura)'!$A:$A,0)),H833&lt;=500,INDEX('Pliegos Tarifarios (Quilicura)'!$G:$G,MATCH($B833,'Pliegos Tarifarios (Quilicura)'!$A:$A,0)),H833&lt;=1000,INDEX('Pliegos Tarifarios (Quilicura)'!$H:$H,MATCH($B833,'Pliegos Tarifarios (Quilicura)'!$A:$A,0)),H833&lt;=5000,INDEX('Pliegos Tarifarios (Quilicura)'!$I:$I,MATCH($B833,'Pliegos Tarifarios (Quilicura)'!$A:$A,0)),H833&gt;5000,INDEX('Pliegos Tarifarios (Quilicura)'!$J:$J,MATCH($B833,'Pliegos Tarifarios (Quilicura)'!$A:$A,0)))/1.19</f>
        <v>110.64691512605042</v>
      </c>
      <c r="R833" s="19">
        <f>INDEX('Pliegos Tarifarios (Quilicura)'!$K:$K,MATCH($B833,'Pliegos Tarifarios (Quilicura)'!$A:$A,0))</f>
        <v>733.35299999999995</v>
      </c>
      <c r="S833" s="21">
        <f t="shared" ref="S833:S843" si="42">SUM(M833:R833)</f>
        <v>30370.686148726047</v>
      </c>
      <c r="T833" s="21">
        <f t="shared" ref="T833:T843" si="43">S833*0.19</f>
        <v>5770.4303682579493</v>
      </c>
      <c r="U833" s="19">
        <v>0</v>
      </c>
      <c r="V833" s="21">
        <f t="shared" ref="V833:V843" si="44">SUM(S833:T833)</f>
        <v>36141.116516983995</v>
      </c>
    </row>
    <row r="834" spans="1:22" x14ac:dyDescent="0.3">
      <c r="A834" s="7" t="s">
        <v>151</v>
      </c>
      <c r="B834" s="7">
        <v>12</v>
      </c>
      <c r="C834" s="8" t="s">
        <v>186</v>
      </c>
      <c r="D834" s="7" t="s">
        <v>254</v>
      </c>
      <c r="E834" s="7" t="s">
        <v>121</v>
      </c>
      <c r="F834" s="8" t="s">
        <v>255</v>
      </c>
      <c r="G834" s="7" t="s">
        <v>30</v>
      </c>
      <c r="H834" s="9">
        <v>154.4067</v>
      </c>
      <c r="I834" s="9">
        <v>0.40460000000000002</v>
      </c>
      <c r="J834" s="9">
        <v>0.40460000000000002</v>
      </c>
      <c r="K834" s="10">
        <v>1</v>
      </c>
      <c r="L834" s="9">
        <v>4.9800000000000004</v>
      </c>
      <c r="M834" s="19">
        <f>H834*INDEX('Pliegos Tarifarios (Quilicura)'!$B:$B,MATCH($B834,'Pliegos Tarifarios (Quilicura)'!$A:$A,0))</f>
        <v>20345.090012100001</v>
      </c>
      <c r="N834" s="19">
        <f>I834*INDEX('Pliegos Tarifarios (Quilicura)'!$C:$C,MATCH($B834,'Pliegos Tarifarios (Quilicura)'!$A:$A,0))</f>
        <v>1401.9321218000002</v>
      </c>
      <c r="O834" s="19">
        <f>J834*INDEX('Pliegos Tarifarios (Quilicura)'!$D:$D,MATCH($B834,'Pliegos Tarifarios (Quilicura)'!$A:$A,0))</f>
        <v>5882.4183054000005</v>
      </c>
      <c r="P834" s="19">
        <f>H834*INDEX('Pliegos Tarifarios (Quilicura)'!$E:$E,MATCH($B834,'Pliegos Tarifarios (Quilicura)'!$A:$A,0))</f>
        <v>2010.9928607999998</v>
      </c>
      <c r="Q834" s="19" cm="1">
        <f t="array" ref="Q834">H834*_xlfn.IFS(H834&lt;=350,INDEX('Pliegos Tarifarios (Quilicura)'!$F:$F,MATCH($B834,'Pliegos Tarifarios (Quilicura)'!$A:$A,0)),H834&lt;=500,INDEX('Pliegos Tarifarios (Quilicura)'!$G:$G,MATCH($B834,'Pliegos Tarifarios (Quilicura)'!$A:$A,0)),H834&lt;=1000,INDEX('Pliegos Tarifarios (Quilicura)'!$H:$H,MATCH($B834,'Pliegos Tarifarios (Quilicura)'!$A:$A,0)),H834&lt;=5000,INDEX('Pliegos Tarifarios (Quilicura)'!$I:$I,MATCH($B834,'Pliegos Tarifarios (Quilicura)'!$A:$A,0)),H834&gt;5000,INDEX('Pliegos Tarifarios (Quilicura)'!$J:$J,MATCH($B834,'Pliegos Tarifarios (Quilicura)'!$A:$A,0)))/1.19</f>
        <v>110.93926764705883</v>
      </c>
      <c r="R834" s="19">
        <f>INDEX('Pliegos Tarifarios (Quilicura)'!$K:$K,MATCH($B834,'Pliegos Tarifarios (Quilicura)'!$A:$A,0))</f>
        <v>733.35299999999995</v>
      </c>
      <c r="S834" s="21">
        <f t="shared" si="42"/>
        <v>30484.72556774706</v>
      </c>
      <c r="T834" s="21">
        <f t="shared" si="43"/>
        <v>5792.0978578719414</v>
      </c>
      <c r="U834" s="19">
        <v>0</v>
      </c>
      <c r="V834" s="21">
        <f t="shared" si="44"/>
        <v>36276.823425619004</v>
      </c>
    </row>
    <row r="835" spans="1:22" x14ac:dyDescent="0.3">
      <c r="A835" s="7" t="s">
        <v>151</v>
      </c>
      <c r="B835" s="7">
        <v>12</v>
      </c>
      <c r="C835" s="8" t="s">
        <v>186</v>
      </c>
      <c r="D835" s="7" t="s">
        <v>256</v>
      </c>
      <c r="E835" s="7" t="s">
        <v>121</v>
      </c>
      <c r="F835" s="8" t="s">
        <v>257</v>
      </c>
      <c r="G835" s="7" t="s">
        <v>30</v>
      </c>
      <c r="H835" s="9">
        <v>154.2466</v>
      </c>
      <c r="I835" s="9">
        <v>0.41099999999999998</v>
      </c>
      <c r="J835" s="9">
        <v>0.41099999999999998</v>
      </c>
      <c r="K835" s="10">
        <v>1</v>
      </c>
      <c r="L835" s="9">
        <v>4.9800000000000004</v>
      </c>
      <c r="M835" s="19">
        <f>H835*INDEX('Pliegos Tarifarios (Quilicura)'!$B:$B,MATCH($B835,'Pliegos Tarifarios (Quilicura)'!$A:$A,0))</f>
        <v>20323.994755800002</v>
      </c>
      <c r="N835" s="19">
        <f>I835*INDEX('Pliegos Tarifarios (Quilicura)'!$C:$C,MATCH($B835,'Pliegos Tarifarios (Quilicura)'!$A:$A,0))</f>
        <v>1424.108013</v>
      </c>
      <c r="O835" s="19">
        <f>J835*INDEX('Pliegos Tarifarios (Quilicura)'!$D:$D,MATCH($B835,'Pliegos Tarifarios (Quilicura)'!$A:$A,0))</f>
        <v>5975.4669389999999</v>
      </c>
      <c r="P835" s="19">
        <f>H835*INDEX('Pliegos Tarifarios (Quilicura)'!$E:$E,MATCH($B835,'Pliegos Tarifarios (Quilicura)'!$A:$A,0))</f>
        <v>2008.9077183999998</v>
      </c>
      <c r="Q835" s="19" cm="1">
        <f t="array" ref="Q835">H835*_xlfn.IFS(H835&lt;=350,INDEX('Pliegos Tarifarios (Quilicura)'!$F:$F,MATCH($B835,'Pliegos Tarifarios (Quilicura)'!$A:$A,0)),H835&lt;=500,INDEX('Pliegos Tarifarios (Quilicura)'!$G:$G,MATCH($B835,'Pliegos Tarifarios (Quilicura)'!$A:$A,0)),H835&lt;=1000,INDEX('Pliegos Tarifarios (Quilicura)'!$H:$H,MATCH($B835,'Pliegos Tarifarios (Quilicura)'!$A:$A,0)),H835&lt;=5000,INDEX('Pliegos Tarifarios (Quilicura)'!$I:$I,MATCH($B835,'Pliegos Tarifarios (Quilicura)'!$A:$A,0)),H835&gt;5000,INDEX('Pliegos Tarifarios (Quilicura)'!$J:$J,MATCH($B835,'Pliegos Tarifarios (Quilicura)'!$A:$A,0)))/1.19</f>
        <v>110.82423781512605</v>
      </c>
      <c r="R835" s="19">
        <f>INDEX('Pliegos Tarifarios (Quilicura)'!$K:$K,MATCH($B835,'Pliegos Tarifarios (Quilicura)'!$A:$A,0))</f>
        <v>733.35299999999995</v>
      </c>
      <c r="S835" s="21">
        <f t="shared" si="42"/>
        <v>30576.654664015125</v>
      </c>
      <c r="T835" s="21">
        <f t="shared" si="43"/>
        <v>5809.5643861628741</v>
      </c>
      <c r="U835" s="19">
        <v>0</v>
      </c>
      <c r="V835" s="21">
        <f t="shared" si="44"/>
        <v>36386.219050177999</v>
      </c>
    </row>
    <row r="836" spans="1:22" x14ac:dyDescent="0.3">
      <c r="A836" s="7" t="s">
        <v>151</v>
      </c>
      <c r="B836" s="7">
        <v>12</v>
      </c>
      <c r="C836" s="8" t="s">
        <v>186</v>
      </c>
      <c r="D836" s="7" t="s">
        <v>258</v>
      </c>
      <c r="E836" s="7" t="s">
        <v>121</v>
      </c>
      <c r="F836" s="8" t="s">
        <v>259</v>
      </c>
      <c r="G836" s="7" t="s">
        <v>30</v>
      </c>
      <c r="H836" s="9">
        <v>154.3057</v>
      </c>
      <c r="I836" s="9">
        <v>0.40229999999999999</v>
      </c>
      <c r="J836" s="9">
        <v>0.40079999999999999</v>
      </c>
      <c r="K836" s="10">
        <v>0.99627143922445938</v>
      </c>
      <c r="L836" s="9">
        <v>4.9800000000000004</v>
      </c>
      <c r="M836" s="19">
        <f>H836*INDEX('Pliegos Tarifarios (Quilicura)'!$B:$B,MATCH($B836,'Pliegos Tarifarios (Quilicura)'!$A:$A,0))</f>
        <v>20331.781949100001</v>
      </c>
      <c r="N836" s="19">
        <f>I836*INDEX('Pliegos Tarifarios (Quilicura)'!$C:$C,MATCH($B836,'Pliegos Tarifarios (Quilicura)'!$A:$A,0))</f>
        <v>1393.9626608999999</v>
      </c>
      <c r="O836" s="19">
        <f>J836*INDEX('Pliegos Tarifarios (Quilicura)'!$D:$D,MATCH($B836,'Pliegos Tarifarios (Quilicura)'!$A:$A,0))</f>
        <v>5827.1706791999995</v>
      </c>
      <c r="P836" s="19">
        <f>H836*INDEX('Pliegos Tarifarios (Quilicura)'!$E:$E,MATCH($B836,'Pliegos Tarifarios (Quilicura)'!$A:$A,0))</f>
        <v>2009.6774367999999</v>
      </c>
      <c r="Q836" s="19" cm="1">
        <f t="array" ref="Q836">H836*_xlfn.IFS(H836&lt;=350,INDEX('Pliegos Tarifarios (Quilicura)'!$F:$F,MATCH($B836,'Pliegos Tarifarios (Quilicura)'!$A:$A,0)),H836&lt;=500,INDEX('Pliegos Tarifarios (Quilicura)'!$G:$G,MATCH($B836,'Pliegos Tarifarios (Quilicura)'!$A:$A,0)),H836&lt;=1000,INDEX('Pliegos Tarifarios (Quilicura)'!$H:$H,MATCH($B836,'Pliegos Tarifarios (Quilicura)'!$A:$A,0)),H836&lt;=5000,INDEX('Pliegos Tarifarios (Quilicura)'!$I:$I,MATCH($B836,'Pliegos Tarifarios (Quilicura)'!$A:$A,0)),H836&gt;5000,INDEX('Pliegos Tarifarios (Quilicura)'!$J:$J,MATCH($B836,'Pliegos Tarifarios (Quilicura)'!$A:$A,0)))/1.19</f>
        <v>110.86670042016807</v>
      </c>
      <c r="R836" s="19">
        <f>INDEX('Pliegos Tarifarios (Quilicura)'!$K:$K,MATCH($B836,'Pliegos Tarifarios (Quilicura)'!$A:$A,0))</f>
        <v>733.35299999999995</v>
      </c>
      <c r="S836" s="21">
        <f t="shared" si="42"/>
        <v>30406.812426420169</v>
      </c>
      <c r="T836" s="21">
        <f t="shared" si="43"/>
        <v>5777.2943610198317</v>
      </c>
      <c r="U836" s="19">
        <v>0</v>
      </c>
      <c r="V836" s="21">
        <f t="shared" si="44"/>
        <v>36184.106787440003</v>
      </c>
    </row>
    <row r="837" spans="1:22" x14ac:dyDescent="0.3">
      <c r="A837" s="7" t="s">
        <v>151</v>
      </c>
      <c r="B837" s="7">
        <v>12</v>
      </c>
      <c r="C837" s="8" t="s">
        <v>186</v>
      </c>
      <c r="D837" s="7" t="s">
        <v>260</v>
      </c>
      <c r="E837" s="7" t="s">
        <v>121</v>
      </c>
      <c r="F837" s="8" t="s">
        <v>261</v>
      </c>
      <c r="G837" s="7" t="s">
        <v>16</v>
      </c>
      <c r="H837" s="9">
        <v>1265.896</v>
      </c>
      <c r="I837" s="9">
        <v>3.3651</v>
      </c>
      <c r="J837" s="9">
        <v>3.25</v>
      </c>
      <c r="K837" s="10">
        <v>0.96579596445870852</v>
      </c>
      <c r="L837" s="9">
        <v>40.840000000000003</v>
      </c>
      <c r="M837" s="19">
        <f>H837*INDEX('Pliegos Tarifarios (Quilicura)'!$B:$B,MATCH($B837,'Pliegos Tarifarios (Quilicura)'!$A:$A,0))</f>
        <v>166798.254648</v>
      </c>
      <c r="N837" s="19">
        <f>I837*INDEX('Pliegos Tarifarios (Quilicura)'!$C:$C,MATCH($B837,'Pliegos Tarifarios (Quilicura)'!$A:$A,0))</f>
        <v>11660.014293300001</v>
      </c>
      <c r="O837" s="19">
        <f>J837*INDEX('Pliegos Tarifarios (Quilicura)'!$D:$D,MATCH($B837,'Pliegos Tarifarios (Quilicura)'!$A:$A,0))</f>
        <v>47251.259250000003</v>
      </c>
      <c r="P837" s="19">
        <f>H837*INDEX('Pliegos Tarifarios (Quilicura)'!$E:$E,MATCH($B837,'Pliegos Tarifarios (Quilicura)'!$A:$A,0))</f>
        <v>16487.029503999998</v>
      </c>
      <c r="Q837" s="19" cm="1">
        <f t="array" ref="Q837">H837*_xlfn.IFS(H837&lt;=350,INDEX('Pliegos Tarifarios (Quilicura)'!$F:$F,MATCH($B837,'Pliegos Tarifarios (Quilicura)'!$A:$A,0)),H837&lt;=500,INDEX('Pliegos Tarifarios (Quilicura)'!$G:$G,MATCH($B837,'Pliegos Tarifarios (Quilicura)'!$A:$A,0)),H837&lt;=1000,INDEX('Pliegos Tarifarios (Quilicura)'!$H:$H,MATCH($B837,'Pliegos Tarifarios (Quilicura)'!$A:$A,0)),H837&lt;=5000,INDEX('Pliegos Tarifarios (Quilicura)'!$I:$I,MATCH($B837,'Pliegos Tarifarios (Quilicura)'!$A:$A,0)),H837&gt;5000,INDEX('Pliegos Tarifarios (Quilicura)'!$J:$J,MATCH($B837,'Pliegos Tarifarios (Quilicura)'!$A:$A,0)))/1.19</f>
        <v>3874.2800268907558</v>
      </c>
      <c r="R837" s="19">
        <f>INDEX('Pliegos Tarifarios (Quilicura)'!$K:$K,MATCH($B837,'Pliegos Tarifarios (Quilicura)'!$A:$A,0))</f>
        <v>733.35299999999995</v>
      </c>
      <c r="S837" s="21">
        <f t="shared" si="42"/>
        <v>246804.19072219075</v>
      </c>
      <c r="T837" s="21">
        <f t="shared" si="43"/>
        <v>46892.796237216244</v>
      </c>
      <c r="U837" s="19">
        <v>0</v>
      </c>
      <c r="V837" s="21">
        <f t="shared" si="44"/>
        <v>293696.98695940699</v>
      </c>
    </row>
    <row r="838" spans="1:22" x14ac:dyDescent="0.3">
      <c r="A838" s="7" t="s">
        <v>151</v>
      </c>
      <c r="B838" s="7">
        <v>12</v>
      </c>
      <c r="C838" s="8" t="s">
        <v>186</v>
      </c>
      <c r="D838" s="7" t="s">
        <v>262</v>
      </c>
      <c r="E838" s="7" t="s">
        <v>121</v>
      </c>
      <c r="F838" s="8" t="s">
        <v>263</v>
      </c>
      <c r="G838" s="7" t="s">
        <v>16</v>
      </c>
      <c r="H838" s="9">
        <v>1268.7411</v>
      </c>
      <c r="I838" s="9">
        <v>3.3222999999999998</v>
      </c>
      <c r="J838" s="9">
        <v>3.2374999999999998</v>
      </c>
      <c r="K838" s="10">
        <v>0.97447551395117837</v>
      </c>
      <c r="L838" s="9">
        <v>40.93</v>
      </c>
      <c r="M838" s="19">
        <f>H838*INDEX('Pliegos Tarifarios (Quilicura)'!$B:$B,MATCH($B838,'Pliegos Tarifarios (Quilicura)'!$A:$A,0))</f>
        <v>167173.13355930001</v>
      </c>
      <c r="N838" s="19">
        <f>I838*INDEX('Pliegos Tarifarios (Quilicura)'!$C:$C,MATCH($B838,'Pliegos Tarifarios (Quilicura)'!$A:$A,0))</f>
        <v>11511.713020900001</v>
      </c>
      <c r="O838" s="19">
        <f>J838*INDEX('Pliegos Tarifarios (Quilicura)'!$D:$D,MATCH($B838,'Pliegos Tarifarios (Quilicura)'!$A:$A,0))</f>
        <v>47069.523637499995</v>
      </c>
      <c r="P838" s="19">
        <f>H838*INDEX('Pliegos Tarifarios (Quilicura)'!$E:$E,MATCH($B838,'Pliegos Tarifarios (Quilicura)'!$A:$A,0))</f>
        <v>16524.084086399998</v>
      </c>
      <c r="Q838" s="19" cm="1">
        <f t="array" ref="Q838">H838*_xlfn.IFS(H838&lt;=350,INDEX('Pliegos Tarifarios (Quilicura)'!$F:$F,MATCH($B838,'Pliegos Tarifarios (Quilicura)'!$A:$A,0)),H838&lt;=500,INDEX('Pliegos Tarifarios (Quilicura)'!$G:$G,MATCH($B838,'Pliegos Tarifarios (Quilicura)'!$A:$A,0)),H838&lt;=1000,INDEX('Pliegos Tarifarios (Quilicura)'!$H:$H,MATCH($B838,'Pliegos Tarifarios (Quilicura)'!$A:$A,0)),H838&lt;=5000,INDEX('Pliegos Tarifarios (Quilicura)'!$I:$I,MATCH($B838,'Pliegos Tarifarios (Quilicura)'!$A:$A,0)),H838&gt;5000,INDEX('Pliegos Tarifarios (Quilicura)'!$J:$J,MATCH($B838,'Pliegos Tarifarios (Quilicura)'!$A:$A,0)))/1.19</f>
        <v>3882.987467394958</v>
      </c>
      <c r="R838" s="19">
        <f>INDEX('Pliegos Tarifarios (Quilicura)'!$K:$K,MATCH($B838,'Pliegos Tarifarios (Quilicura)'!$A:$A,0))</f>
        <v>733.35299999999995</v>
      </c>
      <c r="S838" s="21">
        <f t="shared" si="42"/>
        <v>246894.79477149498</v>
      </c>
      <c r="T838" s="21">
        <f t="shared" si="43"/>
        <v>46910.011006584049</v>
      </c>
      <c r="U838" s="19">
        <v>0</v>
      </c>
      <c r="V838" s="21">
        <f t="shared" si="44"/>
        <v>293804.80577807903</v>
      </c>
    </row>
    <row r="839" spans="1:22" x14ac:dyDescent="0.3">
      <c r="A839" s="7" t="s">
        <v>151</v>
      </c>
      <c r="B839" s="7">
        <v>12</v>
      </c>
      <c r="C839" s="8" t="s">
        <v>186</v>
      </c>
      <c r="D839" s="7" t="s">
        <v>264</v>
      </c>
      <c r="E839" s="7" t="s">
        <v>121</v>
      </c>
      <c r="F839" s="8" t="s">
        <v>265</v>
      </c>
      <c r="G839" s="7" t="s">
        <v>16</v>
      </c>
      <c r="H839" s="9">
        <v>1027.4177999999999</v>
      </c>
      <c r="I839" s="9">
        <v>2.6861999999999999</v>
      </c>
      <c r="J839" s="9">
        <v>2.6600999999999999</v>
      </c>
      <c r="K839" s="10">
        <v>0.99028367210185386</v>
      </c>
      <c r="L839" s="9">
        <v>33.14</v>
      </c>
      <c r="M839" s="19">
        <f>H839*INDEX('Pliegos Tarifarios (Quilicura)'!$B:$B,MATCH($B839,'Pliegos Tarifarios (Quilicura)'!$A:$A,0))</f>
        <v>135375.65158139999</v>
      </c>
      <c r="N839" s="19">
        <f>I839*INDEX('Pliegos Tarifarios (Quilicura)'!$C:$C,MATCH($B839,'Pliegos Tarifarios (Quilicura)'!$A:$A,0))</f>
        <v>9307.6373346</v>
      </c>
      <c r="O839" s="19">
        <f>J839*INDEX('Pliegos Tarifarios (Quilicura)'!$D:$D,MATCH($B839,'Pliegos Tarifarios (Quilicura)'!$A:$A,0))</f>
        <v>38674.792224899997</v>
      </c>
      <c r="P839" s="19">
        <f>H839*INDEX('Pliegos Tarifarios (Quilicura)'!$E:$E,MATCH($B839,'Pliegos Tarifarios (Quilicura)'!$A:$A,0))</f>
        <v>13381.089427199999</v>
      </c>
      <c r="Q839" s="19" cm="1">
        <f t="array" ref="Q839">H839*_xlfn.IFS(H839&lt;=350,INDEX('Pliegos Tarifarios (Quilicura)'!$F:$F,MATCH($B839,'Pliegos Tarifarios (Quilicura)'!$A:$A,0)),H839&lt;=500,INDEX('Pliegos Tarifarios (Quilicura)'!$G:$G,MATCH($B839,'Pliegos Tarifarios (Quilicura)'!$A:$A,0)),H839&lt;=1000,INDEX('Pliegos Tarifarios (Quilicura)'!$H:$H,MATCH($B839,'Pliegos Tarifarios (Quilicura)'!$A:$A,0)),H839&lt;=5000,INDEX('Pliegos Tarifarios (Quilicura)'!$I:$I,MATCH($B839,'Pliegos Tarifarios (Quilicura)'!$A:$A,0)),H839&gt;5000,INDEX('Pliegos Tarifarios (Quilicura)'!$J:$J,MATCH($B839,'Pliegos Tarifarios (Quilicura)'!$A:$A,0)))/1.19</f>
        <v>3144.4164937815121</v>
      </c>
      <c r="R839" s="19">
        <f>INDEX('Pliegos Tarifarios (Quilicura)'!$K:$K,MATCH($B839,'Pliegos Tarifarios (Quilicura)'!$A:$A,0))</f>
        <v>733.35299999999995</v>
      </c>
      <c r="S839" s="21">
        <f t="shared" si="42"/>
        <v>200616.9400618815</v>
      </c>
      <c r="T839" s="21">
        <f t="shared" si="43"/>
        <v>38117.218611757482</v>
      </c>
      <c r="U839" s="19">
        <v>0</v>
      </c>
      <c r="V839" s="21">
        <f t="shared" si="44"/>
        <v>238734.15867363897</v>
      </c>
    </row>
    <row r="840" spans="1:22" x14ac:dyDescent="0.3">
      <c r="A840" s="7" t="s">
        <v>151</v>
      </c>
      <c r="B840" s="7">
        <v>12</v>
      </c>
      <c r="C840" s="8" t="s">
        <v>186</v>
      </c>
      <c r="D840" s="7" t="s">
        <v>266</v>
      </c>
      <c r="E840" s="7" t="s">
        <v>121</v>
      </c>
      <c r="F840" s="8" t="s">
        <v>267</v>
      </c>
      <c r="G840" s="7" t="s">
        <v>16</v>
      </c>
      <c r="H840" s="9">
        <v>422.36790000000002</v>
      </c>
      <c r="I840" s="9">
        <v>1.1094999999999999</v>
      </c>
      <c r="J840" s="9">
        <v>1.0974999999999999</v>
      </c>
      <c r="K840" s="10">
        <v>0.98918431726002698</v>
      </c>
      <c r="L840" s="9">
        <v>13.62</v>
      </c>
      <c r="M840" s="19">
        <f>H840*INDEX('Pliegos Tarifarios (Quilicura)'!$B:$B,MATCH($B840,'Pliegos Tarifarios (Quilicura)'!$A:$A,0))</f>
        <v>55652.461607700003</v>
      </c>
      <c r="N840" s="19">
        <f>I840*INDEX('Pliegos Tarifarios (Quilicura)'!$C:$C,MATCH($B840,'Pliegos Tarifarios (Quilicura)'!$A:$A,0))</f>
        <v>3844.3986384999998</v>
      </c>
      <c r="O840" s="19">
        <f>J840*INDEX('Pliegos Tarifarios (Quilicura)'!$D:$D,MATCH($B840,'Pliegos Tarifarios (Quilicura)'!$A:$A,0))</f>
        <v>15956.3867775</v>
      </c>
      <c r="P840" s="19">
        <f>H840*INDEX('Pliegos Tarifarios (Quilicura)'!$E:$E,MATCH($B840,'Pliegos Tarifarios (Quilicura)'!$A:$A,0))</f>
        <v>5500.9195295999998</v>
      </c>
      <c r="Q840" s="19" cm="1">
        <f t="array" ref="Q840">H840*_xlfn.IFS(H840&lt;=350,INDEX('Pliegos Tarifarios (Quilicura)'!$F:$F,MATCH($B840,'Pliegos Tarifarios (Quilicura)'!$A:$A,0)),H840&lt;=500,INDEX('Pliegos Tarifarios (Quilicura)'!$G:$G,MATCH($B840,'Pliegos Tarifarios (Quilicura)'!$A:$A,0)),H840&lt;=1000,INDEX('Pliegos Tarifarios (Quilicura)'!$H:$H,MATCH($B840,'Pliegos Tarifarios (Quilicura)'!$A:$A,0)),H840&lt;=5000,INDEX('Pliegos Tarifarios (Quilicura)'!$I:$I,MATCH($B840,'Pliegos Tarifarios (Quilicura)'!$A:$A,0)),H840&gt;5000,INDEX('Pliegos Tarifarios (Quilicura)'!$J:$J,MATCH($B840,'Pliegos Tarifarios (Quilicura)'!$A:$A,0)))/1.19</f>
        <v>620.06447168067234</v>
      </c>
      <c r="R840" s="19">
        <f>INDEX('Pliegos Tarifarios (Quilicura)'!$K:$K,MATCH($B840,'Pliegos Tarifarios (Quilicura)'!$A:$A,0))</f>
        <v>733.35299999999995</v>
      </c>
      <c r="S840" s="21">
        <f t="shared" si="42"/>
        <v>82307.584024980679</v>
      </c>
      <c r="T840" s="21">
        <f t="shared" si="43"/>
        <v>15638.440964746329</v>
      </c>
      <c r="U840" s="19">
        <v>0</v>
      </c>
      <c r="V840" s="21">
        <f t="shared" si="44"/>
        <v>97946.024989727011</v>
      </c>
    </row>
    <row r="841" spans="1:22" x14ac:dyDescent="0.3">
      <c r="A841" s="7" t="s">
        <v>151</v>
      </c>
      <c r="B841" s="7">
        <v>12</v>
      </c>
      <c r="C841" s="8" t="s">
        <v>186</v>
      </c>
      <c r="D841" s="7" t="s">
        <v>268</v>
      </c>
      <c r="E841" s="7" t="s">
        <v>121</v>
      </c>
      <c r="F841" s="8" t="s">
        <v>269</v>
      </c>
      <c r="G841" s="7" t="s">
        <v>16</v>
      </c>
      <c r="H841" s="9">
        <v>320.32150000000001</v>
      </c>
      <c r="I841" s="9">
        <v>0.84899999999999998</v>
      </c>
      <c r="J841" s="9">
        <v>0.84899999999999998</v>
      </c>
      <c r="K841" s="10">
        <v>1</v>
      </c>
      <c r="L841" s="9">
        <v>10.33</v>
      </c>
      <c r="M841" s="19">
        <f>H841*INDEX('Pliegos Tarifarios (Quilicura)'!$B:$B,MATCH($B841,'Pliegos Tarifarios (Quilicura)'!$A:$A,0))</f>
        <v>42206.5218045</v>
      </c>
      <c r="N841" s="19">
        <f>I841*INDEX('Pliegos Tarifarios (Quilicura)'!$C:$C,MATCH($B841,'Pliegos Tarifarios (Quilicura)'!$A:$A,0))</f>
        <v>2941.770567</v>
      </c>
      <c r="O841" s="19">
        <f>J841*INDEX('Pliegos Tarifarios (Quilicura)'!$D:$D,MATCH($B841,'Pliegos Tarifarios (Quilicura)'!$A:$A,0))</f>
        <v>12343.482801</v>
      </c>
      <c r="P841" s="19">
        <f>H841*INDEX('Pliegos Tarifarios (Quilicura)'!$E:$E,MATCH($B841,'Pliegos Tarifarios (Quilicura)'!$A:$A,0))</f>
        <v>4171.8672159999996</v>
      </c>
      <c r="Q841" s="19" cm="1">
        <f t="array" ref="Q841">H841*_xlfn.IFS(H841&lt;=350,INDEX('Pliegos Tarifarios (Quilicura)'!$F:$F,MATCH($B841,'Pliegos Tarifarios (Quilicura)'!$A:$A,0)),H841&lt;=500,INDEX('Pliegos Tarifarios (Quilicura)'!$G:$G,MATCH($B841,'Pliegos Tarifarios (Quilicura)'!$A:$A,0)),H841&lt;=1000,INDEX('Pliegos Tarifarios (Quilicura)'!$H:$H,MATCH($B841,'Pliegos Tarifarios (Quilicura)'!$A:$A,0)),H841&lt;=5000,INDEX('Pliegos Tarifarios (Quilicura)'!$I:$I,MATCH($B841,'Pliegos Tarifarios (Quilicura)'!$A:$A,0)),H841&gt;5000,INDEX('Pliegos Tarifarios (Quilicura)'!$J:$J,MATCH($B841,'Pliegos Tarifarios (Quilicura)'!$A:$A,0)))/1.19</f>
        <v>230.14696008403362</v>
      </c>
      <c r="R841" s="19">
        <f>INDEX('Pliegos Tarifarios (Quilicura)'!$K:$K,MATCH($B841,'Pliegos Tarifarios (Quilicura)'!$A:$A,0))</f>
        <v>733.35299999999995</v>
      </c>
      <c r="S841" s="21">
        <f t="shared" si="42"/>
        <v>62627.142348584035</v>
      </c>
      <c r="T841" s="21">
        <f t="shared" si="43"/>
        <v>11899.157046230966</v>
      </c>
      <c r="U841" s="19">
        <v>0</v>
      </c>
      <c r="V841" s="21">
        <f t="shared" si="44"/>
        <v>74526.299394814996</v>
      </c>
    </row>
    <row r="842" spans="1:22" x14ac:dyDescent="0.3">
      <c r="A842" s="7" t="s">
        <v>151</v>
      </c>
      <c r="B842" s="7">
        <v>12</v>
      </c>
      <c r="C842" s="8" t="s">
        <v>186</v>
      </c>
      <c r="D842" s="7" t="s">
        <v>270</v>
      </c>
      <c r="E842" s="7" t="s">
        <v>121</v>
      </c>
      <c r="F842" s="8" t="s">
        <v>271</v>
      </c>
      <c r="G842" s="7" t="s">
        <v>16</v>
      </c>
      <c r="H842" s="9">
        <v>140.77539999999999</v>
      </c>
      <c r="I842" s="9">
        <v>0.36370000000000002</v>
      </c>
      <c r="J842" s="9">
        <v>0.36370000000000002</v>
      </c>
      <c r="K842" s="10">
        <v>1</v>
      </c>
      <c r="L842" s="9">
        <v>4.54</v>
      </c>
      <c r="M842" s="19">
        <f>H842*INDEX('Pliegos Tarifarios (Quilicura)'!$B:$B,MATCH($B842,'Pliegos Tarifarios (Quilicura)'!$A:$A,0))</f>
        <v>18548.989030199999</v>
      </c>
      <c r="N842" s="19">
        <f>I842*INDEX('Pliegos Tarifarios (Quilicura)'!$C:$C,MATCH($B842,'Pliegos Tarifarios (Quilicura)'!$A:$A,0))</f>
        <v>1260.2143171000002</v>
      </c>
      <c r="O842" s="19">
        <f>J842*INDEX('Pliegos Tarifarios (Quilicura)'!$D:$D,MATCH($B842,'Pliegos Tarifarios (Quilicura)'!$A:$A,0))</f>
        <v>5287.7793813000008</v>
      </c>
      <c r="P842" s="19">
        <f>H842*INDEX('Pliegos Tarifarios (Quilicura)'!$E:$E,MATCH($B842,'Pliegos Tarifarios (Quilicura)'!$A:$A,0))</f>
        <v>1833.4588095999998</v>
      </c>
      <c r="Q842" s="19" cm="1">
        <f t="array" ref="Q842">H842*_xlfn.IFS(H842&lt;=350,INDEX('Pliegos Tarifarios (Quilicura)'!$F:$F,MATCH($B842,'Pliegos Tarifarios (Quilicura)'!$A:$A,0)),H842&lt;=500,INDEX('Pliegos Tarifarios (Quilicura)'!$G:$G,MATCH($B842,'Pliegos Tarifarios (Quilicura)'!$A:$A,0)),H842&lt;=1000,INDEX('Pliegos Tarifarios (Quilicura)'!$H:$H,MATCH($B842,'Pliegos Tarifarios (Quilicura)'!$A:$A,0)),H842&lt;=5000,INDEX('Pliegos Tarifarios (Quilicura)'!$I:$I,MATCH($B842,'Pliegos Tarifarios (Quilicura)'!$A:$A,0)),H842&gt;5000,INDEX('Pliegos Tarifarios (Quilicura)'!$J:$J,MATCH($B842,'Pliegos Tarifarios (Quilicura)'!$A:$A,0)))/1.19</f>
        <v>101.14535042016806</v>
      </c>
      <c r="R842" s="19">
        <f>INDEX('Pliegos Tarifarios (Quilicura)'!$K:$K,MATCH($B842,'Pliegos Tarifarios (Quilicura)'!$A:$A,0))</f>
        <v>733.35299999999995</v>
      </c>
      <c r="S842" s="21">
        <f t="shared" si="42"/>
        <v>27764.939888620167</v>
      </c>
      <c r="T842" s="21">
        <f t="shared" si="43"/>
        <v>5275.3385788378318</v>
      </c>
      <c r="U842" s="19">
        <v>0</v>
      </c>
      <c r="V842" s="21">
        <f t="shared" si="44"/>
        <v>33040.278467457996</v>
      </c>
    </row>
    <row r="843" spans="1:22" x14ac:dyDescent="0.3">
      <c r="A843" s="7" t="s">
        <v>151</v>
      </c>
      <c r="B843" s="7">
        <v>12</v>
      </c>
      <c r="C843" s="8" t="s">
        <v>186</v>
      </c>
      <c r="D843" s="7" t="s">
        <v>272</v>
      </c>
      <c r="E843" s="7" t="s">
        <v>121</v>
      </c>
      <c r="F843" s="8" t="s">
        <v>273</v>
      </c>
      <c r="G843" s="7" t="s">
        <v>16</v>
      </c>
      <c r="H843" s="9">
        <v>2335.0823999999998</v>
      </c>
      <c r="I843" s="9">
        <v>6.165</v>
      </c>
      <c r="J843" s="9">
        <v>6.1345000000000001</v>
      </c>
      <c r="K843" s="10">
        <v>0.99505271695052722</v>
      </c>
      <c r="L843" s="9">
        <v>75.33</v>
      </c>
      <c r="M843" s="19">
        <f>H843*INDEX('Pliegos Tarifarios (Quilicura)'!$B:$B,MATCH($B843,'Pliegos Tarifarios (Quilicura)'!$A:$A,0))</f>
        <v>307677.46227119997</v>
      </c>
      <c r="N843" s="19">
        <f>I843*INDEX('Pliegos Tarifarios (Quilicura)'!$C:$C,MATCH($B843,'Pliegos Tarifarios (Quilicura)'!$A:$A,0))</f>
        <v>21361.620195</v>
      </c>
      <c r="O843" s="19">
        <f>J843*INDEX('Pliegos Tarifarios (Quilicura)'!$D:$D,MATCH($B843,'Pliegos Tarifarios (Quilicura)'!$A:$A,0))</f>
        <v>89188.569190499999</v>
      </c>
      <c r="P843" s="19">
        <f>H843*INDEX('Pliegos Tarifarios (Quilicura)'!$E:$E,MATCH($B843,'Pliegos Tarifarios (Quilicura)'!$A:$A,0))</f>
        <v>30412.113177599997</v>
      </c>
      <c r="Q843" s="19" cm="1">
        <f t="array" ref="Q843">H843*_xlfn.IFS(H843&lt;=350,INDEX('Pliegos Tarifarios (Quilicura)'!$F:$F,MATCH($B843,'Pliegos Tarifarios (Quilicura)'!$A:$A,0)),H843&lt;=500,INDEX('Pliegos Tarifarios (Quilicura)'!$G:$G,MATCH($B843,'Pliegos Tarifarios (Quilicura)'!$A:$A,0)),H843&lt;=1000,INDEX('Pliegos Tarifarios (Quilicura)'!$H:$H,MATCH($B843,'Pliegos Tarifarios (Quilicura)'!$A:$A,0)),H843&lt;=5000,INDEX('Pliegos Tarifarios (Quilicura)'!$I:$I,MATCH($B843,'Pliegos Tarifarios (Quilicura)'!$A:$A,0)),H843&gt;5000,INDEX('Pliegos Tarifarios (Quilicura)'!$J:$J,MATCH($B843,'Pliegos Tarifarios (Quilicura)'!$A:$A,0)))/1.19</f>
        <v>7146.5294964705872</v>
      </c>
      <c r="R843" s="19">
        <f>INDEX('Pliegos Tarifarios (Quilicura)'!$K:$K,MATCH($B843,'Pliegos Tarifarios (Quilicura)'!$A:$A,0))</f>
        <v>733.35299999999995</v>
      </c>
      <c r="S843" s="21">
        <f t="shared" si="42"/>
        <v>456519.64733077062</v>
      </c>
      <c r="T843" s="21">
        <f t="shared" si="43"/>
        <v>86738.732992846417</v>
      </c>
      <c r="U843" s="19">
        <v>0</v>
      </c>
      <c r="V843" s="21">
        <f t="shared" si="44"/>
        <v>543258.38032361702</v>
      </c>
    </row>
  </sheetData>
  <autoFilter ref="A3:L639" xr:uid="{00000000-0001-0000-0000-000000000000}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4082-0A40-4E7D-BE3A-777724BB0B33}">
  <dimension ref="A1:L13"/>
  <sheetViews>
    <sheetView workbookViewId="0">
      <selection activeCell="H26" sqref="H26"/>
    </sheetView>
  </sheetViews>
  <sheetFormatPr baseColWidth="10" defaultRowHeight="14.4" x14ac:dyDescent="0.3"/>
  <sheetData>
    <row r="1" spans="1:12" ht="57.6" x14ac:dyDescent="0.3">
      <c r="A1" s="17" t="s">
        <v>0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174</v>
      </c>
      <c r="G1" s="17" t="s">
        <v>175</v>
      </c>
      <c r="H1" s="17" t="s">
        <v>176</v>
      </c>
      <c r="I1" s="17" t="s">
        <v>177</v>
      </c>
      <c r="J1" s="17" t="s">
        <v>178</v>
      </c>
      <c r="K1" s="18" t="s">
        <v>172</v>
      </c>
    </row>
    <row r="2" spans="1:12" x14ac:dyDescent="0.3">
      <c r="A2">
        <v>1</v>
      </c>
      <c r="B2">
        <v>118.83799999999999</v>
      </c>
      <c r="C2">
        <v>3415.1089999999999</v>
      </c>
      <c r="D2">
        <v>14106.605</v>
      </c>
      <c r="E2">
        <v>12.932</v>
      </c>
      <c r="F2">
        <v>0.78400000000000003</v>
      </c>
      <c r="G2">
        <f>$F2+0.892</f>
        <v>1.6760000000000002</v>
      </c>
      <c r="H2">
        <f>$F2+2.007</f>
        <v>2.7910000000000004</v>
      </c>
      <c r="I2">
        <f>$F2+2.787</f>
        <v>3.5709999999999997</v>
      </c>
      <c r="J2">
        <f>$F2+ 3.121</f>
        <v>3.9050000000000002</v>
      </c>
      <c r="K2">
        <v>710.78200000000004</v>
      </c>
      <c r="L2" s="19"/>
    </row>
    <row r="3" spans="1:12" x14ac:dyDescent="0.3">
      <c r="A3">
        <v>2</v>
      </c>
      <c r="B3">
        <v>118.83799999999999</v>
      </c>
      <c r="C3">
        <v>3430.681</v>
      </c>
      <c r="D3">
        <v>14122.175999999999</v>
      </c>
      <c r="E3">
        <v>12.932</v>
      </c>
      <c r="F3">
        <v>0.78400000000000003</v>
      </c>
      <c r="G3">
        <f t="shared" ref="G3:G13" si="0">$F3+0.892</f>
        <v>1.6760000000000002</v>
      </c>
      <c r="H3">
        <f t="shared" ref="H3:H13" si="1">$F3+2.007</f>
        <v>2.7910000000000004</v>
      </c>
      <c r="I3">
        <f t="shared" ref="I3:I13" si="2">$F3+2.787</f>
        <v>3.5709999999999997</v>
      </c>
      <c r="J3">
        <f t="shared" ref="J3:J13" si="3">$F3+ 3.121</f>
        <v>3.9050000000000002</v>
      </c>
      <c r="K3">
        <v>709.36099999999999</v>
      </c>
    </row>
    <row r="4" spans="1:12" x14ac:dyDescent="0.3">
      <c r="A4">
        <v>3</v>
      </c>
      <c r="B4">
        <v>118.83799999999999</v>
      </c>
      <c r="C4">
        <v>3492.2689999999998</v>
      </c>
      <c r="D4">
        <v>14192.815000000001</v>
      </c>
      <c r="E4">
        <v>12.932</v>
      </c>
      <c r="F4">
        <v>0.78400000000000003</v>
      </c>
      <c r="G4">
        <f t="shared" si="0"/>
        <v>1.6760000000000002</v>
      </c>
      <c r="H4">
        <f t="shared" si="1"/>
        <v>2.7910000000000004</v>
      </c>
      <c r="I4">
        <f t="shared" si="2"/>
        <v>3.5709999999999997</v>
      </c>
      <c r="J4">
        <f t="shared" si="3"/>
        <v>3.9050000000000002</v>
      </c>
      <c r="K4">
        <v>716.899</v>
      </c>
    </row>
    <row r="5" spans="1:12" x14ac:dyDescent="0.3">
      <c r="A5">
        <v>4</v>
      </c>
      <c r="B5">
        <v>118.83799999999999</v>
      </c>
      <c r="C5">
        <v>3429.857</v>
      </c>
      <c r="D5">
        <v>14128.42</v>
      </c>
      <c r="E5">
        <v>12.932</v>
      </c>
      <c r="F5">
        <v>0.78400000000000003</v>
      </c>
      <c r="G5">
        <f t="shared" si="0"/>
        <v>1.6760000000000002</v>
      </c>
      <c r="H5">
        <f t="shared" si="1"/>
        <v>2.7910000000000004</v>
      </c>
      <c r="I5">
        <f t="shared" si="2"/>
        <v>3.5709999999999997</v>
      </c>
      <c r="J5">
        <f t="shared" si="3"/>
        <v>3.9050000000000002</v>
      </c>
      <c r="K5">
        <v>719.68899999999996</v>
      </c>
    </row>
    <row r="6" spans="1:12" x14ac:dyDescent="0.3">
      <c r="A6">
        <v>5</v>
      </c>
      <c r="B6">
        <v>118.83799999999999</v>
      </c>
      <c r="C6">
        <v>3400.471</v>
      </c>
      <c r="D6">
        <v>14099.714</v>
      </c>
      <c r="E6">
        <v>12.932</v>
      </c>
      <c r="F6">
        <v>0.78400000000000003</v>
      </c>
      <c r="G6">
        <f t="shared" si="0"/>
        <v>1.6760000000000002</v>
      </c>
      <c r="H6">
        <f t="shared" si="1"/>
        <v>2.7910000000000004</v>
      </c>
      <c r="I6">
        <f t="shared" si="2"/>
        <v>3.5709999999999997</v>
      </c>
      <c r="J6">
        <f t="shared" si="3"/>
        <v>3.9050000000000002</v>
      </c>
      <c r="K6">
        <v>723.32799999999997</v>
      </c>
    </row>
    <row r="7" spans="1:12" x14ac:dyDescent="0.3">
      <c r="A7">
        <v>6</v>
      </c>
      <c r="B7">
        <v>118.83799999999999</v>
      </c>
      <c r="C7">
        <v>3460.5549999999998</v>
      </c>
      <c r="D7">
        <v>14164.529</v>
      </c>
      <c r="E7">
        <v>12.932</v>
      </c>
      <c r="F7">
        <v>0.78400000000000003</v>
      </c>
      <c r="G7">
        <f t="shared" si="0"/>
        <v>1.6760000000000002</v>
      </c>
      <c r="H7">
        <f t="shared" si="1"/>
        <v>2.7910000000000004</v>
      </c>
      <c r="I7">
        <f t="shared" si="2"/>
        <v>3.5709999999999997</v>
      </c>
      <c r="J7">
        <f t="shared" si="3"/>
        <v>3.9050000000000002</v>
      </c>
      <c r="K7">
        <v>724.74800000000005</v>
      </c>
    </row>
    <row r="8" spans="1:12" x14ac:dyDescent="0.3">
      <c r="A8">
        <v>7</v>
      </c>
      <c r="B8">
        <v>131.76300000000001</v>
      </c>
      <c r="C8">
        <v>3407.6390000000001</v>
      </c>
      <c r="D8">
        <v>14473</v>
      </c>
      <c r="E8">
        <v>13.023999999999999</v>
      </c>
      <c r="F8">
        <v>0.78400000000000003</v>
      </c>
      <c r="G8">
        <f t="shared" si="0"/>
        <v>1.6760000000000002</v>
      </c>
      <c r="H8">
        <f t="shared" si="1"/>
        <v>2.7910000000000004</v>
      </c>
      <c r="I8">
        <f t="shared" si="2"/>
        <v>3.5709999999999997</v>
      </c>
      <c r="J8">
        <f t="shared" si="3"/>
        <v>3.9050000000000002</v>
      </c>
      <c r="K8">
        <v>726.16</v>
      </c>
    </row>
    <row r="9" spans="1:12" x14ac:dyDescent="0.3">
      <c r="A9">
        <v>8</v>
      </c>
      <c r="B9">
        <v>131.76300000000001</v>
      </c>
      <c r="C9">
        <v>3400.7730000000001</v>
      </c>
      <c r="D9">
        <v>14463.655000000001</v>
      </c>
      <c r="E9">
        <v>13.023999999999999</v>
      </c>
      <c r="F9">
        <v>0.78400000000000003</v>
      </c>
      <c r="G9">
        <f t="shared" si="0"/>
        <v>1.6760000000000002</v>
      </c>
      <c r="H9">
        <f t="shared" si="1"/>
        <v>2.7910000000000004</v>
      </c>
      <c r="I9">
        <f t="shared" si="2"/>
        <v>3.5709999999999997</v>
      </c>
      <c r="J9">
        <f t="shared" si="3"/>
        <v>3.9050000000000002</v>
      </c>
      <c r="K9">
        <v>723.17600000000004</v>
      </c>
    </row>
    <row r="10" spans="1:12" x14ac:dyDescent="0.3">
      <c r="A10">
        <v>9</v>
      </c>
      <c r="B10">
        <v>131.76300000000001</v>
      </c>
      <c r="C10">
        <v>3442.319</v>
      </c>
      <c r="D10">
        <v>14512.134</v>
      </c>
      <c r="E10">
        <v>13.023999999999999</v>
      </c>
      <c r="F10">
        <v>0.78400000000000003</v>
      </c>
      <c r="G10">
        <f t="shared" si="0"/>
        <v>1.6760000000000002</v>
      </c>
      <c r="H10">
        <f t="shared" si="1"/>
        <v>2.7910000000000004</v>
      </c>
      <c r="I10">
        <f t="shared" si="2"/>
        <v>3.5709999999999997</v>
      </c>
      <c r="J10">
        <f t="shared" si="3"/>
        <v>3.9050000000000002</v>
      </c>
      <c r="K10">
        <v>729.50400000000002</v>
      </c>
    </row>
    <row r="11" spans="1:12" x14ac:dyDescent="0.3">
      <c r="A11">
        <v>10</v>
      </c>
      <c r="B11">
        <v>131.76300000000001</v>
      </c>
      <c r="C11">
        <v>3473.6640000000002</v>
      </c>
      <c r="D11">
        <v>14545.605</v>
      </c>
      <c r="E11">
        <v>13.023999999999999</v>
      </c>
      <c r="F11">
        <v>0.78400000000000003</v>
      </c>
      <c r="G11">
        <f t="shared" si="0"/>
        <v>1.6760000000000002</v>
      </c>
      <c r="H11">
        <f t="shared" si="1"/>
        <v>2.7910000000000004</v>
      </c>
      <c r="I11">
        <f t="shared" si="2"/>
        <v>3.5709999999999997</v>
      </c>
      <c r="J11">
        <f t="shared" si="3"/>
        <v>3.9050000000000002</v>
      </c>
      <c r="K11">
        <v>729.75599999999997</v>
      </c>
    </row>
    <row r="12" spans="1:12" x14ac:dyDescent="0.3">
      <c r="A12">
        <v>11</v>
      </c>
      <c r="B12">
        <v>131.76300000000001</v>
      </c>
      <c r="C12">
        <v>3475.4029999999998</v>
      </c>
      <c r="D12">
        <v>14549.672</v>
      </c>
      <c r="E12">
        <v>13.023999999999999</v>
      </c>
      <c r="F12">
        <v>0.78400000000000003</v>
      </c>
      <c r="G12">
        <f t="shared" si="0"/>
        <v>1.6760000000000002</v>
      </c>
      <c r="H12">
        <f t="shared" si="1"/>
        <v>2.7910000000000004</v>
      </c>
      <c r="I12">
        <f t="shared" si="2"/>
        <v>3.5709999999999997</v>
      </c>
      <c r="J12">
        <f t="shared" si="3"/>
        <v>3.9050000000000002</v>
      </c>
      <c r="K12">
        <v>732.99199999999996</v>
      </c>
    </row>
    <row r="13" spans="1:12" x14ac:dyDescent="0.3">
      <c r="A13">
        <v>12</v>
      </c>
      <c r="B13">
        <v>131.76300000000001</v>
      </c>
      <c r="C13">
        <v>3464.9830000000002</v>
      </c>
      <c r="D13">
        <v>14538.849</v>
      </c>
      <c r="E13">
        <v>13.023999999999999</v>
      </c>
      <c r="F13">
        <v>0.85499999999999998</v>
      </c>
      <c r="G13">
        <f t="shared" si="0"/>
        <v>1.7469999999999999</v>
      </c>
      <c r="H13">
        <f t="shared" si="1"/>
        <v>2.8620000000000001</v>
      </c>
      <c r="I13">
        <f t="shared" si="2"/>
        <v>3.6419999999999999</v>
      </c>
      <c r="J13">
        <f t="shared" si="3"/>
        <v>3.976</v>
      </c>
      <c r="K13">
        <v>733.35299999999995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2"/>
  <sheetViews>
    <sheetView workbookViewId="0">
      <selection sqref="A1:P1"/>
    </sheetView>
  </sheetViews>
  <sheetFormatPr baseColWidth="10" defaultColWidth="8.88671875" defaultRowHeight="14.4" x14ac:dyDescent="0.3"/>
  <cols>
    <col min="1" max="1" width="13" customWidth="1"/>
    <col min="2" max="2" width="26" customWidth="1"/>
    <col min="3" max="15" width="13" customWidth="1"/>
  </cols>
  <sheetData>
    <row r="1" spans="1:16" ht="28.05" customHeight="1" x14ac:dyDescent="0.3">
      <c r="A1" s="25" t="s">
        <v>152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 ht="22.05" customHeight="1" x14ac:dyDescent="0.3">
      <c r="A3" s="28" t="s">
        <v>153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6" ht="30" customHeight="1" x14ac:dyDescent="0.3">
      <c r="A4" s="1" t="s">
        <v>3</v>
      </c>
      <c r="B4" s="1" t="s">
        <v>5</v>
      </c>
      <c r="C4" s="2" t="s">
        <v>12</v>
      </c>
      <c r="D4" s="2" t="s">
        <v>141</v>
      </c>
      <c r="E4" s="2" t="s">
        <v>142</v>
      </c>
      <c r="F4" s="2" t="s">
        <v>143</v>
      </c>
      <c r="G4" s="2" t="s">
        <v>144</v>
      </c>
      <c r="H4" s="2" t="s">
        <v>145</v>
      </c>
      <c r="I4" s="2" t="s">
        <v>146</v>
      </c>
      <c r="J4" s="2" t="s">
        <v>147</v>
      </c>
      <c r="K4" s="2" t="s">
        <v>148</v>
      </c>
      <c r="L4" s="2" t="s">
        <v>149</v>
      </c>
      <c r="M4" s="2" t="s">
        <v>150</v>
      </c>
      <c r="N4" s="2" t="s">
        <v>151</v>
      </c>
      <c r="O4" s="1" t="s">
        <v>154</v>
      </c>
    </row>
    <row r="5" spans="1:16" x14ac:dyDescent="0.3">
      <c r="A5" s="3" t="s">
        <v>13</v>
      </c>
      <c r="B5" s="4" t="s">
        <v>15</v>
      </c>
      <c r="C5" s="5">
        <v>8017.1630999999998</v>
      </c>
      <c r="D5" s="5">
        <v>6465.9755999999998</v>
      </c>
      <c r="E5" s="5">
        <v>7352.4826000000003</v>
      </c>
      <c r="F5" s="5">
        <v>6277.2563</v>
      </c>
      <c r="G5" s="5">
        <v>7289.6094000000003</v>
      </c>
      <c r="H5" s="5">
        <v>6707.2506000000003</v>
      </c>
      <c r="I5" s="5">
        <v>7142.5402999999997</v>
      </c>
      <c r="J5" s="5">
        <v>7117.8568999999998</v>
      </c>
      <c r="K5" s="5">
        <v>6629.5118000000002</v>
      </c>
      <c r="L5" s="5">
        <v>8014.5571</v>
      </c>
      <c r="M5" s="5">
        <v>7969.7656999999999</v>
      </c>
      <c r="N5" s="5">
        <v>9741.2538000000004</v>
      </c>
      <c r="O5" s="11">
        <v>88725.223200000008</v>
      </c>
    </row>
    <row r="6" spans="1:16" x14ac:dyDescent="0.3">
      <c r="A6" s="7" t="s">
        <v>17</v>
      </c>
      <c r="B6" s="8" t="s">
        <v>19</v>
      </c>
      <c r="C6" s="9">
        <v>4015.0057000000002</v>
      </c>
      <c r="D6" s="9">
        <v>3236.0592999999999</v>
      </c>
      <c r="E6" s="9">
        <v>3669.6460999999999</v>
      </c>
      <c r="F6" s="9">
        <v>3144.1786000000002</v>
      </c>
      <c r="G6" s="9">
        <v>3643.4115999999999</v>
      </c>
      <c r="H6" s="9">
        <v>3344.7624000000001</v>
      </c>
      <c r="I6" s="9">
        <v>3557.3128999999999</v>
      </c>
      <c r="J6" s="9">
        <v>3556.3344000000002</v>
      </c>
      <c r="K6" s="9">
        <v>3304.8404999999998</v>
      </c>
      <c r="L6" s="9">
        <v>4002.8296</v>
      </c>
      <c r="M6" s="9">
        <v>3981.2266</v>
      </c>
      <c r="N6" s="9">
        <v>4861.7174000000005</v>
      </c>
      <c r="O6" s="11">
        <v>44317.325100000002</v>
      </c>
    </row>
    <row r="7" spans="1:16" x14ac:dyDescent="0.3">
      <c r="A7" s="3" t="s">
        <v>20</v>
      </c>
      <c r="B7" s="4" t="s">
        <v>21</v>
      </c>
      <c r="C7" s="5">
        <v>3215.0358999999999</v>
      </c>
      <c r="D7" s="5">
        <v>2581.9852000000001</v>
      </c>
      <c r="E7" s="5">
        <v>2934.9503</v>
      </c>
      <c r="F7" s="5">
        <v>2510.0906</v>
      </c>
      <c r="G7" s="5">
        <v>2910.1338000000001</v>
      </c>
      <c r="H7" s="5">
        <v>2668.2640999999999</v>
      </c>
      <c r="I7" s="5">
        <v>2848.8535000000002</v>
      </c>
      <c r="J7" s="5">
        <v>2850.3975</v>
      </c>
      <c r="K7" s="5">
        <v>2643.8836999999999</v>
      </c>
      <c r="L7" s="5">
        <v>3198.3334</v>
      </c>
      <c r="M7" s="5">
        <v>3187.6496999999999</v>
      </c>
      <c r="N7" s="5">
        <v>3894.9016999999999</v>
      </c>
      <c r="O7" s="11">
        <v>35444.479399999997</v>
      </c>
    </row>
    <row r="8" spans="1:16" x14ac:dyDescent="0.3">
      <c r="A8" s="7" t="s">
        <v>22</v>
      </c>
      <c r="B8" s="8" t="s">
        <v>23</v>
      </c>
      <c r="C8" s="9">
        <v>2672.1547</v>
      </c>
      <c r="D8" s="9">
        <v>2156.4425999999999</v>
      </c>
      <c r="E8" s="9">
        <v>2445.9214000000002</v>
      </c>
      <c r="F8" s="9">
        <v>2098.8312999999998</v>
      </c>
      <c r="G8" s="9">
        <v>2431.0028000000002</v>
      </c>
      <c r="H8" s="9">
        <v>2230.5900999999999</v>
      </c>
      <c r="I8" s="9">
        <v>2376.3532</v>
      </c>
      <c r="J8" s="9">
        <v>2373.7979</v>
      </c>
      <c r="K8" s="9">
        <v>2204.9623000000001</v>
      </c>
      <c r="L8" s="9">
        <v>2673.6725000000001</v>
      </c>
      <c r="M8" s="9">
        <v>2652.2975999999999</v>
      </c>
      <c r="N8" s="9">
        <v>3242.3162000000002</v>
      </c>
      <c r="O8" s="11">
        <v>29558.3426</v>
      </c>
    </row>
    <row r="9" spans="1:16" x14ac:dyDescent="0.3">
      <c r="A9" s="3" t="s">
        <v>24</v>
      </c>
      <c r="B9" s="4" t="s">
        <v>25</v>
      </c>
      <c r="C9" s="5">
        <v>2889.9791</v>
      </c>
      <c r="D9" s="5">
        <v>2328.1444999999999</v>
      </c>
      <c r="E9" s="5">
        <v>2644.0255999999999</v>
      </c>
      <c r="F9" s="5">
        <v>2267.5832999999998</v>
      </c>
      <c r="G9" s="5">
        <v>2631.8265000000001</v>
      </c>
      <c r="H9" s="5">
        <v>2409.9666000000002</v>
      </c>
      <c r="I9" s="5">
        <v>2559.6615000000002</v>
      </c>
      <c r="J9" s="5">
        <v>2560.4535000000001</v>
      </c>
      <c r="K9" s="5">
        <v>2382.2563</v>
      </c>
      <c r="L9" s="5">
        <v>2882.5866000000001</v>
      </c>
      <c r="M9" s="5">
        <v>2862.5131000000001</v>
      </c>
      <c r="N9" s="5">
        <v>3504.7654000000002</v>
      </c>
      <c r="O9" s="11">
        <v>31923.761999999999</v>
      </c>
    </row>
    <row r="10" spans="1:16" x14ac:dyDescent="0.3">
      <c r="A10" s="7" t="s">
        <v>26</v>
      </c>
      <c r="B10" s="8" t="s">
        <v>27</v>
      </c>
      <c r="C10" s="9">
        <v>1922.7836</v>
      </c>
      <c r="D10" s="9">
        <v>1553.1373000000001</v>
      </c>
      <c r="E10" s="9">
        <v>1762.4069</v>
      </c>
      <c r="F10" s="9">
        <v>1507.154</v>
      </c>
      <c r="G10" s="9">
        <v>1753.6941999999999</v>
      </c>
      <c r="H10" s="9">
        <v>1603.5962</v>
      </c>
      <c r="I10" s="9">
        <v>1706.7898</v>
      </c>
      <c r="J10" s="9">
        <v>1704.0758000000001</v>
      </c>
      <c r="K10" s="9">
        <v>1586.4187999999999</v>
      </c>
      <c r="L10" s="9">
        <v>1913.8620000000001</v>
      </c>
      <c r="M10" s="9">
        <v>1915.703</v>
      </c>
      <c r="N10" s="9">
        <v>2338.3078999999998</v>
      </c>
      <c r="O10" s="11">
        <v>21267.929499999998</v>
      </c>
    </row>
    <row r="11" spans="1:16" x14ac:dyDescent="0.3">
      <c r="A11" s="3" t="s">
        <v>28</v>
      </c>
      <c r="B11" s="4" t="s">
        <v>29</v>
      </c>
      <c r="C11" s="5">
        <v>641.88990000000001</v>
      </c>
      <c r="D11" s="5">
        <v>518.88580000000002</v>
      </c>
      <c r="E11" s="5">
        <v>585.91269999999997</v>
      </c>
      <c r="F11" s="5">
        <v>503.33229999999998</v>
      </c>
      <c r="G11" s="5">
        <v>583.80600000000004</v>
      </c>
      <c r="H11" s="5">
        <v>535.48180000000002</v>
      </c>
      <c r="I11" s="5">
        <v>569.51779999999997</v>
      </c>
      <c r="J11" s="5">
        <v>569.28840000000002</v>
      </c>
      <c r="K11" s="5">
        <v>528.71379999999999</v>
      </c>
      <c r="L11" s="5">
        <v>641.57280000000003</v>
      </c>
      <c r="M11" s="5">
        <v>637.34310000000005</v>
      </c>
      <c r="N11" s="5">
        <v>779.9076</v>
      </c>
      <c r="O11" s="11">
        <v>7095.652</v>
      </c>
    </row>
    <row r="12" spans="1:16" x14ac:dyDescent="0.3">
      <c r="A12" s="7" t="s">
        <v>31</v>
      </c>
      <c r="B12" s="8" t="s">
        <v>32</v>
      </c>
      <c r="C12" s="9">
        <v>1931.0001</v>
      </c>
      <c r="D12" s="9">
        <v>1554.6389999999999</v>
      </c>
      <c r="E12" s="9">
        <v>1766.2565</v>
      </c>
      <c r="F12" s="9">
        <v>1510.1639</v>
      </c>
      <c r="G12" s="9">
        <v>1752.6916000000001</v>
      </c>
      <c r="H12" s="9">
        <v>1608.5459000000001</v>
      </c>
      <c r="I12" s="9">
        <v>1705.3074999999999</v>
      </c>
      <c r="J12" s="9">
        <v>1707.1815999999999</v>
      </c>
      <c r="K12" s="9">
        <v>1586.5017</v>
      </c>
      <c r="L12" s="9">
        <v>1919.5386000000001</v>
      </c>
      <c r="M12" s="9">
        <v>1909.8042</v>
      </c>
      <c r="N12" s="9">
        <v>2341.0061999999998</v>
      </c>
      <c r="O12" s="11">
        <v>21292.6368</v>
      </c>
    </row>
    <row r="13" spans="1:16" x14ac:dyDescent="0.3">
      <c r="A13" s="3" t="s">
        <v>33</v>
      </c>
      <c r="B13" s="4" t="s">
        <v>35</v>
      </c>
      <c r="C13" s="5">
        <v>801.95039999999995</v>
      </c>
      <c r="D13" s="5">
        <v>646.84469999999999</v>
      </c>
      <c r="E13" s="5">
        <v>735.58299999999997</v>
      </c>
      <c r="F13" s="5">
        <v>629.12429999999995</v>
      </c>
      <c r="G13" s="5">
        <v>727.37670000000003</v>
      </c>
      <c r="H13" s="5">
        <v>669.25</v>
      </c>
      <c r="I13" s="5">
        <v>710.08770000000004</v>
      </c>
      <c r="J13" s="5">
        <v>711.10659999999996</v>
      </c>
      <c r="K13" s="5">
        <v>659.89170000000001</v>
      </c>
      <c r="L13" s="5">
        <v>800.90620000000001</v>
      </c>
      <c r="M13" s="5">
        <v>796.69590000000005</v>
      </c>
      <c r="N13" s="5">
        <v>975.14729999999997</v>
      </c>
      <c r="O13" s="11">
        <v>8863.9645</v>
      </c>
    </row>
    <row r="14" spans="1:16" x14ac:dyDescent="0.3">
      <c r="A14" s="7" t="s">
        <v>36</v>
      </c>
      <c r="B14" s="8" t="s">
        <v>37</v>
      </c>
      <c r="C14" s="9">
        <v>642.98130000000003</v>
      </c>
      <c r="D14" s="9">
        <v>516.68359999999996</v>
      </c>
      <c r="E14" s="9">
        <v>586.74249999999995</v>
      </c>
      <c r="F14" s="9">
        <v>503.78910000000002</v>
      </c>
      <c r="G14" s="9">
        <v>582.6232</v>
      </c>
      <c r="H14" s="9">
        <v>535.19269999999995</v>
      </c>
      <c r="I14" s="9">
        <v>568.1354</v>
      </c>
      <c r="J14" s="9">
        <v>568.69979999999998</v>
      </c>
      <c r="K14" s="9">
        <v>528.43060000000003</v>
      </c>
      <c r="L14" s="9">
        <v>639.92610000000002</v>
      </c>
      <c r="M14" s="9">
        <v>636.89599999999996</v>
      </c>
      <c r="N14" s="9">
        <v>780.21950000000004</v>
      </c>
      <c r="O14" s="11">
        <v>7090.3197999999993</v>
      </c>
    </row>
    <row r="15" spans="1:16" x14ac:dyDescent="0.3">
      <c r="A15" s="3" t="s">
        <v>38</v>
      </c>
      <c r="B15" s="4" t="s">
        <v>39</v>
      </c>
      <c r="C15" s="5">
        <v>1283.4444000000001</v>
      </c>
      <c r="D15" s="5">
        <v>1033.9082000000001</v>
      </c>
      <c r="E15" s="5">
        <v>1173.8728000000001</v>
      </c>
      <c r="F15" s="5">
        <v>1008.5674</v>
      </c>
      <c r="G15" s="5">
        <v>1168.0826</v>
      </c>
      <c r="H15" s="5">
        <v>1071.2230999999999</v>
      </c>
      <c r="I15" s="5">
        <v>1139.5179000000001</v>
      </c>
      <c r="J15" s="5">
        <v>1137.2723000000001</v>
      </c>
      <c r="K15" s="5">
        <v>1056.3040000000001</v>
      </c>
      <c r="L15" s="5">
        <v>1281.1481000000001</v>
      </c>
      <c r="M15" s="5">
        <v>1275.2282</v>
      </c>
      <c r="N15" s="5">
        <v>1557.9811999999999</v>
      </c>
      <c r="O15" s="11">
        <v>14186.5502</v>
      </c>
    </row>
    <row r="16" spans="1:16" x14ac:dyDescent="0.3">
      <c r="A16" s="7" t="s">
        <v>40</v>
      </c>
      <c r="B16" s="8" t="s">
        <v>41</v>
      </c>
      <c r="C16" s="9">
        <v>483.16840000000002</v>
      </c>
      <c r="D16" s="9">
        <v>388.56959999999998</v>
      </c>
      <c r="E16" s="9">
        <v>439.88979999999998</v>
      </c>
      <c r="F16" s="9">
        <v>376.65559999999999</v>
      </c>
      <c r="G16" s="9">
        <v>437.94110000000001</v>
      </c>
      <c r="H16" s="9">
        <v>401.36200000000002</v>
      </c>
      <c r="I16" s="9">
        <v>426.77359999999999</v>
      </c>
      <c r="J16" s="9">
        <v>427.38810000000001</v>
      </c>
      <c r="K16" s="9">
        <v>396.98050000000001</v>
      </c>
      <c r="L16" s="9">
        <v>481.2525</v>
      </c>
      <c r="M16" s="9">
        <v>478.041</v>
      </c>
      <c r="N16" s="9">
        <v>584.21849999999995</v>
      </c>
      <c r="O16" s="11">
        <v>5322.2407000000003</v>
      </c>
    </row>
    <row r="17" spans="1:15" x14ac:dyDescent="0.3">
      <c r="A17" s="3" t="s">
        <v>42</v>
      </c>
      <c r="B17" s="4" t="s">
        <v>43</v>
      </c>
      <c r="C17" s="5">
        <v>481.6191</v>
      </c>
      <c r="D17" s="5">
        <v>387.9504</v>
      </c>
      <c r="E17" s="5">
        <v>440.37290000000002</v>
      </c>
      <c r="F17" s="5">
        <v>376.38010000000003</v>
      </c>
      <c r="G17" s="5">
        <v>437.358</v>
      </c>
      <c r="H17" s="5">
        <v>402.45870000000002</v>
      </c>
      <c r="I17" s="5">
        <v>425.964</v>
      </c>
      <c r="J17" s="5">
        <v>427.57429999999999</v>
      </c>
      <c r="K17" s="5">
        <v>396.91</v>
      </c>
      <c r="L17" s="5">
        <v>481.19819999999999</v>
      </c>
      <c r="M17" s="5">
        <v>477.86200000000002</v>
      </c>
      <c r="N17" s="5">
        <v>584.94039999999995</v>
      </c>
      <c r="O17" s="11">
        <v>5320.5881000000008</v>
      </c>
    </row>
    <row r="18" spans="1:15" x14ac:dyDescent="0.3">
      <c r="A18" s="7" t="s">
        <v>44</v>
      </c>
      <c r="B18" s="8" t="s">
        <v>45</v>
      </c>
      <c r="C18" s="9">
        <v>963.471</v>
      </c>
      <c r="D18" s="9">
        <v>775.36270000000002</v>
      </c>
      <c r="E18" s="9">
        <v>882.62879999999996</v>
      </c>
      <c r="F18" s="9">
        <v>753.38660000000004</v>
      </c>
      <c r="G18" s="9">
        <v>871.54039999999998</v>
      </c>
      <c r="H18" s="9">
        <v>804.90279999999996</v>
      </c>
      <c r="I18" s="9">
        <v>853.66039999999998</v>
      </c>
      <c r="J18" s="9">
        <v>851.35929999999996</v>
      </c>
      <c r="K18" s="9">
        <v>794.11360000000002</v>
      </c>
      <c r="L18" s="9">
        <v>963.85839999999996</v>
      </c>
      <c r="M18" s="9">
        <v>955.34029999999996</v>
      </c>
      <c r="N18" s="9">
        <v>1170.3758</v>
      </c>
      <c r="O18" s="11">
        <v>10640.000099999999</v>
      </c>
    </row>
    <row r="19" spans="1:15" x14ac:dyDescent="0.3">
      <c r="A19" s="3" t="s">
        <v>46</v>
      </c>
      <c r="B19" s="4" t="s">
        <v>48</v>
      </c>
      <c r="C19" s="5">
        <v>962.08690000000001</v>
      </c>
      <c r="D19" s="5">
        <v>776.52149999999995</v>
      </c>
      <c r="E19" s="5">
        <v>880.67909999999995</v>
      </c>
      <c r="F19" s="5">
        <v>755.74929999999995</v>
      </c>
      <c r="G19" s="5">
        <v>874.66589999999997</v>
      </c>
      <c r="H19" s="5">
        <v>804.71680000000003</v>
      </c>
      <c r="I19" s="5">
        <v>853.18439999999998</v>
      </c>
      <c r="J19" s="5">
        <v>854.5797</v>
      </c>
      <c r="K19" s="5">
        <v>793.37860000000001</v>
      </c>
      <c r="L19" s="5">
        <v>962.54740000000004</v>
      </c>
      <c r="M19" s="5">
        <v>955.14490000000001</v>
      </c>
      <c r="N19" s="5">
        <v>1168.3665000000001</v>
      </c>
      <c r="O19" s="11">
        <v>10641.620999999999</v>
      </c>
    </row>
    <row r="20" spans="1:15" x14ac:dyDescent="0.3">
      <c r="A20" s="7" t="s">
        <v>49</v>
      </c>
      <c r="B20" s="8" t="s">
        <v>50</v>
      </c>
      <c r="C20" s="9">
        <v>967.30179999999996</v>
      </c>
      <c r="D20" s="9">
        <v>775.15779999999995</v>
      </c>
      <c r="E20" s="9">
        <v>881.26319999999998</v>
      </c>
      <c r="F20" s="9">
        <v>757.22349999999994</v>
      </c>
      <c r="G20" s="9">
        <v>875.8107</v>
      </c>
      <c r="H20" s="9">
        <v>805.01760000000002</v>
      </c>
      <c r="I20" s="9">
        <v>849.8066</v>
      </c>
      <c r="J20" s="9">
        <v>854.84630000000004</v>
      </c>
      <c r="K20" s="9">
        <v>795.75</v>
      </c>
      <c r="L20" s="9">
        <v>962.9769</v>
      </c>
      <c r="M20" s="9">
        <v>958.52639999999997</v>
      </c>
      <c r="N20" s="9">
        <v>1170.2539999999999</v>
      </c>
      <c r="O20" s="11">
        <v>10653.934800000001</v>
      </c>
    </row>
    <row r="21" spans="1:15" x14ac:dyDescent="0.3">
      <c r="A21" s="3" t="s">
        <v>51</v>
      </c>
      <c r="B21" s="4" t="s">
        <v>53</v>
      </c>
      <c r="C21" s="5">
        <v>482.53980000000001</v>
      </c>
      <c r="D21" s="5">
        <v>386.13580000000002</v>
      </c>
      <c r="E21" s="5">
        <v>441.11720000000003</v>
      </c>
      <c r="F21" s="5">
        <v>377.69409999999999</v>
      </c>
      <c r="G21" s="5">
        <v>438.6035</v>
      </c>
      <c r="H21" s="5">
        <v>401.18799999999999</v>
      </c>
      <c r="I21" s="5">
        <v>426.2414</v>
      </c>
      <c r="J21" s="5">
        <v>427.12009999999998</v>
      </c>
      <c r="K21" s="5">
        <v>394.28429999999997</v>
      </c>
      <c r="L21" s="5">
        <v>480.79259999999999</v>
      </c>
      <c r="M21" s="5">
        <v>478.2432</v>
      </c>
      <c r="N21" s="5">
        <v>583.75720000000001</v>
      </c>
      <c r="O21" s="11">
        <v>5317.7172</v>
      </c>
    </row>
    <row r="22" spans="1:15" x14ac:dyDescent="0.3">
      <c r="A22" s="7" t="s">
        <v>54</v>
      </c>
      <c r="B22" s="8" t="s">
        <v>56</v>
      </c>
      <c r="C22" s="9">
        <v>320.91969999999998</v>
      </c>
      <c r="D22" s="9">
        <v>258.67950000000002</v>
      </c>
      <c r="E22" s="9">
        <v>293.8032</v>
      </c>
      <c r="F22" s="9">
        <v>251.345</v>
      </c>
      <c r="G22" s="9">
        <v>292.27640000000002</v>
      </c>
      <c r="H22" s="9">
        <v>267.71679999999998</v>
      </c>
      <c r="I22" s="9">
        <v>283.86439999999999</v>
      </c>
      <c r="J22" s="9">
        <v>284.7457</v>
      </c>
      <c r="K22" s="9">
        <v>264.8526</v>
      </c>
      <c r="L22" s="9">
        <v>320.21850000000001</v>
      </c>
      <c r="M22" s="9">
        <v>319.30770000000001</v>
      </c>
      <c r="N22" s="9">
        <v>389.71969999999999</v>
      </c>
      <c r="O22" s="11">
        <v>3547.4492</v>
      </c>
    </row>
    <row r="23" spans="1:15" x14ac:dyDescent="0.3">
      <c r="A23" s="3" t="s">
        <v>57</v>
      </c>
      <c r="B23" s="4" t="s">
        <v>59</v>
      </c>
      <c r="C23" s="5">
        <v>322.00689999999997</v>
      </c>
      <c r="D23" s="5">
        <v>258.58960000000002</v>
      </c>
      <c r="E23" s="5">
        <v>292.9461</v>
      </c>
      <c r="F23" s="5">
        <v>252.03210000000001</v>
      </c>
      <c r="G23" s="5">
        <v>291.495</v>
      </c>
      <c r="H23" s="5">
        <v>267.0419</v>
      </c>
      <c r="I23" s="5">
        <v>283.91359999999997</v>
      </c>
      <c r="J23" s="5">
        <v>284.58199999999999</v>
      </c>
      <c r="K23" s="5">
        <v>264.68740000000003</v>
      </c>
      <c r="L23" s="5">
        <v>320.00740000000002</v>
      </c>
      <c r="M23" s="5">
        <v>319.37209999999999</v>
      </c>
      <c r="N23" s="5">
        <v>390.29950000000002</v>
      </c>
      <c r="O23" s="11">
        <v>3546.9735999999998</v>
      </c>
    </row>
    <row r="24" spans="1:15" x14ac:dyDescent="0.3">
      <c r="A24" s="7" t="s">
        <v>60</v>
      </c>
      <c r="B24" s="8" t="s">
        <v>62</v>
      </c>
      <c r="C24" s="9">
        <v>321.2491</v>
      </c>
      <c r="D24" s="9">
        <v>259.24759999999998</v>
      </c>
      <c r="E24" s="9">
        <v>294.1456</v>
      </c>
      <c r="F24" s="9">
        <v>251.66749999999999</v>
      </c>
      <c r="G24" s="9">
        <v>291.69150000000002</v>
      </c>
      <c r="H24" s="9">
        <v>268.0428</v>
      </c>
      <c r="I24" s="9">
        <v>284.36689999999999</v>
      </c>
      <c r="J24" s="9">
        <v>284.78620000000001</v>
      </c>
      <c r="K24" s="9">
        <v>263.5634</v>
      </c>
      <c r="L24" s="9">
        <v>320.51549999999997</v>
      </c>
      <c r="M24" s="9">
        <v>319.13299999999998</v>
      </c>
      <c r="N24" s="9">
        <v>389.94439999999997</v>
      </c>
      <c r="O24" s="11">
        <v>3548.3534999999988</v>
      </c>
    </row>
    <row r="25" spans="1:15" x14ac:dyDescent="0.3">
      <c r="A25" s="3" t="s">
        <v>63</v>
      </c>
      <c r="B25" s="4" t="s">
        <v>64</v>
      </c>
      <c r="C25" s="5">
        <v>640.71720000000005</v>
      </c>
      <c r="D25" s="5">
        <v>516.65520000000004</v>
      </c>
      <c r="E25" s="5">
        <v>585.9778</v>
      </c>
      <c r="F25" s="5">
        <v>502.86500000000001</v>
      </c>
      <c r="G25" s="5">
        <v>583.42550000000006</v>
      </c>
      <c r="H25" s="5">
        <v>534.24929999999995</v>
      </c>
      <c r="I25" s="5">
        <v>567.99969999999996</v>
      </c>
      <c r="J25" s="5">
        <v>569.72940000000006</v>
      </c>
      <c r="K25" s="5">
        <v>529.65830000000005</v>
      </c>
      <c r="L25" s="5">
        <v>640.03210000000001</v>
      </c>
      <c r="M25" s="5">
        <v>636.70770000000005</v>
      </c>
      <c r="N25" s="5">
        <v>779.60599999999999</v>
      </c>
      <c r="O25" s="11">
        <v>7087.6232000000009</v>
      </c>
    </row>
    <row r="26" spans="1:15" x14ac:dyDescent="0.3">
      <c r="A26" s="7" t="s">
        <v>65</v>
      </c>
      <c r="B26" s="8" t="s">
        <v>66</v>
      </c>
      <c r="C26" s="9">
        <v>641.2296</v>
      </c>
      <c r="D26" s="9">
        <v>517.78279999999995</v>
      </c>
      <c r="E26" s="9">
        <v>587.83730000000003</v>
      </c>
      <c r="F26" s="9">
        <v>503.97500000000002</v>
      </c>
      <c r="G26" s="9">
        <v>584.85400000000004</v>
      </c>
      <c r="H26" s="9">
        <v>536.10900000000004</v>
      </c>
      <c r="I26" s="9">
        <v>568.08280000000002</v>
      </c>
      <c r="J26" s="9">
        <v>568.9212</v>
      </c>
      <c r="K26" s="9">
        <v>529.02430000000004</v>
      </c>
      <c r="L26" s="9">
        <v>640.21559999999999</v>
      </c>
      <c r="M26" s="9">
        <v>638.04020000000003</v>
      </c>
      <c r="N26" s="9">
        <v>780.17020000000002</v>
      </c>
      <c r="O26" s="11">
        <v>7096.2420000000002</v>
      </c>
    </row>
    <row r="27" spans="1:15" x14ac:dyDescent="0.3">
      <c r="A27" s="3" t="s">
        <v>67</v>
      </c>
      <c r="B27" s="4" t="s">
        <v>68</v>
      </c>
      <c r="C27" s="5">
        <v>642.28179999999998</v>
      </c>
      <c r="D27" s="5">
        <v>517.48099999999999</v>
      </c>
      <c r="E27" s="5">
        <v>588.04330000000004</v>
      </c>
      <c r="F27" s="5">
        <v>503.17599999999999</v>
      </c>
      <c r="G27" s="5">
        <v>584.05650000000003</v>
      </c>
      <c r="H27" s="5">
        <v>535.89340000000004</v>
      </c>
      <c r="I27" s="5">
        <v>569.07830000000001</v>
      </c>
      <c r="J27" s="5">
        <v>570.29129999999998</v>
      </c>
      <c r="K27" s="5">
        <v>528.96720000000005</v>
      </c>
      <c r="L27" s="5">
        <v>641.15589999999997</v>
      </c>
      <c r="M27" s="5">
        <v>636.36710000000005</v>
      </c>
      <c r="N27" s="5">
        <v>778.38279999999997</v>
      </c>
      <c r="O27" s="11">
        <v>7095.1746000000012</v>
      </c>
    </row>
    <row r="28" spans="1:15" x14ac:dyDescent="0.3">
      <c r="A28" s="7" t="s">
        <v>69</v>
      </c>
      <c r="B28" s="8" t="s">
        <v>71</v>
      </c>
      <c r="C28" s="9">
        <v>802.9049</v>
      </c>
      <c r="D28" s="9">
        <v>645.46079999999995</v>
      </c>
      <c r="E28" s="9">
        <v>735.38800000000003</v>
      </c>
      <c r="F28" s="9">
        <v>628.98760000000004</v>
      </c>
      <c r="G28" s="9">
        <v>730.10950000000003</v>
      </c>
      <c r="H28" s="9">
        <v>668.52800000000002</v>
      </c>
      <c r="I28" s="9">
        <v>711.14419999999996</v>
      </c>
      <c r="J28" s="9">
        <v>713.27880000000005</v>
      </c>
      <c r="K28" s="9">
        <v>660.57169999999996</v>
      </c>
      <c r="L28" s="9">
        <v>799.90250000000003</v>
      </c>
      <c r="M28" s="9">
        <v>796.32690000000002</v>
      </c>
      <c r="N28" s="9">
        <v>971.1644</v>
      </c>
      <c r="O28" s="11">
        <v>8863.7672999999995</v>
      </c>
    </row>
    <row r="29" spans="1:15" x14ac:dyDescent="0.3">
      <c r="A29" s="3" t="s">
        <v>72</v>
      </c>
      <c r="B29" s="4" t="s">
        <v>74</v>
      </c>
      <c r="C29" s="5">
        <v>1286.4562000000001</v>
      </c>
      <c r="D29" s="5">
        <v>1035.6844000000001</v>
      </c>
      <c r="E29" s="5">
        <v>1176.2412999999999</v>
      </c>
      <c r="F29" s="5">
        <v>1008.4435</v>
      </c>
      <c r="G29" s="5">
        <v>1163.2</v>
      </c>
      <c r="H29" s="5">
        <v>1070.0467000000001</v>
      </c>
      <c r="I29" s="5">
        <v>1139.8433</v>
      </c>
      <c r="J29" s="5">
        <v>1138.1964</v>
      </c>
      <c r="K29" s="5">
        <v>1055.0934</v>
      </c>
      <c r="L29" s="5">
        <v>1281.7106000000001</v>
      </c>
      <c r="M29" s="5">
        <v>1275.1470999999999</v>
      </c>
      <c r="N29" s="5">
        <v>1559.6089999999999</v>
      </c>
      <c r="O29" s="11">
        <v>14189.671899999999</v>
      </c>
    </row>
    <row r="30" spans="1:15" x14ac:dyDescent="0.3">
      <c r="A30" s="7" t="s">
        <v>75</v>
      </c>
      <c r="B30" s="8" t="s">
        <v>76</v>
      </c>
      <c r="C30" s="9">
        <v>966.94140000000004</v>
      </c>
      <c r="D30" s="9">
        <v>774.81790000000001</v>
      </c>
      <c r="E30" s="9">
        <v>881.63440000000003</v>
      </c>
      <c r="F30" s="9">
        <v>757.28980000000001</v>
      </c>
      <c r="G30" s="9">
        <v>871.85379999999998</v>
      </c>
      <c r="H30" s="9">
        <v>804.19529999999997</v>
      </c>
      <c r="I30" s="9">
        <v>852.97559999999999</v>
      </c>
      <c r="J30" s="9">
        <v>853.42439999999999</v>
      </c>
      <c r="K30" s="9">
        <v>793.19389999999999</v>
      </c>
      <c r="L30" s="9">
        <v>960.22299999999996</v>
      </c>
      <c r="M30" s="9">
        <v>957.49369999999999</v>
      </c>
      <c r="N30" s="9">
        <v>1169.1402</v>
      </c>
      <c r="O30" s="11">
        <v>10643.1834</v>
      </c>
    </row>
    <row r="31" spans="1:15" x14ac:dyDescent="0.3">
      <c r="A31" s="3" t="s">
        <v>77</v>
      </c>
      <c r="B31" s="4" t="s">
        <v>79</v>
      </c>
      <c r="C31" s="5">
        <v>802.60640000000001</v>
      </c>
      <c r="D31" s="5">
        <v>646.8306</v>
      </c>
      <c r="E31" s="5">
        <v>735.245</v>
      </c>
      <c r="F31" s="5">
        <v>627.96209999999996</v>
      </c>
      <c r="G31" s="5">
        <v>730.37530000000004</v>
      </c>
      <c r="H31" s="5">
        <v>669.50419999999997</v>
      </c>
      <c r="I31" s="5">
        <v>711.7047</v>
      </c>
      <c r="J31" s="5">
        <v>710.79859999999996</v>
      </c>
      <c r="K31" s="5">
        <v>663.02149999999995</v>
      </c>
      <c r="L31" s="5">
        <v>800.56140000000005</v>
      </c>
      <c r="M31" s="5">
        <v>796.05349999999999</v>
      </c>
      <c r="N31" s="5">
        <v>972.47760000000005</v>
      </c>
      <c r="O31" s="11">
        <v>8867.1409000000003</v>
      </c>
    </row>
    <row r="32" spans="1:15" x14ac:dyDescent="0.3">
      <c r="A32" s="7" t="s">
        <v>80</v>
      </c>
      <c r="B32" s="8" t="s">
        <v>81</v>
      </c>
      <c r="C32" s="9">
        <v>534.32380000000001</v>
      </c>
      <c r="D32" s="9">
        <v>430.93959999999998</v>
      </c>
      <c r="E32" s="9">
        <v>489.61009999999999</v>
      </c>
      <c r="F32" s="9">
        <v>420.50540000000001</v>
      </c>
      <c r="G32" s="9">
        <v>486.22930000000002</v>
      </c>
      <c r="H32" s="9">
        <v>446.67840000000001</v>
      </c>
      <c r="I32" s="9">
        <v>474.0761</v>
      </c>
      <c r="J32" s="9">
        <v>473.46460000000002</v>
      </c>
      <c r="K32" s="9">
        <v>439.94159999999999</v>
      </c>
      <c r="L32" s="9">
        <v>533.97910000000002</v>
      </c>
      <c r="M32" s="9">
        <v>530.69910000000004</v>
      </c>
      <c r="N32" s="9">
        <v>649.76350000000002</v>
      </c>
      <c r="O32" s="11">
        <v>5910.2106000000013</v>
      </c>
    </row>
    <row r="33" spans="1:15" x14ac:dyDescent="0.3">
      <c r="A33" s="3" t="s">
        <v>82</v>
      </c>
      <c r="B33" s="4" t="s">
        <v>83</v>
      </c>
      <c r="C33" s="5">
        <v>642.42960000000005</v>
      </c>
      <c r="D33" s="5">
        <v>516.31449999999995</v>
      </c>
      <c r="E33" s="5">
        <v>586.34130000000005</v>
      </c>
      <c r="F33" s="5">
        <v>503.74489999999997</v>
      </c>
      <c r="G33" s="5">
        <v>583.20039999999995</v>
      </c>
      <c r="H33" s="5">
        <v>535.91409999999996</v>
      </c>
      <c r="I33" s="5">
        <v>568.95230000000004</v>
      </c>
      <c r="J33" s="5">
        <v>569.42259999999999</v>
      </c>
      <c r="K33" s="5">
        <v>529.97789999999998</v>
      </c>
      <c r="L33" s="5">
        <v>640.7903</v>
      </c>
      <c r="M33" s="5">
        <v>637.62120000000004</v>
      </c>
      <c r="N33" s="5">
        <v>780.57560000000001</v>
      </c>
      <c r="O33" s="11">
        <v>7095.2847000000002</v>
      </c>
    </row>
    <row r="34" spans="1:15" x14ac:dyDescent="0.3">
      <c r="A34" s="7" t="s">
        <v>84</v>
      </c>
      <c r="B34" s="8" t="s">
        <v>85</v>
      </c>
      <c r="C34" s="9">
        <v>642.16179999999997</v>
      </c>
      <c r="D34" s="9">
        <v>516.93219999999997</v>
      </c>
      <c r="E34" s="9">
        <v>587.03629999999998</v>
      </c>
      <c r="F34" s="9">
        <v>503.40460000000002</v>
      </c>
      <c r="G34" s="9">
        <v>583.90440000000001</v>
      </c>
      <c r="H34" s="9">
        <v>535.20240000000001</v>
      </c>
      <c r="I34" s="9">
        <v>569.22339999999997</v>
      </c>
      <c r="J34" s="9">
        <v>569.29409999999996</v>
      </c>
      <c r="K34" s="9">
        <v>528.00689999999997</v>
      </c>
      <c r="L34" s="9">
        <v>640.73919999999998</v>
      </c>
      <c r="M34" s="9">
        <v>637.10839999999996</v>
      </c>
      <c r="N34" s="9">
        <v>780.03779999999995</v>
      </c>
      <c r="O34" s="11">
        <v>7093.0514999999996</v>
      </c>
    </row>
    <row r="35" spans="1:15" x14ac:dyDescent="0.3">
      <c r="A35" s="3" t="s">
        <v>86</v>
      </c>
      <c r="B35" s="4" t="s">
        <v>87</v>
      </c>
      <c r="C35" s="5">
        <v>643.97059999999999</v>
      </c>
      <c r="D35" s="5">
        <v>516.53750000000002</v>
      </c>
      <c r="E35" s="5">
        <v>588.00429999999994</v>
      </c>
      <c r="F35" s="5">
        <v>503.32619999999997</v>
      </c>
      <c r="G35" s="5">
        <v>581.82150000000001</v>
      </c>
      <c r="H35" s="5">
        <v>535.53250000000003</v>
      </c>
      <c r="I35" s="5">
        <v>569.24599999999998</v>
      </c>
      <c r="J35" s="5">
        <v>569.98760000000004</v>
      </c>
      <c r="K35" s="5">
        <v>528.91359999999997</v>
      </c>
      <c r="L35" s="5">
        <v>642.24890000000005</v>
      </c>
      <c r="M35" s="5">
        <v>636.84799999999996</v>
      </c>
      <c r="N35" s="5">
        <v>778.68790000000001</v>
      </c>
      <c r="O35" s="11">
        <v>7095.1246000000001</v>
      </c>
    </row>
    <row r="36" spans="1:15" x14ac:dyDescent="0.3">
      <c r="A36" s="7" t="s">
        <v>88</v>
      </c>
      <c r="B36" s="8" t="s">
        <v>89</v>
      </c>
      <c r="C36" s="9">
        <v>801.79939999999999</v>
      </c>
      <c r="D36" s="9">
        <v>643.81209999999999</v>
      </c>
      <c r="E36" s="9">
        <v>734.43870000000004</v>
      </c>
      <c r="F36" s="9">
        <v>630.51890000000003</v>
      </c>
      <c r="G36" s="9">
        <v>728.82550000000003</v>
      </c>
      <c r="H36" s="9">
        <v>668.53269999999998</v>
      </c>
      <c r="I36" s="9">
        <v>712.24710000000005</v>
      </c>
      <c r="J36" s="9">
        <v>710.46600000000001</v>
      </c>
      <c r="K36" s="9">
        <v>661.47919999999999</v>
      </c>
      <c r="L36" s="9">
        <v>798.95429999999999</v>
      </c>
      <c r="M36" s="9">
        <v>797.09320000000002</v>
      </c>
      <c r="N36" s="9">
        <v>973.78359999999998</v>
      </c>
      <c r="O36" s="11">
        <v>8861.9507000000012</v>
      </c>
    </row>
    <row r="37" spans="1:15" x14ac:dyDescent="0.3">
      <c r="A37" s="3" t="s">
        <v>90</v>
      </c>
      <c r="B37" s="4" t="s">
        <v>92</v>
      </c>
      <c r="C37" s="5">
        <v>642.64099999999996</v>
      </c>
      <c r="D37" s="5">
        <v>515.39880000000005</v>
      </c>
      <c r="E37" s="5">
        <v>586.52809999999999</v>
      </c>
      <c r="F37" s="5">
        <v>502.38720000000001</v>
      </c>
      <c r="G37" s="5">
        <v>583.35609999999997</v>
      </c>
      <c r="H37" s="5">
        <v>533.44359999999995</v>
      </c>
      <c r="I37" s="5">
        <v>568.47559999999999</v>
      </c>
      <c r="J37" s="5">
        <v>568.90409999999997</v>
      </c>
      <c r="K37" s="5">
        <v>529.06709999999998</v>
      </c>
      <c r="L37" s="5">
        <v>640.55600000000004</v>
      </c>
      <c r="M37" s="5">
        <v>638.77409999999998</v>
      </c>
      <c r="N37" s="5">
        <v>780.18629999999996</v>
      </c>
      <c r="O37" s="11">
        <v>7089.7180000000008</v>
      </c>
    </row>
    <row r="38" spans="1:15" x14ac:dyDescent="0.3">
      <c r="A38" s="7" t="s">
        <v>93</v>
      </c>
      <c r="B38" s="8" t="s">
        <v>95</v>
      </c>
      <c r="C38" s="9">
        <v>963.63670000000002</v>
      </c>
      <c r="D38" s="9">
        <v>776.98919999999998</v>
      </c>
      <c r="E38" s="9">
        <v>880.60419999999999</v>
      </c>
      <c r="F38" s="9">
        <v>753.77670000000001</v>
      </c>
      <c r="G38" s="9">
        <v>874.84280000000001</v>
      </c>
      <c r="H38" s="9">
        <v>803.68880000000001</v>
      </c>
      <c r="I38" s="9">
        <v>853.51310000000001</v>
      </c>
      <c r="J38" s="9">
        <v>854.02560000000005</v>
      </c>
      <c r="K38" s="9">
        <v>794.66600000000005</v>
      </c>
      <c r="L38" s="9">
        <v>961.30079999999998</v>
      </c>
      <c r="M38" s="9">
        <v>956.94669999999996</v>
      </c>
      <c r="N38" s="9">
        <v>1170.1777</v>
      </c>
      <c r="O38" s="11">
        <v>10644.168299999999</v>
      </c>
    </row>
    <row r="39" spans="1:15" x14ac:dyDescent="0.3">
      <c r="A39" s="3" t="s">
        <v>96</v>
      </c>
      <c r="B39" s="4" t="s">
        <v>97</v>
      </c>
      <c r="C39" s="5">
        <v>962.79859999999996</v>
      </c>
      <c r="D39" s="5">
        <v>777.72249999999997</v>
      </c>
      <c r="E39" s="5">
        <v>879.78459999999995</v>
      </c>
      <c r="F39" s="5">
        <v>756.0634</v>
      </c>
      <c r="G39" s="5">
        <v>874.99159999999995</v>
      </c>
      <c r="H39" s="5">
        <v>802.47339999999997</v>
      </c>
      <c r="I39" s="5">
        <v>852.62289999999996</v>
      </c>
      <c r="J39" s="5">
        <v>853.00549999999998</v>
      </c>
      <c r="K39" s="5">
        <v>792.43510000000003</v>
      </c>
      <c r="L39" s="5">
        <v>961.67740000000003</v>
      </c>
      <c r="M39" s="5">
        <v>953.42020000000002</v>
      </c>
      <c r="N39" s="5">
        <v>1167.7661000000001</v>
      </c>
      <c r="O39" s="11">
        <v>10634.7613</v>
      </c>
    </row>
    <row r="40" spans="1:15" x14ac:dyDescent="0.3">
      <c r="A40" s="7" t="s">
        <v>98</v>
      </c>
      <c r="B40" s="8" t="s">
        <v>100</v>
      </c>
      <c r="C40" s="9">
        <v>2567.8575999999998</v>
      </c>
      <c r="D40" s="9">
        <v>2068.5655000000002</v>
      </c>
      <c r="E40" s="9">
        <v>2357.2244999999998</v>
      </c>
      <c r="F40" s="9">
        <v>2015.9532999999999</v>
      </c>
      <c r="G40" s="9">
        <v>2327.5088999999998</v>
      </c>
      <c r="H40" s="9">
        <v>2141.0356000000002</v>
      </c>
      <c r="I40" s="9">
        <v>2275.047</v>
      </c>
      <c r="J40" s="9">
        <v>2279.3400999999999</v>
      </c>
      <c r="K40" s="9">
        <v>2112.8442</v>
      </c>
      <c r="L40" s="9">
        <v>2563.6655999999998</v>
      </c>
      <c r="M40" s="9">
        <v>2547.4762000000001</v>
      </c>
      <c r="N40" s="9">
        <v>3122.3528999999999</v>
      </c>
      <c r="O40" s="11">
        <v>28378.8714</v>
      </c>
    </row>
    <row r="41" spans="1:15" x14ac:dyDescent="0.3">
      <c r="A41" s="3" t="s">
        <v>101</v>
      </c>
      <c r="B41" s="4" t="s">
        <v>103</v>
      </c>
      <c r="C41" s="5">
        <v>1931.2520999999999</v>
      </c>
      <c r="D41" s="5">
        <v>1551.4268</v>
      </c>
      <c r="E41" s="5">
        <v>1759.9339</v>
      </c>
      <c r="F41" s="5">
        <v>1506.3081999999999</v>
      </c>
      <c r="G41" s="5">
        <v>1750.0835</v>
      </c>
      <c r="H41" s="5">
        <v>1606.1112000000001</v>
      </c>
      <c r="I41" s="5">
        <v>1709.5368000000001</v>
      </c>
      <c r="J41" s="5">
        <v>1705.2462</v>
      </c>
      <c r="K41" s="5">
        <v>1582.6164000000001</v>
      </c>
      <c r="L41" s="5">
        <v>1921.6626000000001</v>
      </c>
      <c r="M41" s="5">
        <v>1911.5151000000001</v>
      </c>
      <c r="N41" s="5">
        <v>2341.0762</v>
      </c>
      <c r="O41" s="11">
        <v>21276.769</v>
      </c>
    </row>
    <row r="42" spans="1:15" x14ac:dyDescent="0.3">
      <c r="A42" s="7" t="s">
        <v>104</v>
      </c>
      <c r="B42" s="8" t="s">
        <v>106</v>
      </c>
      <c r="C42" s="9">
        <v>641.25379999999996</v>
      </c>
      <c r="D42" s="9">
        <v>515.71680000000003</v>
      </c>
      <c r="E42" s="9">
        <v>586.38829999999996</v>
      </c>
      <c r="F42" s="9">
        <v>503.02940000000001</v>
      </c>
      <c r="G42" s="9">
        <v>582.99369999999999</v>
      </c>
      <c r="H42" s="9">
        <v>534.88459999999998</v>
      </c>
      <c r="I42" s="9">
        <v>568.77660000000003</v>
      </c>
      <c r="J42" s="9">
        <v>569.83420000000001</v>
      </c>
      <c r="K42" s="9">
        <v>528.71479999999997</v>
      </c>
      <c r="L42" s="9">
        <v>640.60619999999994</v>
      </c>
      <c r="M42" s="9">
        <v>636.98140000000001</v>
      </c>
      <c r="N42" s="9">
        <v>779.09339999999997</v>
      </c>
      <c r="O42" s="11">
        <v>7088.2731999999996</v>
      </c>
    </row>
    <row r="43" spans="1:15" x14ac:dyDescent="0.3">
      <c r="A43" s="3" t="s">
        <v>107</v>
      </c>
      <c r="B43" s="4" t="s">
        <v>108</v>
      </c>
      <c r="C43" s="5">
        <v>1175.0531000000001</v>
      </c>
      <c r="D43" s="5">
        <v>950.15260000000001</v>
      </c>
      <c r="E43" s="5">
        <v>1077.5197000000001</v>
      </c>
      <c r="F43" s="5">
        <v>925.7722</v>
      </c>
      <c r="G43" s="5">
        <v>1069.6557</v>
      </c>
      <c r="H43" s="5">
        <v>980.11260000000004</v>
      </c>
      <c r="I43" s="5">
        <v>1043.6210000000001</v>
      </c>
      <c r="J43" s="5">
        <v>1044.655</v>
      </c>
      <c r="K43" s="5">
        <v>967.7047</v>
      </c>
      <c r="L43" s="5">
        <v>1175.3620000000001</v>
      </c>
      <c r="M43" s="5">
        <v>1167.4897000000001</v>
      </c>
      <c r="N43" s="5">
        <v>1429.2231999999999</v>
      </c>
      <c r="O43" s="11">
        <v>13006.3215</v>
      </c>
    </row>
    <row r="44" spans="1:15" x14ac:dyDescent="0.3">
      <c r="A44" s="7" t="s">
        <v>109</v>
      </c>
      <c r="B44" s="8" t="s">
        <v>111</v>
      </c>
      <c r="C44" s="9">
        <v>428.2022</v>
      </c>
      <c r="D44" s="9">
        <v>344.81229999999999</v>
      </c>
      <c r="E44" s="9">
        <v>390.92020000000002</v>
      </c>
      <c r="F44" s="9">
        <v>335.57679999999999</v>
      </c>
      <c r="G44" s="9">
        <v>389.46140000000003</v>
      </c>
      <c r="H44" s="9">
        <v>356.61009999999999</v>
      </c>
      <c r="I44" s="9">
        <v>378.95119999999997</v>
      </c>
      <c r="J44" s="9">
        <v>379.50470000000001</v>
      </c>
      <c r="K44" s="9">
        <v>351.95929999999998</v>
      </c>
      <c r="L44" s="9">
        <v>426.5976</v>
      </c>
      <c r="M44" s="9">
        <v>425.41969999999998</v>
      </c>
      <c r="N44" s="9">
        <v>519.92819999999995</v>
      </c>
      <c r="O44" s="11">
        <v>4727.9437000000007</v>
      </c>
    </row>
    <row r="45" spans="1:15" x14ac:dyDescent="0.3">
      <c r="A45" s="3" t="s">
        <v>112</v>
      </c>
      <c r="B45" s="4" t="s">
        <v>114</v>
      </c>
      <c r="C45" s="5">
        <v>482.56020000000001</v>
      </c>
      <c r="D45" s="5">
        <v>387.74849999999998</v>
      </c>
      <c r="E45" s="5">
        <v>441.42520000000002</v>
      </c>
      <c r="F45" s="5">
        <v>377.40069999999997</v>
      </c>
      <c r="G45" s="5">
        <v>438.33019999999999</v>
      </c>
      <c r="H45" s="5">
        <v>400.5564</v>
      </c>
      <c r="I45" s="5">
        <v>427.0034</v>
      </c>
      <c r="J45" s="5">
        <v>427.48590000000002</v>
      </c>
      <c r="K45" s="5">
        <v>397.12990000000002</v>
      </c>
      <c r="L45" s="5">
        <v>481.0872</v>
      </c>
      <c r="M45" s="5">
        <v>477.84539999999998</v>
      </c>
      <c r="N45" s="5">
        <v>583.9502</v>
      </c>
      <c r="O45" s="11">
        <v>5322.5232000000015</v>
      </c>
    </row>
    <row r="46" spans="1:15" x14ac:dyDescent="0.3">
      <c r="A46" s="7" t="s">
        <v>115</v>
      </c>
      <c r="B46" s="8" t="s">
        <v>117</v>
      </c>
      <c r="C46" s="9">
        <v>80.326999999999998</v>
      </c>
      <c r="D46" s="9">
        <v>64.589799999999997</v>
      </c>
      <c r="E46" s="9">
        <v>73.494699999999995</v>
      </c>
      <c r="F46" s="9">
        <v>62.880200000000002</v>
      </c>
      <c r="G46" s="9">
        <v>72.769900000000007</v>
      </c>
      <c r="H46" s="9">
        <v>66.793599999999998</v>
      </c>
      <c r="I46" s="9">
        <v>71.145499999999998</v>
      </c>
      <c r="J46" s="9">
        <v>71.123900000000006</v>
      </c>
      <c r="K46" s="9">
        <v>66.1678</v>
      </c>
      <c r="L46" s="9">
        <v>79.947400000000002</v>
      </c>
      <c r="M46" s="9">
        <v>79.630600000000001</v>
      </c>
      <c r="N46" s="9">
        <v>97.3566</v>
      </c>
      <c r="O46" s="11">
        <v>886.22699999999998</v>
      </c>
    </row>
    <row r="47" spans="1:15" x14ac:dyDescent="0.3">
      <c r="A47" s="3" t="s">
        <v>118</v>
      </c>
      <c r="B47" s="4" t="s">
        <v>119</v>
      </c>
      <c r="C47" s="5">
        <v>80.150599999999997</v>
      </c>
      <c r="D47" s="5">
        <v>64.689499999999995</v>
      </c>
      <c r="E47" s="5">
        <v>73.376800000000003</v>
      </c>
      <c r="F47" s="5">
        <v>62.907400000000003</v>
      </c>
      <c r="G47" s="5">
        <v>72.766300000000001</v>
      </c>
      <c r="H47" s="5">
        <v>66.832899999999995</v>
      </c>
      <c r="I47" s="5">
        <v>71.046000000000006</v>
      </c>
      <c r="J47" s="5">
        <v>71.162899999999993</v>
      </c>
      <c r="K47" s="5">
        <v>66.068399999999997</v>
      </c>
      <c r="L47" s="5">
        <v>80.147800000000004</v>
      </c>
      <c r="M47" s="5">
        <v>79.511200000000002</v>
      </c>
      <c r="N47" s="5">
        <v>97.346599999999995</v>
      </c>
      <c r="O47" s="11">
        <v>886.00639999999999</v>
      </c>
    </row>
    <row r="48" spans="1:15" x14ac:dyDescent="0.3">
      <c r="A48" s="7" t="s">
        <v>120</v>
      </c>
      <c r="B48" s="8" t="s">
        <v>122</v>
      </c>
      <c r="C48" s="9">
        <v>80.507300000000001</v>
      </c>
      <c r="D48" s="9">
        <v>64.838899999999995</v>
      </c>
      <c r="E48" s="9">
        <v>73.550399999999996</v>
      </c>
      <c r="F48" s="9">
        <v>62.920099999999998</v>
      </c>
      <c r="G48" s="9">
        <v>72.980699999999999</v>
      </c>
      <c r="H48" s="9">
        <v>66.874200000000002</v>
      </c>
      <c r="I48" s="9">
        <v>71.043300000000002</v>
      </c>
      <c r="J48" s="9">
        <v>70.944500000000005</v>
      </c>
      <c r="K48" s="9">
        <v>66.168599999999998</v>
      </c>
      <c r="L48" s="9">
        <v>80.231999999999999</v>
      </c>
      <c r="M48" s="9">
        <v>79.775499999999994</v>
      </c>
      <c r="N48" s="9">
        <v>97.411799999999999</v>
      </c>
      <c r="O48" s="11">
        <v>887.24729999999988</v>
      </c>
    </row>
    <row r="49" spans="1:15" x14ac:dyDescent="0.3">
      <c r="A49" s="3" t="s">
        <v>123</v>
      </c>
      <c r="B49" s="4" t="s">
        <v>124</v>
      </c>
      <c r="C49" s="5">
        <v>133.99029999999999</v>
      </c>
      <c r="D49" s="5">
        <v>107.69710000000001</v>
      </c>
      <c r="E49" s="5">
        <v>122.3125</v>
      </c>
      <c r="F49" s="5">
        <v>104.93819999999999</v>
      </c>
      <c r="G49" s="5">
        <v>121.5652</v>
      </c>
      <c r="H49" s="5">
        <v>111.3823</v>
      </c>
      <c r="I49" s="5">
        <v>118.45099999999999</v>
      </c>
      <c r="J49" s="5">
        <v>118.7649</v>
      </c>
      <c r="K49" s="5">
        <v>110.0724</v>
      </c>
      <c r="L49" s="5">
        <v>133.32069999999999</v>
      </c>
      <c r="M49" s="5">
        <v>132.55699999999999</v>
      </c>
      <c r="N49" s="5">
        <v>162.59119999999999</v>
      </c>
      <c r="O49" s="11">
        <v>1477.6428000000001</v>
      </c>
    </row>
    <row r="50" spans="1:15" x14ac:dyDescent="0.3">
      <c r="A50" s="7" t="s">
        <v>125</v>
      </c>
      <c r="B50" s="8" t="s">
        <v>126</v>
      </c>
      <c r="C50" s="9">
        <v>80.275700000000001</v>
      </c>
      <c r="D50" s="9">
        <v>64.782799999999995</v>
      </c>
      <c r="E50" s="9">
        <v>73.632400000000004</v>
      </c>
      <c r="F50" s="9">
        <v>62.963900000000002</v>
      </c>
      <c r="G50" s="9">
        <v>72.882300000000001</v>
      </c>
      <c r="H50" s="9">
        <v>66.9375</v>
      </c>
      <c r="I50" s="9">
        <v>71.291499999999999</v>
      </c>
      <c r="J50" s="9">
        <v>71.226799999999997</v>
      </c>
      <c r="K50" s="9">
        <v>66.167299999999997</v>
      </c>
      <c r="L50" s="9">
        <v>80.029899999999998</v>
      </c>
      <c r="M50" s="9">
        <v>79.450900000000004</v>
      </c>
      <c r="N50" s="9">
        <v>97.616799999999998</v>
      </c>
      <c r="O50" s="11">
        <v>887.25779999999997</v>
      </c>
    </row>
    <row r="51" spans="1:15" x14ac:dyDescent="0.3">
      <c r="A51" s="3" t="s">
        <v>127</v>
      </c>
      <c r="B51" s="4" t="s">
        <v>128</v>
      </c>
      <c r="C51" s="5">
        <v>80.260999999999996</v>
      </c>
      <c r="D51" s="5">
        <v>64.7637</v>
      </c>
      <c r="E51" s="5">
        <v>73.397599999999997</v>
      </c>
      <c r="F51" s="5">
        <v>63.029600000000002</v>
      </c>
      <c r="G51" s="5">
        <v>72.8733</v>
      </c>
      <c r="H51" s="5">
        <v>67.030299999999997</v>
      </c>
      <c r="I51" s="5">
        <v>71.101799999999997</v>
      </c>
      <c r="J51" s="5">
        <v>71.216399999999993</v>
      </c>
      <c r="K51" s="5">
        <v>66.032499999999999</v>
      </c>
      <c r="L51" s="5">
        <v>80.202500000000001</v>
      </c>
      <c r="M51" s="5">
        <v>79.861599999999996</v>
      </c>
      <c r="N51" s="5">
        <v>97.296599999999998</v>
      </c>
      <c r="O51" s="11">
        <v>887.06690000000003</v>
      </c>
    </row>
    <row r="52" spans="1:15" x14ac:dyDescent="0.3">
      <c r="A52" s="7" t="s">
        <v>129</v>
      </c>
      <c r="B52" s="8" t="s">
        <v>130</v>
      </c>
      <c r="C52" s="9">
        <v>80.273799999999994</v>
      </c>
      <c r="D52" s="9">
        <v>64.7</v>
      </c>
      <c r="E52" s="9">
        <v>73.540599999999998</v>
      </c>
      <c r="F52" s="9">
        <v>62.942900000000002</v>
      </c>
      <c r="G52" s="9">
        <v>72.912199999999999</v>
      </c>
      <c r="H52" s="9">
        <v>66.907600000000002</v>
      </c>
      <c r="I52" s="9">
        <v>71.155000000000001</v>
      </c>
      <c r="J52" s="9">
        <v>71.125399999999999</v>
      </c>
      <c r="K52" s="9">
        <v>66.138499999999993</v>
      </c>
      <c r="L52" s="9">
        <v>80.102500000000006</v>
      </c>
      <c r="M52" s="9">
        <v>79.5702</v>
      </c>
      <c r="N52" s="9">
        <v>97.504199999999997</v>
      </c>
      <c r="O52" s="11">
        <v>886.87289999999996</v>
      </c>
    </row>
    <row r="53" spans="1:15" x14ac:dyDescent="0.3">
      <c r="A53" s="3" t="s">
        <v>131</v>
      </c>
      <c r="B53" s="4" t="s">
        <v>132</v>
      </c>
      <c r="C53" s="5">
        <v>160.8288</v>
      </c>
      <c r="D53" s="5">
        <v>129.26419999999999</v>
      </c>
      <c r="E53" s="5">
        <v>146.60849999999999</v>
      </c>
      <c r="F53" s="5">
        <v>125.90560000000001</v>
      </c>
      <c r="G53" s="5">
        <v>145.62790000000001</v>
      </c>
      <c r="H53" s="5">
        <v>133.77780000000001</v>
      </c>
      <c r="I53" s="5">
        <v>141.79759999999999</v>
      </c>
      <c r="J53" s="5">
        <v>142.21539999999999</v>
      </c>
      <c r="K53" s="5">
        <v>132.26</v>
      </c>
      <c r="L53" s="5">
        <v>160.35249999999999</v>
      </c>
      <c r="M53" s="5">
        <v>159.45480000000001</v>
      </c>
      <c r="N53" s="5">
        <v>194.54499999999999</v>
      </c>
      <c r="O53" s="11">
        <v>1772.6380999999999</v>
      </c>
    </row>
    <row r="54" spans="1:15" x14ac:dyDescent="0.3">
      <c r="A54" s="7" t="s">
        <v>133</v>
      </c>
      <c r="B54" s="8" t="s">
        <v>134</v>
      </c>
      <c r="C54" s="9">
        <v>160.67400000000001</v>
      </c>
      <c r="D54" s="9">
        <v>129.38030000000001</v>
      </c>
      <c r="E54" s="9">
        <v>147.0729</v>
      </c>
      <c r="F54" s="9">
        <v>125.6994</v>
      </c>
      <c r="G54" s="9">
        <v>145.75370000000001</v>
      </c>
      <c r="H54" s="9">
        <v>133.4641</v>
      </c>
      <c r="I54" s="9">
        <v>141.92009999999999</v>
      </c>
      <c r="J54" s="9">
        <v>142.55680000000001</v>
      </c>
      <c r="K54" s="9">
        <v>132.15690000000001</v>
      </c>
      <c r="L54" s="9">
        <v>160.322</v>
      </c>
      <c r="M54" s="9">
        <v>159.46350000000001</v>
      </c>
      <c r="N54" s="9">
        <v>195.0531</v>
      </c>
      <c r="O54" s="11">
        <v>1773.5168000000001</v>
      </c>
    </row>
    <row r="55" spans="1:15" x14ac:dyDescent="0.3">
      <c r="A55" s="3" t="s">
        <v>135</v>
      </c>
      <c r="B55" s="4" t="s">
        <v>136</v>
      </c>
      <c r="C55" s="5">
        <v>160.3289</v>
      </c>
      <c r="D55" s="5">
        <v>129.5419</v>
      </c>
      <c r="E55" s="5">
        <v>147.02809999999999</v>
      </c>
      <c r="F55" s="5">
        <v>126.0749</v>
      </c>
      <c r="G55" s="5">
        <v>145.75720000000001</v>
      </c>
      <c r="H55" s="5">
        <v>133.7313</v>
      </c>
      <c r="I55" s="5">
        <v>141.946</v>
      </c>
      <c r="J55" s="5">
        <v>142.4726</v>
      </c>
      <c r="K55" s="5">
        <v>132.02090000000001</v>
      </c>
      <c r="L55" s="5">
        <v>160.6541</v>
      </c>
      <c r="M55" s="5">
        <v>159.262</v>
      </c>
      <c r="N55" s="5">
        <v>195.1437</v>
      </c>
      <c r="O55" s="11">
        <v>1773.9616000000001</v>
      </c>
    </row>
    <row r="56" spans="1:15" x14ac:dyDescent="0.3">
      <c r="A56" s="7" t="s">
        <v>137</v>
      </c>
      <c r="B56" s="8" t="s">
        <v>138</v>
      </c>
      <c r="C56" s="9">
        <v>80.274100000000004</v>
      </c>
      <c r="D56" s="9">
        <v>64.648499999999999</v>
      </c>
      <c r="E56" s="9">
        <v>73.314499999999995</v>
      </c>
      <c r="F56" s="9">
        <v>62.700299999999999</v>
      </c>
      <c r="G56" s="9">
        <v>72.953199999999995</v>
      </c>
      <c r="H56" s="9">
        <v>66.881699999999995</v>
      </c>
      <c r="I56" s="9">
        <v>71.000900000000001</v>
      </c>
      <c r="J56" s="9">
        <v>71.191000000000003</v>
      </c>
      <c r="K56" s="9">
        <v>66.211799999999997</v>
      </c>
      <c r="L56" s="9">
        <v>80.039500000000004</v>
      </c>
      <c r="M56" s="9">
        <v>79.731999999999999</v>
      </c>
      <c r="N56" s="9">
        <v>97.336699999999993</v>
      </c>
      <c r="O56" s="11">
        <v>886.28419999999994</v>
      </c>
    </row>
    <row r="57" spans="1:15" x14ac:dyDescent="0.3">
      <c r="A57" s="3" t="s">
        <v>139</v>
      </c>
      <c r="B57" s="4" t="s">
        <v>140</v>
      </c>
      <c r="C57" s="5">
        <v>160.7526</v>
      </c>
      <c r="D57" s="5">
        <v>129.61070000000001</v>
      </c>
      <c r="E57" s="5">
        <v>146.6687</v>
      </c>
      <c r="F57" s="5">
        <v>125.94759999999999</v>
      </c>
      <c r="G57" s="5">
        <v>145.80189999999999</v>
      </c>
      <c r="H57" s="5">
        <v>133.89500000000001</v>
      </c>
      <c r="I57" s="5">
        <v>141.85</v>
      </c>
      <c r="J57" s="5">
        <v>142.5367</v>
      </c>
      <c r="K57" s="5">
        <v>132.11709999999999</v>
      </c>
      <c r="L57" s="5">
        <v>159.88040000000001</v>
      </c>
      <c r="M57" s="5">
        <v>159.47659999999999</v>
      </c>
      <c r="N57" s="5">
        <v>195.19370000000001</v>
      </c>
      <c r="O57" s="11">
        <v>1773.731</v>
      </c>
    </row>
    <row r="58" spans="1:15" ht="18" customHeight="1" x14ac:dyDescent="0.3">
      <c r="A58" s="12" t="s">
        <v>155</v>
      </c>
      <c r="B58" s="12" t="s">
        <v>156</v>
      </c>
      <c r="C58" s="13">
        <v>53519.472999999998</v>
      </c>
      <c r="D58" s="13">
        <v>43105.20930000001</v>
      </c>
      <c r="E58" s="13">
        <v>48964.770500000013</v>
      </c>
      <c r="F58" s="13">
        <v>41931.581899999997</v>
      </c>
      <c r="G58" s="13">
        <v>48603.364299999987</v>
      </c>
      <c r="H58" s="13">
        <v>44620.381499999989</v>
      </c>
      <c r="I58" s="13">
        <v>47447.722599999986</v>
      </c>
      <c r="J58" s="13">
        <v>47439.259999999987</v>
      </c>
      <c r="K58" s="13">
        <v>44082.804800000013</v>
      </c>
      <c r="L58" s="13">
        <v>53390.55999999999</v>
      </c>
      <c r="M58" s="13">
        <v>53105.214200000009</v>
      </c>
      <c r="N58" s="13">
        <v>64940.949000000022</v>
      </c>
      <c r="O58" s="13">
        <v>591151.29110000038</v>
      </c>
    </row>
    <row r="60" spans="1:15" ht="22.05" customHeight="1" x14ac:dyDescent="0.3">
      <c r="A60" s="27" t="s">
        <v>157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ht="30" customHeight="1" x14ac:dyDescent="0.3">
      <c r="A61" s="1" t="s">
        <v>3</v>
      </c>
      <c r="B61" s="1" t="s">
        <v>5</v>
      </c>
      <c r="C61" s="2" t="s">
        <v>12</v>
      </c>
      <c r="D61" s="2" t="s">
        <v>141</v>
      </c>
      <c r="E61" s="2" t="s">
        <v>142</v>
      </c>
      <c r="F61" s="2" t="s">
        <v>143</v>
      </c>
      <c r="G61" s="2" t="s">
        <v>144</v>
      </c>
      <c r="H61" s="2" t="s">
        <v>145</v>
      </c>
      <c r="I61" s="2" t="s">
        <v>146</v>
      </c>
      <c r="J61" s="2" t="s">
        <v>147</v>
      </c>
      <c r="K61" s="2" t="s">
        <v>148</v>
      </c>
      <c r="L61" s="2" t="s">
        <v>149</v>
      </c>
      <c r="M61" s="2" t="s">
        <v>150</v>
      </c>
      <c r="N61" s="2" t="s">
        <v>151</v>
      </c>
      <c r="O61" s="1" t="s">
        <v>154</v>
      </c>
    </row>
    <row r="62" spans="1:15" x14ac:dyDescent="0.3">
      <c r="A62" s="3" t="s">
        <v>13</v>
      </c>
      <c r="B62" s="4" t="s">
        <v>15</v>
      </c>
      <c r="C62" s="5">
        <v>21.105799999999999</v>
      </c>
      <c r="D62" s="5">
        <v>19.523099999999999</v>
      </c>
      <c r="E62" s="5">
        <v>19.650099999999998</v>
      </c>
      <c r="F62" s="5">
        <v>17.8659</v>
      </c>
      <c r="G62" s="5">
        <v>20.498699999999999</v>
      </c>
      <c r="H62" s="5">
        <v>18.6494</v>
      </c>
      <c r="I62" s="5">
        <v>18.965399999999999</v>
      </c>
      <c r="J62" s="5">
        <v>19.185400000000001</v>
      </c>
      <c r="K62" s="5">
        <v>18.707999999999998</v>
      </c>
      <c r="L62" s="5">
        <v>21.306899999999999</v>
      </c>
      <c r="M62" s="5">
        <v>21.9115</v>
      </c>
      <c r="N62" s="5">
        <v>25.667400000000001</v>
      </c>
      <c r="O62" s="11">
        <v>25.667400000000001</v>
      </c>
    </row>
    <row r="63" spans="1:15" x14ac:dyDescent="0.3">
      <c r="A63" s="7" t="s">
        <v>17</v>
      </c>
      <c r="B63" s="8" t="s">
        <v>19</v>
      </c>
      <c r="C63" s="9">
        <v>10.691800000000001</v>
      </c>
      <c r="D63" s="9">
        <v>9.5942000000000007</v>
      </c>
      <c r="E63" s="9">
        <v>9.7745999999999995</v>
      </c>
      <c r="F63" s="9">
        <v>8.8559999999999999</v>
      </c>
      <c r="G63" s="9">
        <v>9.6661999999999999</v>
      </c>
      <c r="H63" s="9">
        <v>9.3635999999999999</v>
      </c>
      <c r="I63" s="9">
        <v>9.6600999999999999</v>
      </c>
      <c r="J63" s="9">
        <v>9.6690000000000005</v>
      </c>
      <c r="K63" s="9">
        <v>9.3696000000000002</v>
      </c>
      <c r="L63" s="9">
        <v>10.6927</v>
      </c>
      <c r="M63" s="9">
        <v>11.1501</v>
      </c>
      <c r="N63" s="9">
        <v>12.686500000000001</v>
      </c>
      <c r="O63" s="11">
        <v>12.686500000000001</v>
      </c>
    </row>
    <row r="64" spans="1:15" x14ac:dyDescent="0.3">
      <c r="A64" s="3" t="s">
        <v>20</v>
      </c>
      <c r="B64" s="4" t="s">
        <v>21</v>
      </c>
      <c r="C64" s="5">
        <v>8.6385000000000005</v>
      </c>
      <c r="D64" s="5">
        <v>7.8562000000000003</v>
      </c>
      <c r="E64" s="5">
        <v>7.8753000000000002</v>
      </c>
      <c r="F64" s="5">
        <v>7.0696000000000003</v>
      </c>
      <c r="G64" s="5">
        <v>7.9131999999999998</v>
      </c>
      <c r="H64" s="5">
        <v>7.6387</v>
      </c>
      <c r="I64" s="5">
        <v>7.5270999999999999</v>
      </c>
      <c r="J64" s="5">
        <v>7.7587999999999999</v>
      </c>
      <c r="K64" s="5">
        <v>7.4215999999999998</v>
      </c>
      <c r="L64" s="5">
        <v>8.5965000000000007</v>
      </c>
      <c r="M64" s="5">
        <v>8.8093000000000004</v>
      </c>
      <c r="N64" s="5">
        <v>10.105700000000001</v>
      </c>
      <c r="O64" s="11">
        <v>10.105700000000001</v>
      </c>
    </row>
    <row r="65" spans="1:15" x14ac:dyDescent="0.3">
      <c r="A65" s="7" t="s">
        <v>22</v>
      </c>
      <c r="B65" s="8" t="s">
        <v>23</v>
      </c>
      <c r="C65" s="9">
        <v>7.1231</v>
      </c>
      <c r="D65" s="9">
        <v>6.57</v>
      </c>
      <c r="E65" s="9">
        <v>6.5820999999999996</v>
      </c>
      <c r="F65" s="9">
        <v>5.9537000000000004</v>
      </c>
      <c r="G65" s="9">
        <v>6.6493000000000002</v>
      </c>
      <c r="H65" s="9">
        <v>6.1505000000000001</v>
      </c>
      <c r="I65" s="9">
        <v>6.3945999999999996</v>
      </c>
      <c r="J65" s="9">
        <v>6.4122000000000003</v>
      </c>
      <c r="K65" s="9">
        <v>6.1261000000000001</v>
      </c>
      <c r="L65" s="9">
        <v>7.2302999999999997</v>
      </c>
      <c r="M65" s="9">
        <v>7.3166000000000002</v>
      </c>
      <c r="N65" s="9">
        <v>8.516</v>
      </c>
      <c r="O65" s="11">
        <v>8.516</v>
      </c>
    </row>
    <row r="66" spans="1:15" x14ac:dyDescent="0.3">
      <c r="A66" s="3" t="s">
        <v>24</v>
      </c>
      <c r="B66" s="4" t="s">
        <v>25</v>
      </c>
      <c r="C66" s="5">
        <v>7.8140000000000001</v>
      </c>
      <c r="D66" s="5">
        <v>7.0090000000000003</v>
      </c>
      <c r="E66" s="5">
        <v>7.1471999999999998</v>
      </c>
      <c r="F66" s="5">
        <v>6.4101999999999997</v>
      </c>
      <c r="G66" s="5">
        <v>7.0965999999999996</v>
      </c>
      <c r="H66" s="5">
        <v>6.7039999999999997</v>
      </c>
      <c r="I66" s="5">
        <v>6.9646999999999997</v>
      </c>
      <c r="J66" s="5">
        <v>6.8747999999999996</v>
      </c>
      <c r="K66" s="5">
        <v>6.5951000000000004</v>
      </c>
      <c r="L66" s="5">
        <v>7.5819999999999999</v>
      </c>
      <c r="M66" s="5">
        <v>7.7991000000000001</v>
      </c>
      <c r="N66" s="5">
        <v>9.2680000000000007</v>
      </c>
      <c r="O66" s="11">
        <v>9.2680000000000007</v>
      </c>
    </row>
    <row r="67" spans="1:15" x14ac:dyDescent="0.3">
      <c r="A67" s="7" t="s">
        <v>26</v>
      </c>
      <c r="B67" s="8" t="s">
        <v>27</v>
      </c>
      <c r="C67" s="9">
        <v>5.0949999999999998</v>
      </c>
      <c r="D67" s="9">
        <v>4.6856999999999998</v>
      </c>
      <c r="E67" s="9">
        <v>4.7244999999999999</v>
      </c>
      <c r="F67" s="9">
        <v>4.1459000000000001</v>
      </c>
      <c r="G67" s="9">
        <v>4.7404999999999999</v>
      </c>
      <c r="H67" s="9">
        <v>4.5894000000000004</v>
      </c>
      <c r="I67" s="9">
        <v>4.5766</v>
      </c>
      <c r="J67" s="9">
        <v>4.5605000000000002</v>
      </c>
      <c r="K67" s="9">
        <v>4.4405000000000001</v>
      </c>
      <c r="L67" s="9">
        <v>5.1764999999999999</v>
      </c>
      <c r="M67" s="9">
        <v>5.4124999999999996</v>
      </c>
      <c r="N67" s="9">
        <v>6.1382000000000003</v>
      </c>
      <c r="O67" s="11">
        <v>6.1382000000000003</v>
      </c>
    </row>
    <row r="68" spans="1:15" x14ac:dyDescent="0.3">
      <c r="A68" s="3" t="s">
        <v>28</v>
      </c>
      <c r="B68" s="4" t="s">
        <v>29</v>
      </c>
      <c r="C68" s="5">
        <v>1.7222999999999999</v>
      </c>
      <c r="D68" s="5">
        <v>1.5326</v>
      </c>
      <c r="E68" s="5">
        <v>1.6011</v>
      </c>
      <c r="F68" s="5">
        <v>1.4196</v>
      </c>
      <c r="G68" s="5">
        <v>1.5532999999999999</v>
      </c>
      <c r="H68" s="5">
        <v>1.49</v>
      </c>
      <c r="I68" s="5">
        <v>1.5522</v>
      </c>
      <c r="J68" s="5">
        <v>1.5323</v>
      </c>
      <c r="K68" s="5">
        <v>1.5197000000000001</v>
      </c>
      <c r="L68" s="5">
        <v>1.7138</v>
      </c>
      <c r="M68" s="5">
        <v>1.7282</v>
      </c>
      <c r="N68" s="5">
        <v>2.0848</v>
      </c>
      <c r="O68" s="11">
        <v>2.0848</v>
      </c>
    </row>
    <row r="69" spans="1:15" x14ac:dyDescent="0.3">
      <c r="A69" s="7" t="s">
        <v>31</v>
      </c>
      <c r="B69" s="8" t="s">
        <v>32</v>
      </c>
      <c r="C69" s="9">
        <v>5.2554999999999996</v>
      </c>
      <c r="D69" s="9">
        <v>4.6946000000000003</v>
      </c>
      <c r="E69" s="9">
        <v>4.6966000000000001</v>
      </c>
      <c r="F69" s="9">
        <v>4.2018000000000004</v>
      </c>
      <c r="G69" s="9">
        <v>4.6795999999999998</v>
      </c>
      <c r="H69" s="9">
        <v>4.5214999999999996</v>
      </c>
      <c r="I69" s="9">
        <v>4.7152000000000003</v>
      </c>
      <c r="J69" s="9">
        <v>4.6120999999999999</v>
      </c>
      <c r="K69" s="9">
        <v>4.4615</v>
      </c>
      <c r="L69" s="9">
        <v>5.0572999999999997</v>
      </c>
      <c r="M69" s="9">
        <v>5.1936</v>
      </c>
      <c r="N69" s="9">
        <v>6.1467999999999998</v>
      </c>
      <c r="O69" s="11">
        <v>6.1467999999999998</v>
      </c>
    </row>
    <row r="70" spans="1:15" x14ac:dyDescent="0.3">
      <c r="A70" s="3" t="s">
        <v>33</v>
      </c>
      <c r="B70" s="4" t="s">
        <v>35</v>
      </c>
      <c r="C70" s="5">
        <v>2.1337999999999999</v>
      </c>
      <c r="D70" s="5">
        <v>1.9398</v>
      </c>
      <c r="E70" s="5">
        <v>1.9637</v>
      </c>
      <c r="F70" s="5">
        <v>1.8393999999999999</v>
      </c>
      <c r="G70" s="5">
        <v>1.9559</v>
      </c>
      <c r="H70" s="5">
        <v>1.8755999999999999</v>
      </c>
      <c r="I70" s="5">
        <v>1.9439</v>
      </c>
      <c r="J70" s="5">
        <v>1.9525999999999999</v>
      </c>
      <c r="K70" s="5">
        <v>1.895</v>
      </c>
      <c r="L70" s="5">
        <v>2.1213000000000002</v>
      </c>
      <c r="M70" s="5">
        <v>2.2132999999999998</v>
      </c>
      <c r="N70" s="5">
        <v>2.5485000000000002</v>
      </c>
      <c r="O70" s="11">
        <v>2.5485000000000002</v>
      </c>
    </row>
    <row r="71" spans="1:15" x14ac:dyDescent="0.3">
      <c r="A71" s="7" t="s">
        <v>36</v>
      </c>
      <c r="B71" s="8" t="s">
        <v>37</v>
      </c>
      <c r="C71" s="9">
        <v>1.6820999999999999</v>
      </c>
      <c r="D71" s="9">
        <v>1.5550999999999999</v>
      </c>
      <c r="E71" s="9">
        <v>1.5771999999999999</v>
      </c>
      <c r="F71" s="9">
        <v>1.4038999999999999</v>
      </c>
      <c r="G71" s="9">
        <v>1.6044</v>
      </c>
      <c r="H71" s="9">
        <v>1.4935</v>
      </c>
      <c r="I71" s="9">
        <v>1.5589999999999999</v>
      </c>
      <c r="J71" s="9">
        <v>1.5384</v>
      </c>
      <c r="K71" s="9">
        <v>1.5055000000000001</v>
      </c>
      <c r="L71" s="9">
        <v>1.7366999999999999</v>
      </c>
      <c r="M71" s="9">
        <v>1.7531000000000001</v>
      </c>
      <c r="N71" s="9">
        <v>2.125</v>
      </c>
      <c r="O71" s="11">
        <v>2.125</v>
      </c>
    </row>
    <row r="72" spans="1:15" x14ac:dyDescent="0.3">
      <c r="A72" s="3" t="s">
        <v>38</v>
      </c>
      <c r="B72" s="4" t="s">
        <v>39</v>
      </c>
      <c r="C72" s="5">
        <v>3.4658000000000002</v>
      </c>
      <c r="D72" s="5">
        <v>3.0638999999999998</v>
      </c>
      <c r="E72" s="5">
        <v>3.1507999999999998</v>
      </c>
      <c r="F72" s="5">
        <v>2.8216000000000001</v>
      </c>
      <c r="G72" s="5">
        <v>3.2317999999999998</v>
      </c>
      <c r="H72" s="5">
        <v>2.9226999999999999</v>
      </c>
      <c r="I72" s="5">
        <v>3.1823000000000001</v>
      </c>
      <c r="J72" s="5">
        <v>3.0049000000000001</v>
      </c>
      <c r="K72" s="5">
        <v>2.9781</v>
      </c>
      <c r="L72" s="5">
        <v>3.4140000000000001</v>
      </c>
      <c r="M72" s="5">
        <v>3.4662999999999999</v>
      </c>
      <c r="N72" s="5">
        <v>4.0781000000000001</v>
      </c>
      <c r="O72" s="11">
        <v>4.0781000000000001</v>
      </c>
    </row>
    <row r="73" spans="1:15" x14ac:dyDescent="0.3">
      <c r="A73" s="7" t="s">
        <v>40</v>
      </c>
      <c r="B73" s="8" t="s">
        <v>41</v>
      </c>
      <c r="C73" s="9">
        <v>1.2697000000000001</v>
      </c>
      <c r="D73" s="9">
        <v>1.1813</v>
      </c>
      <c r="E73" s="9">
        <v>1.1751</v>
      </c>
      <c r="F73" s="9">
        <v>1.0567</v>
      </c>
      <c r="G73" s="9">
        <v>1.1826000000000001</v>
      </c>
      <c r="H73" s="9">
        <v>1.1298999999999999</v>
      </c>
      <c r="I73" s="9">
        <v>1.1955</v>
      </c>
      <c r="J73" s="9">
        <v>1.1348</v>
      </c>
      <c r="K73" s="9">
        <v>1.1592</v>
      </c>
      <c r="L73" s="9">
        <v>1.3059000000000001</v>
      </c>
      <c r="M73" s="9">
        <v>1.3192999999999999</v>
      </c>
      <c r="N73" s="9">
        <v>1.5330999999999999</v>
      </c>
      <c r="O73" s="11">
        <v>1.5330999999999999</v>
      </c>
    </row>
    <row r="74" spans="1:15" x14ac:dyDescent="0.3">
      <c r="A74" s="3" t="s">
        <v>42</v>
      </c>
      <c r="B74" s="4" t="s">
        <v>43</v>
      </c>
      <c r="C74" s="5">
        <v>1.2793000000000001</v>
      </c>
      <c r="D74" s="5">
        <v>1.1477999999999999</v>
      </c>
      <c r="E74" s="5">
        <v>1.2148000000000001</v>
      </c>
      <c r="F74" s="5">
        <v>1.0963000000000001</v>
      </c>
      <c r="G74" s="5">
        <v>1.1733</v>
      </c>
      <c r="H74" s="5">
        <v>1.1322000000000001</v>
      </c>
      <c r="I74" s="5">
        <v>1.1608000000000001</v>
      </c>
      <c r="J74" s="5">
        <v>1.1451</v>
      </c>
      <c r="K74" s="5">
        <v>1.0949</v>
      </c>
      <c r="L74" s="5">
        <v>1.2824</v>
      </c>
      <c r="M74" s="5">
        <v>1.3213999999999999</v>
      </c>
      <c r="N74" s="5">
        <v>1.5266</v>
      </c>
      <c r="O74" s="11">
        <v>1.5266</v>
      </c>
    </row>
    <row r="75" spans="1:15" x14ac:dyDescent="0.3">
      <c r="A75" s="7" t="s">
        <v>44</v>
      </c>
      <c r="B75" s="8" t="s">
        <v>45</v>
      </c>
      <c r="C75" s="9">
        <v>2.5417000000000001</v>
      </c>
      <c r="D75" s="9">
        <v>2.3142999999999998</v>
      </c>
      <c r="E75" s="9">
        <v>2.3864999999999998</v>
      </c>
      <c r="F75" s="9">
        <v>2.1587000000000001</v>
      </c>
      <c r="G75" s="9">
        <v>2.3552</v>
      </c>
      <c r="H75" s="9">
        <v>2.2736000000000001</v>
      </c>
      <c r="I75" s="9">
        <v>2.2814000000000001</v>
      </c>
      <c r="J75" s="9">
        <v>2.3089</v>
      </c>
      <c r="K75" s="9">
        <v>2.2515999999999998</v>
      </c>
      <c r="L75" s="9">
        <v>2.5718000000000001</v>
      </c>
      <c r="M75" s="9">
        <v>2.6314000000000002</v>
      </c>
      <c r="N75" s="9">
        <v>3.0491000000000001</v>
      </c>
      <c r="O75" s="11">
        <v>3.0491000000000001</v>
      </c>
    </row>
    <row r="76" spans="1:15" x14ac:dyDescent="0.3">
      <c r="A76" s="3" t="s">
        <v>46</v>
      </c>
      <c r="B76" s="4" t="s">
        <v>48</v>
      </c>
      <c r="C76" s="5">
        <v>2.5920999999999998</v>
      </c>
      <c r="D76" s="5">
        <v>2.4136000000000002</v>
      </c>
      <c r="E76" s="5">
        <v>2.4346999999999999</v>
      </c>
      <c r="F76" s="5">
        <v>2.1143999999999998</v>
      </c>
      <c r="G76" s="5">
        <v>2.3488000000000002</v>
      </c>
      <c r="H76" s="5">
        <v>2.2366999999999999</v>
      </c>
      <c r="I76" s="5">
        <v>2.3079000000000001</v>
      </c>
      <c r="J76" s="5">
        <v>2.2677</v>
      </c>
      <c r="K76" s="5">
        <v>2.2305999999999999</v>
      </c>
      <c r="L76" s="5">
        <v>2.5304000000000002</v>
      </c>
      <c r="M76" s="5">
        <v>2.6356999999999999</v>
      </c>
      <c r="N76" s="5">
        <v>3.1227</v>
      </c>
      <c r="O76" s="11">
        <v>3.1227</v>
      </c>
    </row>
    <row r="77" spans="1:15" x14ac:dyDescent="0.3">
      <c r="A77" s="7" t="s">
        <v>49</v>
      </c>
      <c r="B77" s="8" t="s">
        <v>50</v>
      </c>
      <c r="C77" s="9">
        <v>2.6652</v>
      </c>
      <c r="D77" s="9">
        <v>2.3246000000000002</v>
      </c>
      <c r="E77" s="9">
        <v>2.4110999999999998</v>
      </c>
      <c r="F77" s="9">
        <v>2.1922999999999999</v>
      </c>
      <c r="G77" s="9">
        <v>2.3353000000000002</v>
      </c>
      <c r="H77" s="9">
        <v>2.2919999999999998</v>
      </c>
      <c r="I77" s="9">
        <v>2.3532999999999999</v>
      </c>
      <c r="J77" s="9">
        <v>2.3512</v>
      </c>
      <c r="K77" s="9">
        <v>2.2307000000000001</v>
      </c>
      <c r="L77" s="9">
        <v>2.5192000000000001</v>
      </c>
      <c r="M77" s="9">
        <v>2.6393</v>
      </c>
      <c r="N77" s="9">
        <v>3.0920000000000001</v>
      </c>
      <c r="O77" s="11">
        <v>3.0920000000000001</v>
      </c>
    </row>
    <row r="78" spans="1:15" x14ac:dyDescent="0.3">
      <c r="A78" s="3" t="s">
        <v>51</v>
      </c>
      <c r="B78" s="4" t="s">
        <v>53</v>
      </c>
      <c r="C78" s="5">
        <v>1.3157000000000001</v>
      </c>
      <c r="D78" s="5">
        <v>1.1621999999999999</v>
      </c>
      <c r="E78" s="5">
        <v>1.2124999999999999</v>
      </c>
      <c r="F78" s="5">
        <v>1.0515000000000001</v>
      </c>
      <c r="G78" s="5">
        <v>1.1941999999999999</v>
      </c>
      <c r="H78" s="5">
        <v>1.1202000000000001</v>
      </c>
      <c r="I78" s="5">
        <v>1.1485000000000001</v>
      </c>
      <c r="J78" s="5">
        <v>1.1698</v>
      </c>
      <c r="K78" s="5">
        <v>1.1165</v>
      </c>
      <c r="L78" s="5">
        <v>1.2801</v>
      </c>
      <c r="M78" s="5">
        <v>1.3136000000000001</v>
      </c>
      <c r="N78" s="5">
        <v>1.5274000000000001</v>
      </c>
      <c r="O78" s="11">
        <v>1.5274000000000001</v>
      </c>
    </row>
    <row r="79" spans="1:15" x14ac:dyDescent="0.3">
      <c r="A79" s="7" t="s">
        <v>54</v>
      </c>
      <c r="B79" s="8" t="s">
        <v>56</v>
      </c>
      <c r="C79" s="9">
        <v>0.87339999999999995</v>
      </c>
      <c r="D79" s="9">
        <v>0.7732</v>
      </c>
      <c r="E79" s="9">
        <v>0.7823</v>
      </c>
      <c r="F79" s="9">
        <v>0.72289999999999999</v>
      </c>
      <c r="G79" s="9">
        <v>0.78129999999999999</v>
      </c>
      <c r="H79" s="9">
        <v>0.74790000000000001</v>
      </c>
      <c r="I79" s="9">
        <v>0.77359999999999995</v>
      </c>
      <c r="J79" s="9">
        <v>0.77070000000000005</v>
      </c>
      <c r="K79" s="9">
        <v>0.74860000000000004</v>
      </c>
      <c r="L79" s="9">
        <v>0.86829999999999996</v>
      </c>
      <c r="M79" s="9">
        <v>0.88239999999999996</v>
      </c>
      <c r="N79" s="9">
        <v>1.0074000000000001</v>
      </c>
      <c r="O79" s="11">
        <v>1.0074000000000001</v>
      </c>
    </row>
    <row r="80" spans="1:15" x14ac:dyDescent="0.3">
      <c r="A80" s="3" t="s">
        <v>57</v>
      </c>
      <c r="B80" s="4" t="s">
        <v>59</v>
      </c>
      <c r="C80" s="5">
        <v>0.86309999999999998</v>
      </c>
      <c r="D80" s="5">
        <v>0.76990000000000003</v>
      </c>
      <c r="E80" s="5">
        <v>0.78410000000000002</v>
      </c>
      <c r="F80" s="5">
        <v>0.7046</v>
      </c>
      <c r="G80" s="5">
        <v>0.77880000000000005</v>
      </c>
      <c r="H80" s="5">
        <v>0.75360000000000005</v>
      </c>
      <c r="I80" s="5">
        <v>0.77149999999999996</v>
      </c>
      <c r="J80" s="5">
        <v>0.7732</v>
      </c>
      <c r="K80" s="5">
        <v>0.74629999999999996</v>
      </c>
      <c r="L80" s="5">
        <v>0.84670000000000001</v>
      </c>
      <c r="M80" s="5">
        <v>0.88749999999999996</v>
      </c>
      <c r="N80" s="5">
        <v>1.0202</v>
      </c>
      <c r="O80" s="11">
        <v>1.0202</v>
      </c>
    </row>
    <row r="81" spans="1:15" x14ac:dyDescent="0.3">
      <c r="A81" s="7" t="s">
        <v>60</v>
      </c>
      <c r="B81" s="8" t="s">
        <v>62</v>
      </c>
      <c r="C81" s="9">
        <v>0.85960000000000003</v>
      </c>
      <c r="D81" s="9">
        <v>0.77790000000000004</v>
      </c>
      <c r="E81" s="9">
        <v>0.79510000000000003</v>
      </c>
      <c r="F81" s="9">
        <v>0.72470000000000001</v>
      </c>
      <c r="G81" s="9">
        <v>0.81169999999999998</v>
      </c>
      <c r="H81" s="9">
        <v>0.74739999999999995</v>
      </c>
      <c r="I81" s="9">
        <v>0.77959999999999996</v>
      </c>
      <c r="J81" s="9">
        <v>0.75480000000000003</v>
      </c>
      <c r="K81" s="9">
        <v>0.76119999999999999</v>
      </c>
      <c r="L81" s="9">
        <v>0.84909999999999997</v>
      </c>
      <c r="M81" s="9">
        <v>0.90010000000000001</v>
      </c>
      <c r="N81" s="9">
        <v>1.0232000000000001</v>
      </c>
      <c r="O81" s="11">
        <v>1.0232000000000001</v>
      </c>
    </row>
    <row r="82" spans="1:15" x14ac:dyDescent="0.3">
      <c r="A82" s="3" t="s">
        <v>63</v>
      </c>
      <c r="B82" s="4" t="s">
        <v>64</v>
      </c>
      <c r="C82" s="5">
        <v>1.7049000000000001</v>
      </c>
      <c r="D82" s="5">
        <v>1.5584</v>
      </c>
      <c r="E82" s="5">
        <v>1.5904</v>
      </c>
      <c r="F82" s="5">
        <v>1.4936</v>
      </c>
      <c r="G82" s="5">
        <v>1.5844</v>
      </c>
      <c r="H82" s="5">
        <v>1.4977</v>
      </c>
      <c r="I82" s="5">
        <v>1.5117</v>
      </c>
      <c r="J82" s="5">
        <v>1.5370999999999999</v>
      </c>
      <c r="K82" s="5">
        <v>1.4779</v>
      </c>
      <c r="L82" s="5">
        <v>1.7137</v>
      </c>
      <c r="M82" s="5">
        <v>1.7573000000000001</v>
      </c>
      <c r="N82" s="5">
        <v>2.0594000000000001</v>
      </c>
      <c r="O82" s="11">
        <v>2.0594000000000001</v>
      </c>
    </row>
    <row r="83" spans="1:15" x14ac:dyDescent="0.3">
      <c r="A83" s="7" t="s">
        <v>65</v>
      </c>
      <c r="B83" s="8" t="s">
        <v>66</v>
      </c>
      <c r="C83" s="9">
        <v>1.6937</v>
      </c>
      <c r="D83" s="9">
        <v>1.5537000000000001</v>
      </c>
      <c r="E83" s="9">
        <v>1.5947</v>
      </c>
      <c r="F83" s="9">
        <v>1.401</v>
      </c>
      <c r="G83" s="9">
        <v>1.5342</v>
      </c>
      <c r="H83" s="9">
        <v>1.4963</v>
      </c>
      <c r="I83" s="9">
        <v>1.5068999999999999</v>
      </c>
      <c r="J83" s="9">
        <v>1.5185</v>
      </c>
      <c r="K83" s="9">
        <v>1.4545999999999999</v>
      </c>
      <c r="L83" s="9">
        <v>1.7073</v>
      </c>
      <c r="M83" s="9">
        <v>1.7281</v>
      </c>
      <c r="N83" s="9">
        <v>2.0594999999999999</v>
      </c>
      <c r="O83" s="11">
        <v>2.0594999999999999</v>
      </c>
    </row>
    <row r="84" spans="1:15" x14ac:dyDescent="0.3">
      <c r="A84" s="3" t="s">
        <v>67</v>
      </c>
      <c r="B84" s="4" t="s">
        <v>68</v>
      </c>
      <c r="C84" s="5">
        <v>1.6936</v>
      </c>
      <c r="D84" s="5">
        <v>1.5871</v>
      </c>
      <c r="E84" s="5">
        <v>1.5944</v>
      </c>
      <c r="F84" s="5">
        <v>1.4166000000000001</v>
      </c>
      <c r="G84" s="5">
        <v>1.5811999999999999</v>
      </c>
      <c r="H84" s="5">
        <v>1.48</v>
      </c>
      <c r="I84" s="5">
        <v>1.5338000000000001</v>
      </c>
      <c r="J84" s="5">
        <v>1.5696000000000001</v>
      </c>
      <c r="K84" s="5">
        <v>1.5012000000000001</v>
      </c>
      <c r="L84" s="5">
        <v>1.6835</v>
      </c>
      <c r="M84" s="5">
        <v>1.7513000000000001</v>
      </c>
      <c r="N84" s="5">
        <v>2.0244</v>
      </c>
      <c r="O84" s="11">
        <v>2.0244</v>
      </c>
    </row>
    <row r="85" spans="1:15" x14ac:dyDescent="0.3">
      <c r="A85" s="7" t="s">
        <v>69</v>
      </c>
      <c r="B85" s="8" t="s">
        <v>71</v>
      </c>
      <c r="C85" s="9">
        <v>2.1347</v>
      </c>
      <c r="D85" s="9">
        <v>1.9275</v>
      </c>
      <c r="E85" s="9">
        <v>1.9922</v>
      </c>
      <c r="F85" s="9">
        <v>1.7586999999999999</v>
      </c>
      <c r="G85" s="9">
        <v>1.9714</v>
      </c>
      <c r="H85" s="9">
        <v>1.8511</v>
      </c>
      <c r="I85" s="9">
        <v>1.9819</v>
      </c>
      <c r="J85" s="9">
        <v>1.9080999999999999</v>
      </c>
      <c r="K85" s="9">
        <v>1.8629</v>
      </c>
      <c r="L85" s="9">
        <v>2.1255999999999999</v>
      </c>
      <c r="M85" s="9">
        <v>2.1503999999999999</v>
      </c>
      <c r="N85" s="9">
        <v>2.5421</v>
      </c>
      <c r="O85" s="11">
        <v>2.5421</v>
      </c>
    </row>
    <row r="86" spans="1:15" x14ac:dyDescent="0.3">
      <c r="A86" s="3" t="s">
        <v>72</v>
      </c>
      <c r="B86" s="4" t="s">
        <v>74</v>
      </c>
      <c r="C86" s="5">
        <v>3.4459</v>
      </c>
      <c r="D86" s="5">
        <v>3.1244999999999998</v>
      </c>
      <c r="E86" s="5">
        <v>3.1736</v>
      </c>
      <c r="F86" s="5">
        <v>2.8368000000000002</v>
      </c>
      <c r="G86" s="5">
        <v>3.1452</v>
      </c>
      <c r="H86" s="5">
        <v>3.0472000000000001</v>
      </c>
      <c r="I86" s="5">
        <v>3.0533999999999999</v>
      </c>
      <c r="J86" s="5">
        <v>3.1084000000000001</v>
      </c>
      <c r="K86" s="5">
        <v>2.9178000000000002</v>
      </c>
      <c r="L86" s="5">
        <v>3.4127000000000001</v>
      </c>
      <c r="M86" s="5">
        <v>3.5994999999999999</v>
      </c>
      <c r="N86" s="5">
        <v>4.0906000000000002</v>
      </c>
      <c r="O86" s="11">
        <v>4.0906000000000002</v>
      </c>
    </row>
    <row r="87" spans="1:15" x14ac:dyDescent="0.3">
      <c r="A87" s="7" t="s">
        <v>75</v>
      </c>
      <c r="B87" s="8" t="s">
        <v>76</v>
      </c>
      <c r="C87" s="9">
        <v>2.5720000000000001</v>
      </c>
      <c r="D87" s="9">
        <v>2.3054999999999999</v>
      </c>
      <c r="E87" s="9">
        <v>2.3843000000000001</v>
      </c>
      <c r="F87" s="9">
        <v>2.1160999999999999</v>
      </c>
      <c r="G87" s="9">
        <v>2.3441999999999998</v>
      </c>
      <c r="H87" s="9">
        <v>2.2256</v>
      </c>
      <c r="I87" s="9">
        <v>2.3268</v>
      </c>
      <c r="J87" s="9">
        <v>2.3191000000000002</v>
      </c>
      <c r="K87" s="9">
        <v>2.2332000000000001</v>
      </c>
      <c r="L87" s="9">
        <v>2.5448</v>
      </c>
      <c r="M87" s="9">
        <v>2.6415000000000002</v>
      </c>
      <c r="N87" s="9">
        <v>3.0383</v>
      </c>
      <c r="O87" s="11">
        <v>3.0383</v>
      </c>
    </row>
    <row r="88" spans="1:15" x14ac:dyDescent="0.3">
      <c r="A88" s="3" t="s">
        <v>77</v>
      </c>
      <c r="B88" s="4" t="s">
        <v>79</v>
      </c>
      <c r="C88" s="5">
        <v>2.1322999999999999</v>
      </c>
      <c r="D88" s="5">
        <v>1.9272</v>
      </c>
      <c r="E88" s="5">
        <v>1.9645999999999999</v>
      </c>
      <c r="F88" s="5">
        <v>1.7545999999999999</v>
      </c>
      <c r="G88" s="5">
        <v>1.9728000000000001</v>
      </c>
      <c r="H88" s="5">
        <v>1.8979999999999999</v>
      </c>
      <c r="I88" s="5">
        <v>1.9402999999999999</v>
      </c>
      <c r="J88" s="5">
        <v>1.9255</v>
      </c>
      <c r="K88" s="5">
        <v>1.837</v>
      </c>
      <c r="L88" s="5">
        <v>2.1421999999999999</v>
      </c>
      <c r="M88" s="5">
        <v>2.1817000000000002</v>
      </c>
      <c r="N88" s="5">
        <v>2.5379999999999998</v>
      </c>
      <c r="O88" s="11">
        <v>2.5379999999999998</v>
      </c>
    </row>
    <row r="89" spans="1:15" x14ac:dyDescent="0.3">
      <c r="A89" s="7" t="s">
        <v>80</v>
      </c>
      <c r="B89" s="8" t="s">
        <v>81</v>
      </c>
      <c r="C89" s="9">
        <v>1.4036999999999999</v>
      </c>
      <c r="D89" s="9">
        <v>1.2907999999999999</v>
      </c>
      <c r="E89" s="9">
        <v>1.3312999999999999</v>
      </c>
      <c r="F89" s="9">
        <v>1.1859</v>
      </c>
      <c r="G89" s="9">
        <v>1.3077000000000001</v>
      </c>
      <c r="H89" s="9">
        <v>1.258</v>
      </c>
      <c r="I89" s="9">
        <v>1.2867</v>
      </c>
      <c r="J89" s="9">
        <v>1.2601</v>
      </c>
      <c r="K89" s="9">
        <v>1.2217</v>
      </c>
      <c r="L89" s="9">
        <v>1.4450000000000001</v>
      </c>
      <c r="M89" s="9">
        <v>1.4672000000000001</v>
      </c>
      <c r="N89" s="9">
        <v>1.706</v>
      </c>
      <c r="O89" s="11">
        <v>1.706</v>
      </c>
    </row>
    <row r="90" spans="1:15" x14ac:dyDescent="0.3">
      <c r="A90" s="3" t="s">
        <v>82</v>
      </c>
      <c r="B90" s="4" t="s">
        <v>83</v>
      </c>
      <c r="C90" s="5">
        <v>1.7350000000000001</v>
      </c>
      <c r="D90" s="5">
        <v>1.5429999999999999</v>
      </c>
      <c r="E90" s="5">
        <v>1.56</v>
      </c>
      <c r="F90" s="5">
        <v>1.4337</v>
      </c>
      <c r="G90" s="5">
        <v>1.5447</v>
      </c>
      <c r="H90" s="5">
        <v>1.4937</v>
      </c>
      <c r="I90" s="5">
        <v>1.5276000000000001</v>
      </c>
      <c r="J90" s="5">
        <v>1.5375000000000001</v>
      </c>
      <c r="K90" s="5">
        <v>1.5232000000000001</v>
      </c>
      <c r="L90" s="5">
        <v>1.6977</v>
      </c>
      <c r="M90" s="5">
        <v>1.7517</v>
      </c>
      <c r="N90" s="5">
        <v>2.0383</v>
      </c>
      <c r="O90" s="11">
        <v>2.0383</v>
      </c>
    </row>
    <row r="91" spans="1:15" x14ac:dyDescent="0.3">
      <c r="A91" s="7" t="s">
        <v>84</v>
      </c>
      <c r="B91" s="8" t="s">
        <v>85</v>
      </c>
      <c r="C91" s="9">
        <v>1.7113</v>
      </c>
      <c r="D91" s="9">
        <v>1.5652999999999999</v>
      </c>
      <c r="E91" s="9">
        <v>1.5620000000000001</v>
      </c>
      <c r="F91" s="9">
        <v>1.4457</v>
      </c>
      <c r="G91" s="9">
        <v>1.5760000000000001</v>
      </c>
      <c r="H91" s="9">
        <v>1.4809000000000001</v>
      </c>
      <c r="I91" s="9">
        <v>1.54</v>
      </c>
      <c r="J91" s="9">
        <v>1.5243</v>
      </c>
      <c r="K91" s="9">
        <v>1.4812000000000001</v>
      </c>
      <c r="L91" s="9">
        <v>1.7298</v>
      </c>
      <c r="M91" s="9">
        <v>1.7948</v>
      </c>
      <c r="N91" s="9">
        <v>2.0347</v>
      </c>
      <c r="O91" s="11">
        <v>2.0347</v>
      </c>
    </row>
    <row r="92" spans="1:15" x14ac:dyDescent="0.3">
      <c r="A92" s="3" t="s">
        <v>86</v>
      </c>
      <c r="B92" s="4" t="s">
        <v>87</v>
      </c>
      <c r="C92" s="5">
        <v>1.7142999999999999</v>
      </c>
      <c r="D92" s="5">
        <v>1.5456000000000001</v>
      </c>
      <c r="E92" s="5">
        <v>1.6292</v>
      </c>
      <c r="F92" s="5">
        <v>1.4074</v>
      </c>
      <c r="G92" s="5">
        <v>1.5788</v>
      </c>
      <c r="H92" s="5">
        <v>1.4984999999999999</v>
      </c>
      <c r="I92" s="5">
        <v>1.5458000000000001</v>
      </c>
      <c r="J92" s="5">
        <v>1.5033000000000001</v>
      </c>
      <c r="K92" s="5">
        <v>1.4951000000000001</v>
      </c>
      <c r="L92" s="5">
        <v>1.7338</v>
      </c>
      <c r="M92" s="5">
        <v>1.7444999999999999</v>
      </c>
      <c r="N92" s="5">
        <v>2.0331000000000001</v>
      </c>
      <c r="O92" s="11">
        <v>2.0331000000000001</v>
      </c>
    </row>
    <row r="93" spans="1:15" x14ac:dyDescent="0.3">
      <c r="A93" s="7" t="s">
        <v>88</v>
      </c>
      <c r="B93" s="8" t="s">
        <v>89</v>
      </c>
      <c r="C93" s="9">
        <v>2.1187999999999998</v>
      </c>
      <c r="D93" s="9">
        <v>1.8942000000000001</v>
      </c>
      <c r="E93" s="9">
        <v>1.9941</v>
      </c>
      <c r="F93" s="9">
        <v>1.8214999999999999</v>
      </c>
      <c r="G93" s="9">
        <v>1.9993000000000001</v>
      </c>
      <c r="H93" s="9">
        <v>1.9675</v>
      </c>
      <c r="I93" s="9">
        <v>1.915</v>
      </c>
      <c r="J93" s="9">
        <v>1.8897999999999999</v>
      </c>
      <c r="K93" s="9">
        <v>1.8774999999999999</v>
      </c>
      <c r="L93" s="9">
        <v>2.1747999999999998</v>
      </c>
      <c r="M93" s="9">
        <v>2.2164999999999999</v>
      </c>
      <c r="N93" s="9">
        <v>2.5661999999999998</v>
      </c>
      <c r="O93" s="11">
        <v>2.5661999999999998</v>
      </c>
    </row>
    <row r="94" spans="1:15" x14ac:dyDescent="0.3">
      <c r="A94" s="3" t="s">
        <v>90</v>
      </c>
      <c r="B94" s="4" t="s">
        <v>92</v>
      </c>
      <c r="C94" s="5">
        <v>1.6855</v>
      </c>
      <c r="D94" s="5">
        <v>1.5442</v>
      </c>
      <c r="E94" s="5">
        <v>1.5884</v>
      </c>
      <c r="F94" s="5">
        <v>1.3889</v>
      </c>
      <c r="G94" s="5">
        <v>1.5582</v>
      </c>
      <c r="H94" s="5">
        <v>1.5441</v>
      </c>
      <c r="I94" s="5">
        <v>1.5198</v>
      </c>
      <c r="J94" s="5">
        <v>1.5316000000000001</v>
      </c>
      <c r="K94" s="5">
        <v>1.4977</v>
      </c>
      <c r="L94" s="5">
        <v>1.6932</v>
      </c>
      <c r="M94" s="5">
        <v>1.7652000000000001</v>
      </c>
      <c r="N94" s="5">
        <v>2.0388000000000002</v>
      </c>
      <c r="O94" s="11">
        <v>2.0388000000000002</v>
      </c>
    </row>
    <row r="95" spans="1:15" x14ac:dyDescent="0.3">
      <c r="A95" s="7" t="s">
        <v>93</v>
      </c>
      <c r="B95" s="8" t="s">
        <v>95</v>
      </c>
      <c r="C95" s="9">
        <v>2.5844999999999998</v>
      </c>
      <c r="D95" s="9">
        <v>2.3094000000000001</v>
      </c>
      <c r="E95" s="9">
        <v>2.3473000000000002</v>
      </c>
      <c r="F95" s="9">
        <v>2.1246</v>
      </c>
      <c r="G95" s="9">
        <v>2.3929999999999998</v>
      </c>
      <c r="H95" s="9">
        <v>2.2016</v>
      </c>
      <c r="I95" s="9">
        <v>2.3542999999999998</v>
      </c>
      <c r="J95" s="9">
        <v>2.3321000000000001</v>
      </c>
      <c r="K95" s="9">
        <v>2.1873999999999998</v>
      </c>
      <c r="L95" s="9">
        <v>2.6126</v>
      </c>
      <c r="M95" s="9">
        <v>2.6509</v>
      </c>
      <c r="N95" s="9">
        <v>3.0308999999999999</v>
      </c>
      <c r="O95" s="11">
        <v>3.0308999999999999</v>
      </c>
    </row>
    <row r="96" spans="1:15" x14ac:dyDescent="0.3">
      <c r="A96" s="3" t="s">
        <v>96</v>
      </c>
      <c r="B96" s="4" t="s">
        <v>97</v>
      </c>
      <c r="C96" s="5">
        <v>2.5533999999999999</v>
      </c>
      <c r="D96" s="5">
        <v>2.3285</v>
      </c>
      <c r="E96" s="5">
        <v>2.3344</v>
      </c>
      <c r="F96" s="5">
        <v>2.1101000000000001</v>
      </c>
      <c r="G96" s="5">
        <v>2.3466</v>
      </c>
      <c r="H96" s="5">
        <v>2.2513999999999998</v>
      </c>
      <c r="I96" s="5">
        <v>2.3268</v>
      </c>
      <c r="J96" s="5">
        <v>2.4234</v>
      </c>
      <c r="K96" s="5">
        <v>2.2309000000000001</v>
      </c>
      <c r="L96" s="5">
        <v>2.5564</v>
      </c>
      <c r="M96" s="5">
        <v>2.6286999999999998</v>
      </c>
      <c r="N96" s="5">
        <v>3.0251999999999999</v>
      </c>
      <c r="O96" s="11">
        <v>3.0251999999999999</v>
      </c>
    </row>
    <row r="97" spans="1:15" x14ac:dyDescent="0.3">
      <c r="A97" s="7" t="s">
        <v>98</v>
      </c>
      <c r="B97" s="8" t="s">
        <v>100</v>
      </c>
      <c r="C97" s="9">
        <v>6.8513000000000002</v>
      </c>
      <c r="D97" s="9">
        <v>6.2191999999999998</v>
      </c>
      <c r="E97" s="9">
        <v>6.3097000000000003</v>
      </c>
      <c r="F97" s="9">
        <v>5.7464000000000004</v>
      </c>
      <c r="G97" s="9">
        <v>6.2548000000000004</v>
      </c>
      <c r="H97" s="9">
        <v>6.0670999999999999</v>
      </c>
      <c r="I97" s="9">
        <v>6.2512999999999996</v>
      </c>
      <c r="J97" s="9">
        <v>6.0826000000000002</v>
      </c>
      <c r="K97" s="9">
        <v>5.8567999999999998</v>
      </c>
      <c r="L97" s="9">
        <v>6.7663000000000002</v>
      </c>
      <c r="M97" s="9">
        <v>7.0218999999999996</v>
      </c>
      <c r="N97" s="9">
        <v>8.2344000000000008</v>
      </c>
      <c r="O97" s="11">
        <v>8.2344000000000008</v>
      </c>
    </row>
    <row r="98" spans="1:15" x14ac:dyDescent="0.3">
      <c r="A98" s="3" t="s">
        <v>101</v>
      </c>
      <c r="B98" s="4" t="s">
        <v>103</v>
      </c>
      <c r="C98" s="5">
        <v>5.1797000000000004</v>
      </c>
      <c r="D98" s="5">
        <v>4.6138000000000003</v>
      </c>
      <c r="E98" s="5">
        <v>4.8581000000000003</v>
      </c>
      <c r="F98" s="5">
        <v>4.1860999999999997</v>
      </c>
      <c r="G98" s="5">
        <v>4.6712999999999996</v>
      </c>
      <c r="H98" s="5">
        <v>4.4438000000000004</v>
      </c>
      <c r="I98" s="5">
        <v>4.6025</v>
      </c>
      <c r="J98" s="5">
        <v>4.6570999999999998</v>
      </c>
      <c r="K98" s="5">
        <v>4.4149000000000003</v>
      </c>
      <c r="L98" s="5">
        <v>5.0590000000000002</v>
      </c>
      <c r="M98" s="5">
        <v>5.1988000000000003</v>
      </c>
      <c r="N98" s="5">
        <v>6.0551000000000004</v>
      </c>
      <c r="O98" s="11">
        <v>6.0551000000000004</v>
      </c>
    </row>
    <row r="99" spans="1:15" x14ac:dyDescent="0.3">
      <c r="A99" s="7" t="s">
        <v>104</v>
      </c>
      <c r="B99" s="8" t="s">
        <v>106</v>
      </c>
      <c r="C99" s="9">
        <v>1.7214</v>
      </c>
      <c r="D99" s="9">
        <v>1.5778000000000001</v>
      </c>
      <c r="E99" s="9">
        <v>1.5556000000000001</v>
      </c>
      <c r="F99" s="9">
        <v>1.3980999999999999</v>
      </c>
      <c r="G99" s="9">
        <v>1.5620000000000001</v>
      </c>
      <c r="H99" s="9">
        <v>1.4779</v>
      </c>
      <c r="I99" s="9">
        <v>1.5529999999999999</v>
      </c>
      <c r="J99" s="9">
        <v>1.5643</v>
      </c>
      <c r="K99" s="9">
        <v>1.4954000000000001</v>
      </c>
      <c r="L99" s="9">
        <v>1.7215</v>
      </c>
      <c r="M99" s="9">
        <v>1.7252000000000001</v>
      </c>
      <c r="N99" s="9">
        <v>2.0449999999999999</v>
      </c>
      <c r="O99" s="11">
        <v>2.0449999999999999</v>
      </c>
    </row>
    <row r="100" spans="1:15" x14ac:dyDescent="0.3">
      <c r="A100" s="3" t="s">
        <v>107</v>
      </c>
      <c r="B100" s="4" t="s">
        <v>108</v>
      </c>
      <c r="C100" s="5">
        <v>3.1381999999999999</v>
      </c>
      <c r="D100" s="5">
        <v>2.8115999999999999</v>
      </c>
      <c r="E100" s="5">
        <v>2.9321999999999999</v>
      </c>
      <c r="F100" s="5">
        <v>2.6791999999999998</v>
      </c>
      <c r="G100" s="5">
        <v>2.9152</v>
      </c>
      <c r="H100" s="5">
        <v>2.7841999999999998</v>
      </c>
      <c r="I100" s="5">
        <v>2.8319999999999999</v>
      </c>
      <c r="J100" s="5">
        <v>2.7765</v>
      </c>
      <c r="K100" s="5">
        <v>2.7081</v>
      </c>
      <c r="L100" s="5">
        <v>3.0889000000000002</v>
      </c>
      <c r="M100" s="5">
        <v>3.2195</v>
      </c>
      <c r="N100" s="5">
        <v>3.7490999999999999</v>
      </c>
      <c r="O100" s="11">
        <v>3.7490999999999999</v>
      </c>
    </row>
    <row r="101" spans="1:15" x14ac:dyDescent="0.3">
      <c r="A101" s="7" t="s">
        <v>109</v>
      </c>
      <c r="B101" s="8" t="s">
        <v>111</v>
      </c>
      <c r="C101" s="9">
        <v>1.1446000000000001</v>
      </c>
      <c r="D101" s="9">
        <v>1.0218</v>
      </c>
      <c r="E101" s="9">
        <v>1.0643</v>
      </c>
      <c r="F101" s="9">
        <v>0.96809999999999996</v>
      </c>
      <c r="G101" s="9">
        <v>1.0432999999999999</v>
      </c>
      <c r="H101" s="9">
        <v>0.99399999999999999</v>
      </c>
      <c r="I101" s="9">
        <v>1.0139</v>
      </c>
      <c r="J101" s="9">
        <v>1.0098</v>
      </c>
      <c r="K101" s="9">
        <v>1.0018</v>
      </c>
      <c r="L101" s="9">
        <v>1.1662999999999999</v>
      </c>
      <c r="M101" s="9">
        <v>1.1783999999999999</v>
      </c>
      <c r="N101" s="9">
        <v>1.3753</v>
      </c>
      <c r="O101" s="11">
        <v>1.3753</v>
      </c>
    </row>
    <row r="102" spans="1:15" x14ac:dyDescent="0.3">
      <c r="A102" s="3" t="s">
        <v>112</v>
      </c>
      <c r="B102" s="4" t="s">
        <v>114</v>
      </c>
      <c r="C102" s="5">
        <v>1.3120000000000001</v>
      </c>
      <c r="D102" s="5">
        <v>1.1372</v>
      </c>
      <c r="E102" s="5">
        <v>1.1890000000000001</v>
      </c>
      <c r="F102" s="5">
        <v>1.0653999999999999</v>
      </c>
      <c r="G102" s="5">
        <v>1.1871</v>
      </c>
      <c r="H102" s="5">
        <v>1.1419999999999999</v>
      </c>
      <c r="I102" s="5">
        <v>1.1725000000000001</v>
      </c>
      <c r="J102" s="5">
        <v>1.1620999999999999</v>
      </c>
      <c r="K102" s="5">
        <v>1.1002000000000001</v>
      </c>
      <c r="L102" s="5">
        <v>1.2811999999999999</v>
      </c>
      <c r="M102" s="5">
        <v>1.3159000000000001</v>
      </c>
      <c r="N102" s="5">
        <v>1.5387999999999999</v>
      </c>
      <c r="O102" s="11">
        <v>1.5387999999999999</v>
      </c>
    </row>
    <row r="103" spans="1:15" x14ac:dyDescent="0.3">
      <c r="A103" s="7" t="s">
        <v>115</v>
      </c>
      <c r="B103" s="8" t="s">
        <v>117</v>
      </c>
      <c r="C103" s="9">
        <v>0.21310000000000001</v>
      </c>
      <c r="D103" s="9">
        <v>0.19389999999999999</v>
      </c>
      <c r="E103" s="9">
        <v>0.19889999999999999</v>
      </c>
      <c r="F103" s="9">
        <v>0.17730000000000001</v>
      </c>
      <c r="G103" s="9">
        <v>0.19409999999999999</v>
      </c>
      <c r="H103" s="9">
        <v>0.186</v>
      </c>
      <c r="I103" s="9">
        <v>0.1961</v>
      </c>
      <c r="J103" s="9">
        <v>0.188</v>
      </c>
      <c r="K103" s="9">
        <v>0.18709999999999999</v>
      </c>
      <c r="L103" s="9">
        <v>0.21229999999999999</v>
      </c>
      <c r="M103" s="9">
        <v>0.22209999999999999</v>
      </c>
      <c r="N103" s="9">
        <v>0.2571</v>
      </c>
      <c r="O103" s="11">
        <v>0.2571</v>
      </c>
    </row>
    <row r="104" spans="1:15" x14ac:dyDescent="0.3">
      <c r="A104" s="3" t="s">
        <v>118</v>
      </c>
      <c r="B104" s="4" t="s">
        <v>119</v>
      </c>
      <c r="C104" s="5">
        <v>0.21510000000000001</v>
      </c>
      <c r="D104" s="5">
        <v>0.1963</v>
      </c>
      <c r="E104" s="5">
        <v>0.1986</v>
      </c>
      <c r="F104" s="5">
        <v>0.17710000000000001</v>
      </c>
      <c r="G104" s="5">
        <v>0.1953</v>
      </c>
      <c r="H104" s="5">
        <v>0.1875</v>
      </c>
      <c r="I104" s="5">
        <v>0.1928</v>
      </c>
      <c r="J104" s="5">
        <v>0.1928</v>
      </c>
      <c r="K104" s="5">
        <v>0.18720000000000001</v>
      </c>
      <c r="L104" s="5">
        <v>0.219</v>
      </c>
      <c r="M104" s="5">
        <v>0.22259999999999999</v>
      </c>
      <c r="N104" s="5">
        <v>0.25159999999999999</v>
      </c>
      <c r="O104" s="11">
        <v>0.25159999999999999</v>
      </c>
    </row>
    <row r="105" spans="1:15" x14ac:dyDescent="0.3">
      <c r="A105" s="7" t="s">
        <v>120</v>
      </c>
      <c r="B105" s="8" t="s">
        <v>122</v>
      </c>
      <c r="C105" s="9">
        <v>0.218</v>
      </c>
      <c r="D105" s="9">
        <v>0.19220000000000001</v>
      </c>
      <c r="E105" s="9">
        <v>0.20019999999999999</v>
      </c>
      <c r="F105" s="9">
        <v>0.1789</v>
      </c>
      <c r="G105" s="9">
        <v>0.1961</v>
      </c>
      <c r="H105" s="9">
        <v>0.18329999999999999</v>
      </c>
      <c r="I105" s="9">
        <v>0.1971</v>
      </c>
      <c r="J105" s="9">
        <v>0.19170000000000001</v>
      </c>
      <c r="K105" s="9">
        <v>0.182</v>
      </c>
      <c r="L105" s="9">
        <v>0.21590000000000001</v>
      </c>
      <c r="M105" s="9">
        <v>0.21829999999999999</v>
      </c>
      <c r="N105" s="9">
        <v>0.25319999999999998</v>
      </c>
      <c r="O105" s="11">
        <v>0.25319999999999998</v>
      </c>
    </row>
    <row r="106" spans="1:15" x14ac:dyDescent="0.3">
      <c r="A106" s="3" t="s">
        <v>123</v>
      </c>
      <c r="B106" s="4" t="s">
        <v>124</v>
      </c>
      <c r="C106" s="5">
        <v>0.35299999999999998</v>
      </c>
      <c r="D106" s="5">
        <v>0.33829999999999999</v>
      </c>
      <c r="E106" s="5">
        <v>0.32879999999999998</v>
      </c>
      <c r="F106" s="5">
        <v>0.2974</v>
      </c>
      <c r="G106" s="5">
        <v>0.33019999999999999</v>
      </c>
      <c r="H106" s="5">
        <v>0.3211</v>
      </c>
      <c r="I106" s="5">
        <v>0.31740000000000002</v>
      </c>
      <c r="J106" s="5">
        <v>0.3231</v>
      </c>
      <c r="K106" s="5">
        <v>0.30769999999999997</v>
      </c>
      <c r="L106" s="5">
        <v>0.36230000000000001</v>
      </c>
      <c r="M106" s="5">
        <v>0.36430000000000001</v>
      </c>
      <c r="N106" s="5">
        <v>0.43419999999999997</v>
      </c>
      <c r="O106" s="11">
        <v>0.43419999999999997</v>
      </c>
    </row>
    <row r="107" spans="1:15" x14ac:dyDescent="0.3">
      <c r="A107" s="7" t="s">
        <v>125</v>
      </c>
      <c r="B107" s="8" t="s">
        <v>126</v>
      </c>
      <c r="C107" s="9">
        <v>0.2137</v>
      </c>
      <c r="D107" s="9">
        <v>0.19450000000000001</v>
      </c>
      <c r="E107" s="9">
        <v>0.2079</v>
      </c>
      <c r="F107" s="9">
        <v>0.18049999999999999</v>
      </c>
      <c r="G107" s="9">
        <v>0.19400000000000001</v>
      </c>
      <c r="H107" s="9">
        <v>0.18659999999999999</v>
      </c>
      <c r="I107" s="9">
        <v>0.19020000000000001</v>
      </c>
      <c r="J107" s="9">
        <v>0.19189999999999999</v>
      </c>
      <c r="K107" s="9">
        <v>0.1855</v>
      </c>
      <c r="L107" s="9">
        <v>0.2137</v>
      </c>
      <c r="M107" s="9">
        <v>0.22239999999999999</v>
      </c>
      <c r="N107" s="9">
        <v>0.25619999999999998</v>
      </c>
      <c r="O107" s="11">
        <v>0.25619999999999998</v>
      </c>
    </row>
    <row r="108" spans="1:15" x14ac:dyDescent="0.3">
      <c r="A108" s="3" t="s">
        <v>127</v>
      </c>
      <c r="B108" s="4" t="s">
        <v>128</v>
      </c>
      <c r="C108" s="5">
        <v>0.21629999999999999</v>
      </c>
      <c r="D108" s="5">
        <v>0.19389999999999999</v>
      </c>
      <c r="E108" s="5">
        <v>0.20080000000000001</v>
      </c>
      <c r="F108" s="5">
        <v>0.17660000000000001</v>
      </c>
      <c r="G108" s="5">
        <v>0.1983</v>
      </c>
      <c r="H108" s="5">
        <v>0.18609999999999999</v>
      </c>
      <c r="I108" s="5">
        <v>0.19070000000000001</v>
      </c>
      <c r="J108" s="5">
        <v>0.19120000000000001</v>
      </c>
      <c r="K108" s="5">
        <v>0.18340000000000001</v>
      </c>
      <c r="L108" s="5">
        <v>0.21510000000000001</v>
      </c>
      <c r="M108" s="5">
        <v>0.21629999999999999</v>
      </c>
      <c r="N108" s="5">
        <v>0.25380000000000003</v>
      </c>
      <c r="O108" s="11">
        <v>0.25380000000000003</v>
      </c>
    </row>
    <row r="109" spans="1:15" x14ac:dyDescent="0.3">
      <c r="A109" s="7" t="s">
        <v>129</v>
      </c>
      <c r="B109" s="8" t="s">
        <v>130</v>
      </c>
      <c r="C109" s="9">
        <v>0.21490000000000001</v>
      </c>
      <c r="D109" s="9">
        <v>0.19420000000000001</v>
      </c>
      <c r="E109" s="9">
        <v>0.19980000000000001</v>
      </c>
      <c r="F109" s="9">
        <v>0.1759</v>
      </c>
      <c r="G109" s="9">
        <v>0.19600000000000001</v>
      </c>
      <c r="H109" s="9">
        <v>0.189</v>
      </c>
      <c r="I109" s="9">
        <v>0.19289999999999999</v>
      </c>
      <c r="J109" s="9">
        <v>0.20430000000000001</v>
      </c>
      <c r="K109" s="9">
        <v>0.189</v>
      </c>
      <c r="L109" s="9">
        <v>0.21310000000000001</v>
      </c>
      <c r="M109" s="9">
        <v>0.21690000000000001</v>
      </c>
      <c r="N109" s="9">
        <v>0.25669999999999998</v>
      </c>
      <c r="O109" s="11">
        <v>0.25669999999999998</v>
      </c>
    </row>
    <row r="110" spans="1:15" x14ac:dyDescent="0.3">
      <c r="A110" s="3" t="s">
        <v>131</v>
      </c>
      <c r="B110" s="4" t="s">
        <v>132</v>
      </c>
      <c r="C110" s="5">
        <v>0.42749999999999999</v>
      </c>
      <c r="D110" s="5">
        <v>0.38379999999999997</v>
      </c>
      <c r="E110" s="5">
        <v>0.4052</v>
      </c>
      <c r="F110" s="5">
        <v>0.36320000000000002</v>
      </c>
      <c r="G110" s="5">
        <v>0.39079999999999998</v>
      </c>
      <c r="H110" s="5">
        <v>0.37430000000000002</v>
      </c>
      <c r="I110" s="5">
        <v>0.38129999999999997</v>
      </c>
      <c r="J110" s="5">
        <v>0.38369999999999999</v>
      </c>
      <c r="K110" s="5">
        <v>0.36530000000000001</v>
      </c>
      <c r="L110" s="5">
        <v>0.42809999999999998</v>
      </c>
      <c r="M110" s="5">
        <v>0.43790000000000001</v>
      </c>
      <c r="N110" s="5">
        <v>0.5101</v>
      </c>
      <c r="O110" s="11">
        <v>0.5101</v>
      </c>
    </row>
    <row r="111" spans="1:15" x14ac:dyDescent="0.3">
      <c r="A111" s="7" t="s">
        <v>133</v>
      </c>
      <c r="B111" s="8" t="s">
        <v>134</v>
      </c>
      <c r="C111" s="9">
        <v>0.42970000000000003</v>
      </c>
      <c r="D111" s="9">
        <v>0.38579999999999998</v>
      </c>
      <c r="E111" s="9">
        <v>0.38829999999999998</v>
      </c>
      <c r="F111" s="9">
        <v>0.36409999999999998</v>
      </c>
      <c r="G111" s="9">
        <v>0.39140000000000003</v>
      </c>
      <c r="H111" s="9">
        <v>0.38109999999999999</v>
      </c>
      <c r="I111" s="9">
        <v>0.38109999999999999</v>
      </c>
      <c r="J111" s="9">
        <v>0.38419999999999999</v>
      </c>
      <c r="K111" s="9">
        <v>0.36780000000000002</v>
      </c>
      <c r="L111" s="9">
        <v>0.42499999999999999</v>
      </c>
      <c r="M111" s="9">
        <v>0.44230000000000003</v>
      </c>
      <c r="N111" s="9">
        <v>0.51239999999999997</v>
      </c>
      <c r="O111" s="11">
        <v>0.51239999999999997</v>
      </c>
    </row>
    <row r="112" spans="1:15" x14ac:dyDescent="0.3">
      <c r="A112" s="3" t="s">
        <v>135</v>
      </c>
      <c r="B112" s="4" t="s">
        <v>136</v>
      </c>
      <c r="C112" s="5">
        <v>0.42499999999999999</v>
      </c>
      <c r="D112" s="5">
        <v>0.39350000000000002</v>
      </c>
      <c r="E112" s="5">
        <v>0.39190000000000003</v>
      </c>
      <c r="F112" s="5">
        <v>0.35539999999999999</v>
      </c>
      <c r="G112" s="5">
        <v>0.39250000000000002</v>
      </c>
      <c r="H112" s="5">
        <v>0.37640000000000001</v>
      </c>
      <c r="I112" s="5">
        <v>0.38219999999999998</v>
      </c>
      <c r="J112" s="5">
        <v>0.38629999999999998</v>
      </c>
      <c r="K112" s="5">
        <v>0.38150000000000001</v>
      </c>
      <c r="L112" s="5">
        <v>0.4259</v>
      </c>
      <c r="M112" s="5">
        <v>0.43369999999999997</v>
      </c>
      <c r="N112" s="5">
        <v>0.51339999999999997</v>
      </c>
      <c r="O112" s="11">
        <v>0.51339999999999997</v>
      </c>
    </row>
    <row r="113" spans="1:15" x14ac:dyDescent="0.3">
      <c r="A113" s="7" t="s">
        <v>137</v>
      </c>
      <c r="B113" s="8" t="s">
        <v>138</v>
      </c>
      <c r="C113" s="9">
        <v>0.21110000000000001</v>
      </c>
      <c r="D113" s="9">
        <v>0.1928</v>
      </c>
      <c r="E113" s="9">
        <v>0.19439999999999999</v>
      </c>
      <c r="F113" s="9">
        <v>0.18210000000000001</v>
      </c>
      <c r="G113" s="9">
        <v>0.19670000000000001</v>
      </c>
      <c r="H113" s="9">
        <v>0.192</v>
      </c>
      <c r="I113" s="9">
        <v>0.1938</v>
      </c>
      <c r="J113" s="9">
        <v>0.19409999999999999</v>
      </c>
      <c r="K113" s="9">
        <v>0.18429999999999999</v>
      </c>
      <c r="L113" s="9">
        <v>0.21340000000000001</v>
      </c>
      <c r="M113" s="9">
        <v>0.21659999999999999</v>
      </c>
      <c r="N113" s="9">
        <v>0.25559999999999999</v>
      </c>
      <c r="O113" s="11">
        <v>0.25559999999999999</v>
      </c>
    </row>
    <row r="114" spans="1:15" x14ac:dyDescent="0.3">
      <c r="A114" s="3" t="s">
        <v>139</v>
      </c>
      <c r="B114" s="4" t="s">
        <v>140</v>
      </c>
      <c r="C114" s="5">
        <v>0.42530000000000001</v>
      </c>
      <c r="D114" s="5">
        <v>0.38429999999999997</v>
      </c>
      <c r="E114" s="5">
        <v>0.39560000000000001</v>
      </c>
      <c r="F114" s="5">
        <v>0.36470000000000002</v>
      </c>
      <c r="G114" s="5">
        <v>0.39419999999999999</v>
      </c>
      <c r="H114" s="5">
        <v>0.38159999999999999</v>
      </c>
      <c r="I114" s="5">
        <v>0.37240000000000001</v>
      </c>
      <c r="J114" s="5">
        <v>0.38750000000000001</v>
      </c>
      <c r="K114" s="5">
        <v>0.36699999999999999</v>
      </c>
      <c r="L114" s="5">
        <v>0.42980000000000002</v>
      </c>
      <c r="M114" s="5">
        <v>0.4501</v>
      </c>
      <c r="N114" s="5">
        <v>0.51039999999999996</v>
      </c>
      <c r="O114" s="11">
        <v>0.51039999999999996</v>
      </c>
    </row>
    <row r="115" spans="1:15" ht="18" customHeight="1" x14ac:dyDescent="0.3">
      <c r="A115" s="12" t="s">
        <v>155</v>
      </c>
      <c r="B115" s="12" t="s">
        <v>156</v>
      </c>
      <c r="C115" s="13">
        <v>21.105799999999999</v>
      </c>
      <c r="D115" s="13">
        <v>19.523099999999999</v>
      </c>
      <c r="E115" s="13">
        <v>19.650099999999998</v>
      </c>
      <c r="F115" s="13">
        <v>17.8659</v>
      </c>
      <c r="G115" s="13">
        <v>20.498699999999999</v>
      </c>
      <c r="H115" s="13">
        <v>18.6494</v>
      </c>
      <c r="I115" s="13">
        <v>18.965399999999999</v>
      </c>
      <c r="J115" s="13">
        <v>19.185400000000001</v>
      </c>
      <c r="K115" s="13">
        <v>18.707999999999998</v>
      </c>
      <c r="L115" s="13">
        <v>21.306899999999999</v>
      </c>
      <c r="M115" s="13">
        <v>21.9115</v>
      </c>
      <c r="N115" s="13">
        <v>25.667400000000001</v>
      </c>
      <c r="O115" s="13">
        <v>25.667400000000001</v>
      </c>
    </row>
    <row r="117" spans="1:15" ht="22.05" customHeight="1" x14ac:dyDescent="0.3">
      <c r="A117" s="26" t="s">
        <v>158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ht="30" customHeight="1" x14ac:dyDescent="0.3">
      <c r="A118" s="1" t="s">
        <v>3</v>
      </c>
      <c r="B118" s="1" t="s">
        <v>5</v>
      </c>
      <c r="C118" s="2" t="s">
        <v>12</v>
      </c>
      <c r="D118" s="2" t="s">
        <v>141</v>
      </c>
      <c r="E118" s="2" t="s">
        <v>142</v>
      </c>
      <c r="F118" s="2" t="s">
        <v>143</v>
      </c>
      <c r="G118" s="2" t="s">
        <v>144</v>
      </c>
      <c r="H118" s="2" t="s">
        <v>145</v>
      </c>
      <c r="I118" s="2" t="s">
        <v>146</v>
      </c>
      <c r="J118" s="2" t="s">
        <v>147</v>
      </c>
      <c r="K118" s="2" t="s">
        <v>148</v>
      </c>
      <c r="L118" s="2" t="s">
        <v>149</v>
      </c>
      <c r="M118" s="2" t="s">
        <v>150</v>
      </c>
      <c r="N118" s="2" t="s">
        <v>151</v>
      </c>
      <c r="O118" s="1" t="s">
        <v>154</v>
      </c>
    </row>
    <row r="119" spans="1:15" x14ac:dyDescent="0.3">
      <c r="A119" s="3" t="s">
        <v>13</v>
      </c>
      <c r="B119" s="4" t="s">
        <v>15</v>
      </c>
      <c r="C119" s="5">
        <v>1680.4739</v>
      </c>
      <c r="D119" s="5">
        <v>1353.2783999999999</v>
      </c>
      <c r="E119" s="5">
        <v>1533.7348</v>
      </c>
      <c r="F119" s="5">
        <v>1311.0260000000001</v>
      </c>
      <c r="G119" s="5">
        <v>1523.8942</v>
      </c>
      <c r="H119" s="5">
        <v>1398.1921</v>
      </c>
      <c r="I119" s="5">
        <v>1492.6449</v>
      </c>
      <c r="J119" s="5">
        <v>1482.9684999999999</v>
      </c>
      <c r="K119" s="5">
        <v>1389.7302</v>
      </c>
      <c r="L119" s="5">
        <v>1678.0635</v>
      </c>
      <c r="M119" s="5">
        <v>1663.4865</v>
      </c>
      <c r="N119" s="5">
        <v>2037.0228999999999</v>
      </c>
      <c r="O119" s="11">
        <v>18544.515899999999</v>
      </c>
    </row>
    <row r="120" spans="1:15" x14ac:dyDescent="0.3">
      <c r="A120" s="7" t="s">
        <v>17</v>
      </c>
      <c r="B120" s="8" t="s">
        <v>19</v>
      </c>
      <c r="C120" s="9">
        <v>836.63289999999995</v>
      </c>
      <c r="D120" s="9">
        <v>677.39880000000005</v>
      </c>
      <c r="E120" s="9">
        <v>770.29380000000003</v>
      </c>
      <c r="F120" s="9">
        <v>655.12210000000005</v>
      </c>
      <c r="G120" s="9">
        <v>762.84199999999998</v>
      </c>
      <c r="H120" s="9">
        <v>698.60990000000004</v>
      </c>
      <c r="I120" s="9">
        <v>742.64689999999996</v>
      </c>
      <c r="J120" s="9">
        <v>740.90539999999999</v>
      </c>
      <c r="K120" s="9">
        <v>688.69460000000004</v>
      </c>
      <c r="L120" s="9">
        <v>833.7011</v>
      </c>
      <c r="M120" s="9">
        <v>832.26599999999996</v>
      </c>
      <c r="N120" s="9">
        <v>1016.2753</v>
      </c>
      <c r="O120" s="11">
        <v>9255.3887999999988</v>
      </c>
    </row>
    <row r="121" spans="1:15" x14ac:dyDescent="0.3">
      <c r="A121" s="3" t="s">
        <v>20</v>
      </c>
      <c r="B121" s="4" t="s">
        <v>21</v>
      </c>
      <c r="C121" s="5">
        <v>673.40070000000003</v>
      </c>
      <c r="D121" s="5">
        <v>537.18960000000004</v>
      </c>
      <c r="E121" s="5">
        <v>614.48440000000005</v>
      </c>
      <c r="F121" s="5">
        <v>524.98180000000002</v>
      </c>
      <c r="G121" s="5">
        <v>607.87929999999994</v>
      </c>
      <c r="H121" s="5">
        <v>558.25279999999998</v>
      </c>
      <c r="I121" s="5">
        <v>597.77980000000002</v>
      </c>
      <c r="J121" s="5">
        <v>595.80359999999996</v>
      </c>
      <c r="K121" s="5">
        <v>551.13559999999995</v>
      </c>
      <c r="L121" s="5">
        <v>673.22109999999998</v>
      </c>
      <c r="M121" s="5">
        <v>667.51440000000002</v>
      </c>
      <c r="N121" s="5">
        <v>814.69079999999997</v>
      </c>
      <c r="O121" s="11">
        <v>7416.3339000000014</v>
      </c>
    </row>
    <row r="122" spans="1:15" x14ac:dyDescent="0.3">
      <c r="A122" s="7" t="s">
        <v>22</v>
      </c>
      <c r="B122" s="8" t="s">
        <v>23</v>
      </c>
      <c r="C122" s="9">
        <v>558.20029999999997</v>
      </c>
      <c r="D122" s="9">
        <v>451.13979999999998</v>
      </c>
      <c r="E122" s="9">
        <v>511.19439999999997</v>
      </c>
      <c r="F122" s="9">
        <v>436.66829999999999</v>
      </c>
      <c r="G122" s="9">
        <v>507.29239999999999</v>
      </c>
      <c r="H122" s="9">
        <v>466.85019999999997</v>
      </c>
      <c r="I122" s="9">
        <v>496.71100000000001</v>
      </c>
      <c r="J122" s="9">
        <v>495.4665</v>
      </c>
      <c r="K122" s="9">
        <v>459.0958</v>
      </c>
      <c r="L122" s="9">
        <v>558.73080000000004</v>
      </c>
      <c r="M122" s="9">
        <v>553.97749999999996</v>
      </c>
      <c r="N122" s="9">
        <v>677.36890000000005</v>
      </c>
      <c r="O122" s="11">
        <v>6172.6958999999997</v>
      </c>
    </row>
    <row r="123" spans="1:15" x14ac:dyDescent="0.3">
      <c r="A123" s="3" t="s">
        <v>24</v>
      </c>
      <c r="B123" s="4" t="s">
        <v>25</v>
      </c>
      <c r="C123" s="5">
        <v>603.98429999999996</v>
      </c>
      <c r="D123" s="5">
        <v>486.92</v>
      </c>
      <c r="E123" s="5">
        <v>552.4348</v>
      </c>
      <c r="F123" s="5">
        <v>473.30180000000001</v>
      </c>
      <c r="G123" s="5">
        <v>549.42740000000003</v>
      </c>
      <c r="H123" s="5">
        <v>502.82749999999999</v>
      </c>
      <c r="I123" s="5">
        <v>535.36530000000005</v>
      </c>
      <c r="J123" s="5">
        <v>537.3614</v>
      </c>
      <c r="K123" s="5">
        <v>495.38290000000001</v>
      </c>
      <c r="L123" s="5">
        <v>601.18690000000004</v>
      </c>
      <c r="M123" s="5">
        <v>598.91240000000005</v>
      </c>
      <c r="N123" s="5">
        <v>730.21550000000002</v>
      </c>
      <c r="O123" s="11">
        <v>6667.3201999999992</v>
      </c>
    </row>
    <row r="124" spans="1:15" x14ac:dyDescent="0.3">
      <c r="A124" s="7" t="s">
        <v>26</v>
      </c>
      <c r="B124" s="8" t="s">
        <v>27</v>
      </c>
      <c r="C124" s="9">
        <v>401.85820000000001</v>
      </c>
      <c r="D124" s="9">
        <v>326.02280000000002</v>
      </c>
      <c r="E124" s="9">
        <v>367.43680000000001</v>
      </c>
      <c r="F124" s="9">
        <v>315.19619999999998</v>
      </c>
      <c r="G124" s="9">
        <v>364.6653</v>
      </c>
      <c r="H124" s="9">
        <v>335.62560000000002</v>
      </c>
      <c r="I124" s="9">
        <v>355.7518</v>
      </c>
      <c r="J124" s="9">
        <v>354.67219999999998</v>
      </c>
      <c r="K124" s="9">
        <v>331.36630000000002</v>
      </c>
      <c r="L124" s="9">
        <v>400.2124</v>
      </c>
      <c r="M124" s="9">
        <v>399.98340000000002</v>
      </c>
      <c r="N124" s="9">
        <v>488.39409999999998</v>
      </c>
      <c r="O124" s="11">
        <v>4441.1851000000006</v>
      </c>
    </row>
    <row r="125" spans="1:15" x14ac:dyDescent="0.3">
      <c r="A125" s="3" t="s">
        <v>28</v>
      </c>
      <c r="B125" s="4" t="s">
        <v>29</v>
      </c>
      <c r="C125" s="5">
        <v>134.1764</v>
      </c>
      <c r="D125" s="5">
        <v>108.54640000000001</v>
      </c>
      <c r="E125" s="5">
        <v>122.1812</v>
      </c>
      <c r="F125" s="5">
        <v>105.6238</v>
      </c>
      <c r="G125" s="5">
        <v>121.85299999999999</v>
      </c>
      <c r="H125" s="5">
        <v>112.2182</v>
      </c>
      <c r="I125" s="5">
        <v>118.84699999999999</v>
      </c>
      <c r="J125" s="5">
        <v>118.98739999999999</v>
      </c>
      <c r="K125" s="5">
        <v>110.4984</v>
      </c>
      <c r="L125" s="5">
        <v>134.26759999999999</v>
      </c>
      <c r="M125" s="5">
        <v>133.16309999999999</v>
      </c>
      <c r="N125" s="5">
        <v>162.92140000000001</v>
      </c>
      <c r="O125" s="11">
        <v>1483.2838999999999</v>
      </c>
    </row>
    <row r="126" spans="1:15" x14ac:dyDescent="0.3">
      <c r="A126" s="7" t="s">
        <v>31</v>
      </c>
      <c r="B126" s="8" t="s">
        <v>32</v>
      </c>
      <c r="C126" s="9">
        <v>403.92520000000002</v>
      </c>
      <c r="D126" s="9">
        <v>323.88940000000002</v>
      </c>
      <c r="E126" s="9">
        <v>369.58730000000003</v>
      </c>
      <c r="F126" s="9">
        <v>316.02229999999997</v>
      </c>
      <c r="G126" s="9">
        <v>365.69959999999998</v>
      </c>
      <c r="H126" s="9">
        <v>337.31299999999999</v>
      </c>
      <c r="I126" s="9">
        <v>355.1284</v>
      </c>
      <c r="J126" s="9">
        <v>356.24090000000001</v>
      </c>
      <c r="K126" s="9">
        <v>329.67899999999997</v>
      </c>
      <c r="L126" s="9">
        <v>401.79730000000001</v>
      </c>
      <c r="M126" s="9">
        <v>400.2518</v>
      </c>
      <c r="N126" s="9">
        <v>487.70600000000002</v>
      </c>
      <c r="O126" s="11">
        <v>4447.2402000000002</v>
      </c>
    </row>
    <row r="127" spans="1:15" x14ac:dyDescent="0.3">
      <c r="A127" s="3" t="s">
        <v>33</v>
      </c>
      <c r="B127" s="4" t="s">
        <v>35</v>
      </c>
      <c r="C127" s="5">
        <v>167.57810000000001</v>
      </c>
      <c r="D127" s="5">
        <v>135.38499999999999</v>
      </c>
      <c r="E127" s="5">
        <v>153.00370000000001</v>
      </c>
      <c r="F127" s="5">
        <v>131.52930000000001</v>
      </c>
      <c r="G127" s="5">
        <v>151.90289999999999</v>
      </c>
      <c r="H127" s="5">
        <v>140.13229999999999</v>
      </c>
      <c r="I127" s="5">
        <v>148.38480000000001</v>
      </c>
      <c r="J127" s="5">
        <v>148.6754</v>
      </c>
      <c r="K127" s="5">
        <v>137.76230000000001</v>
      </c>
      <c r="L127" s="5">
        <v>167.19069999999999</v>
      </c>
      <c r="M127" s="5">
        <v>166.11920000000001</v>
      </c>
      <c r="N127" s="5">
        <v>204.30860000000001</v>
      </c>
      <c r="O127" s="11">
        <v>1851.972300000001</v>
      </c>
    </row>
    <row r="128" spans="1:15" x14ac:dyDescent="0.3">
      <c r="A128" s="7" t="s">
        <v>36</v>
      </c>
      <c r="B128" s="8" t="s">
        <v>37</v>
      </c>
      <c r="C128" s="9">
        <v>134.0582</v>
      </c>
      <c r="D128" s="9">
        <v>108.3357</v>
      </c>
      <c r="E128" s="9">
        <v>122.3402</v>
      </c>
      <c r="F128" s="9">
        <v>105.2867</v>
      </c>
      <c r="G128" s="9">
        <v>121.447</v>
      </c>
      <c r="H128" s="9">
        <v>111.5488</v>
      </c>
      <c r="I128" s="9">
        <v>118.9705</v>
      </c>
      <c r="J128" s="9">
        <v>118.7432</v>
      </c>
      <c r="K128" s="9">
        <v>110.71769999999999</v>
      </c>
      <c r="L128" s="9">
        <v>133.69460000000001</v>
      </c>
      <c r="M128" s="9">
        <v>133.10849999999999</v>
      </c>
      <c r="N128" s="9">
        <v>163.45490000000001</v>
      </c>
      <c r="O128" s="11">
        <v>1481.7059999999999</v>
      </c>
    </row>
    <row r="129" spans="1:15" x14ac:dyDescent="0.3">
      <c r="A129" s="3" t="s">
        <v>38</v>
      </c>
      <c r="B129" s="4" t="s">
        <v>39</v>
      </c>
      <c r="C129" s="5">
        <v>268.1284</v>
      </c>
      <c r="D129" s="5">
        <v>216.34979999999999</v>
      </c>
      <c r="E129" s="5">
        <v>246.64429999999999</v>
      </c>
      <c r="F129" s="5">
        <v>210.40379999999999</v>
      </c>
      <c r="G129" s="5">
        <v>243.4761</v>
      </c>
      <c r="H129" s="5">
        <v>223.74520000000001</v>
      </c>
      <c r="I129" s="5">
        <v>237.57640000000001</v>
      </c>
      <c r="J129" s="5">
        <v>237.72460000000001</v>
      </c>
      <c r="K129" s="5">
        <v>220.3629</v>
      </c>
      <c r="L129" s="5">
        <v>267.53620000000001</v>
      </c>
      <c r="M129" s="5">
        <v>266.70749999999998</v>
      </c>
      <c r="N129" s="5">
        <v>325.04199999999997</v>
      </c>
      <c r="O129" s="11">
        <v>2963.6972000000001</v>
      </c>
    </row>
    <row r="130" spans="1:15" x14ac:dyDescent="0.3">
      <c r="A130" s="7" t="s">
        <v>40</v>
      </c>
      <c r="B130" s="8" t="s">
        <v>41</v>
      </c>
      <c r="C130" s="9">
        <v>100.6865</v>
      </c>
      <c r="D130" s="9">
        <v>81.0779</v>
      </c>
      <c r="E130" s="9">
        <v>92.108400000000003</v>
      </c>
      <c r="F130" s="9">
        <v>78.634699999999995</v>
      </c>
      <c r="G130" s="9">
        <v>91.399299999999997</v>
      </c>
      <c r="H130" s="9">
        <v>83.864000000000004</v>
      </c>
      <c r="I130" s="9">
        <v>89.322100000000006</v>
      </c>
      <c r="J130" s="9">
        <v>89.290999999999997</v>
      </c>
      <c r="K130" s="9">
        <v>83.106200000000001</v>
      </c>
      <c r="L130" s="9">
        <v>100.6816</v>
      </c>
      <c r="M130" s="9">
        <v>99.878</v>
      </c>
      <c r="N130" s="9">
        <v>122.0128</v>
      </c>
      <c r="O130" s="11">
        <v>1112.0625</v>
      </c>
    </row>
    <row r="131" spans="1:15" x14ac:dyDescent="0.3">
      <c r="A131" s="3" t="s">
        <v>42</v>
      </c>
      <c r="B131" s="4" t="s">
        <v>43</v>
      </c>
      <c r="C131" s="5">
        <v>100.70440000000001</v>
      </c>
      <c r="D131" s="5">
        <v>80.718599999999995</v>
      </c>
      <c r="E131" s="5">
        <v>92.233400000000003</v>
      </c>
      <c r="F131" s="5">
        <v>78.424000000000007</v>
      </c>
      <c r="G131" s="5">
        <v>91.308199999999999</v>
      </c>
      <c r="H131" s="5">
        <v>84.075500000000005</v>
      </c>
      <c r="I131" s="5">
        <v>89.066599999999994</v>
      </c>
      <c r="J131" s="5">
        <v>89.235799999999998</v>
      </c>
      <c r="K131" s="5">
        <v>82.915999999999997</v>
      </c>
      <c r="L131" s="5">
        <v>101.14619999999999</v>
      </c>
      <c r="M131" s="5">
        <v>99.729799999999997</v>
      </c>
      <c r="N131" s="5">
        <v>121.72839999999999</v>
      </c>
      <c r="O131" s="11">
        <v>1111.2869000000001</v>
      </c>
    </row>
    <row r="132" spans="1:15" x14ac:dyDescent="0.3">
      <c r="A132" s="7" t="s">
        <v>44</v>
      </c>
      <c r="B132" s="8" t="s">
        <v>45</v>
      </c>
      <c r="C132" s="9">
        <v>201.2287</v>
      </c>
      <c r="D132" s="9">
        <v>162.46080000000001</v>
      </c>
      <c r="E132" s="9">
        <v>184.42250000000001</v>
      </c>
      <c r="F132" s="9">
        <v>157.7877</v>
      </c>
      <c r="G132" s="9">
        <v>183.01339999999999</v>
      </c>
      <c r="H132" s="9">
        <v>167.9187</v>
      </c>
      <c r="I132" s="9">
        <v>178.41300000000001</v>
      </c>
      <c r="J132" s="9">
        <v>178.1309</v>
      </c>
      <c r="K132" s="9">
        <v>166.36600000000001</v>
      </c>
      <c r="L132" s="9">
        <v>201.6489</v>
      </c>
      <c r="M132" s="9">
        <v>199.7645</v>
      </c>
      <c r="N132" s="9">
        <v>244.6026</v>
      </c>
      <c r="O132" s="11">
        <v>2225.7577000000001</v>
      </c>
    </row>
    <row r="133" spans="1:15" x14ac:dyDescent="0.3">
      <c r="A133" s="3" t="s">
        <v>46</v>
      </c>
      <c r="B133" s="4" t="s">
        <v>48</v>
      </c>
      <c r="C133" s="5">
        <v>201.2441</v>
      </c>
      <c r="D133" s="5">
        <v>161.9896</v>
      </c>
      <c r="E133" s="5">
        <v>184.1189</v>
      </c>
      <c r="F133" s="5">
        <v>157.44049999999999</v>
      </c>
      <c r="G133" s="5">
        <v>181.96629999999999</v>
      </c>
      <c r="H133" s="5">
        <v>167.5634</v>
      </c>
      <c r="I133" s="5">
        <v>178.24639999999999</v>
      </c>
      <c r="J133" s="5">
        <v>178.77279999999999</v>
      </c>
      <c r="K133" s="5">
        <v>165.65389999999999</v>
      </c>
      <c r="L133" s="5">
        <v>200.7884</v>
      </c>
      <c r="M133" s="5">
        <v>199.8922</v>
      </c>
      <c r="N133" s="5">
        <v>243.8202</v>
      </c>
      <c r="O133" s="11">
        <v>2221.4967000000001</v>
      </c>
    </row>
    <row r="134" spans="1:15" x14ac:dyDescent="0.3">
      <c r="A134" s="7" t="s">
        <v>49</v>
      </c>
      <c r="B134" s="8" t="s">
        <v>50</v>
      </c>
      <c r="C134" s="9">
        <v>202.20099999999999</v>
      </c>
      <c r="D134" s="9">
        <v>162.15860000000001</v>
      </c>
      <c r="E134" s="9">
        <v>184.23179999999999</v>
      </c>
      <c r="F134" s="9">
        <v>158.38570000000001</v>
      </c>
      <c r="G134" s="9">
        <v>183.52889999999999</v>
      </c>
      <c r="H134" s="9">
        <v>168.01060000000001</v>
      </c>
      <c r="I134" s="9">
        <v>177.80500000000001</v>
      </c>
      <c r="J134" s="9">
        <v>178.77180000000001</v>
      </c>
      <c r="K134" s="9">
        <v>166.33500000000001</v>
      </c>
      <c r="L134" s="9">
        <v>201.02699999999999</v>
      </c>
      <c r="M134" s="9">
        <v>200.27629999999999</v>
      </c>
      <c r="N134" s="9">
        <v>244.0958</v>
      </c>
      <c r="O134" s="11">
        <v>2226.8274999999999</v>
      </c>
    </row>
    <row r="135" spans="1:15" x14ac:dyDescent="0.3">
      <c r="A135" s="3" t="s">
        <v>51</v>
      </c>
      <c r="B135" s="4" t="s">
        <v>53</v>
      </c>
      <c r="C135" s="5">
        <v>100.9267</v>
      </c>
      <c r="D135" s="5">
        <v>80.669600000000003</v>
      </c>
      <c r="E135" s="5">
        <v>92.319199999999995</v>
      </c>
      <c r="F135" s="5">
        <v>78.734999999999999</v>
      </c>
      <c r="G135" s="5">
        <v>90.705799999999996</v>
      </c>
      <c r="H135" s="5">
        <v>83.364599999999996</v>
      </c>
      <c r="I135" s="5">
        <v>88.940299999999993</v>
      </c>
      <c r="J135" s="5">
        <v>89.292599999999993</v>
      </c>
      <c r="K135" s="5">
        <v>82.835800000000006</v>
      </c>
      <c r="L135" s="5">
        <v>100.30119999999999</v>
      </c>
      <c r="M135" s="5">
        <v>99.712000000000003</v>
      </c>
      <c r="N135" s="5">
        <v>121.992</v>
      </c>
      <c r="O135" s="11">
        <v>1109.7947999999999</v>
      </c>
    </row>
    <row r="136" spans="1:15" x14ac:dyDescent="0.3">
      <c r="A136" s="7" t="s">
        <v>54</v>
      </c>
      <c r="B136" s="8" t="s">
        <v>56</v>
      </c>
      <c r="C136" s="9">
        <v>67.022599999999997</v>
      </c>
      <c r="D136" s="9">
        <v>53.973500000000001</v>
      </c>
      <c r="E136" s="9">
        <v>61.334800000000001</v>
      </c>
      <c r="F136" s="9">
        <v>52.665799999999997</v>
      </c>
      <c r="G136" s="9">
        <v>61.022199999999998</v>
      </c>
      <c r="H136" s="9">
        <v>55.9529</v>
      </c>
      <c r="I136" s="9">
        <v>59.339599999999997</v>
      </c>
      <c r="J136" s="9">
        <v>59.668799999999997</v>
      </c>
      <c r="K136" s="9">
        <v>55.150599999999997</v>
      </c>
      <c r="L136" s="9">
        <v>66.819900000000004</v>
      </c>
      <c r="M136" s="9">
        <v>66.676599999999993</v>
      </c>
      <c r="N136" s="9">
        <v>81.582800000000006</v>
      </c>
      <c r="O136" s="11">
        <v>741.2100999999999</v>
      </c>
    </row>
    <row r="137" spans="1:15" x14ac:dyDescent="0.3">
      <c r="A137" s="3" t="s">
        <v>57</v>
      </c>
      <c r="B137" s="4" t="s">
        <v>59</v>
      </c>
      <c r="C137" s="5">
        <v>67.2834</v>
      </c>
      <c r="D137" s="5">
        <v>53.883699999999997</v>
      </c>
      <c r="E137" s="5">
        <v>61.334800000000001</v>
      </c>
      <c r="F137" s="5">
        <v>52.817999999999998</v>
      </c>
      <c r="G137" s="5">
        <v>60.92</v>
      </c>
      <c r="H137" s="5">
        <v>56.017800000000001</v>
      </c>
      <c r="I137" s="5">
        <v>59.343200000000003</v>
      </c>
      <c r="J137" s="5">
        <v>59.511000000000003</v>
      </c>
      <c r="K137" s="5">
        <v>55.325600000000001</v>
      </c>
      <c r="L137" s="5">
        <v>66.8232</v>
      </c>
      <c r="M137" s="5">
        <v>66.6892</v>
      </c>
      <c r="N137" s="5">
        <v>81.517799999999994</v>
      </c>
      <c r="O137" s="11">
        <v>741.46770000000015</v>
      </c>
    </row>
    <row r="138" spans="1:15" x14ac:dyDescent="0.3">
      <c r="A138" s="7" t="s">
        <v>60</v>
      </c>
      <c r="B138" s="8" t="s">
        <v>62</v>
      </c>
      <c r="C138" s="9">
        <v>67.128600000000006</v>
      </c>
      <c r="D138" s="9">
        <v>54.152200000000001</v>
      </c>
      <c r="E138" s="9">
        <v>61.533099999999997</v>
      </c>
      <c r="F138" s="9">
        <v>52.682600000000001</v>
      </c>
      <c r="G138" s="9">
        <v>61.003599999999999</v>
      </c>
      <c r="H138" s="9">
        <v>55.9773</v>
      </c>
      <c r="I138" s="9">
        <v>59.15</v>
      </c>
      <c r="J138" s="9">
        <v>59.429000000000002</v>
      </c>
      <c r="K138" s="9">
        <v>54.997300000000003</v>
      </c>
      <c r="L138" s="9">
        <v>66.914199999999994</v>
      </c>
      <c r="M138" s="9">
        <v>66.548400000000001</v>
      </c>
      <c r="N138" s="9">
        <v>81.677999999999997</v>
      </c>
      <c r="O138" s="11">
        <v>741.19429999999988</v>
      </c>
    </row>
    <row r="139" spans="1:15" x14ac:dyDescent="0.3">
      <c r="A139" s="3" t="s">
        <v>63</v>
      </c>
      <c r="B139" s="4" t="s">
        <v>64</v>
      </c>
      <c r="C139" s="5">
        <v>133.8383</v>
      </c>
      <c r="D139" s="5">
        <v>107.15260000000001</v>
      </c>
      <c r="E139" s="5">
        <v>122.8877</v>
      </c>
      <c r="F139" s="5">
        <v>105.3527</v>
      </c>
      <c r="G139" s="5">
        <v>121.7169</v>
      </c>
      <c r="H139" s="5">
        <v>111.39709999999999</v>
      </c>
      <c r="I139" s="5">
        <v>118.3301</v>
      </c>
      <c r="J139" s="5">
        <v>118.91889999999999</v>
      </c>
      <c r="K139" s="5">
        <v>110.56529999999999</v>
      </c>
      <c r="L139" s="5">
        <v>133.8982</v>
      </c>
      <c r="M139" s="5">
        <v>132.6454</v>
      </c>
      <c r="N139" s="5">
        <v>162.5933</v>
      </c>
      <c r="O139" s="11">
        <v>1479.2964999999999</v>
      </c>
    </row>
    <row r="140" spans="1:15" x14ac:dyDescent="0.3">
      <c r="A140" s="7" t="s">
        <v>65</v>
      </c>
      <c r="B140" s="8" t="s">
        <v>66</v>
      </c>
      <c r="C140" s="9">
        <v>134.60040000000001</v>
      </c>
      <c r="D140" s="9">
        <v>108.3651</v>
      </c>
      <c r="E140" s="9">
        <v>122.559</v>
      </c>
      <c r="F140" s="9">
        <v>105.3519</v>
      </c>
      <c r="G140" s="9">
        <v>122.312</v>
      </c>
      <c r="H140" s="9">
        <v>112.0441</v>
      </c>
      <c r="I140" s="9">
        <v>118.61360000000001</v>
      </c>
      <c r="J140" s="9">
        <v>118.9682</v>
      </c>
      <c r="K140" s="9">
        <v>110.72490000000001</v>
      </c>
      <c r="L140" s="9">
        <v>134.17140000000001</v>
      </c>
      <c r="M140" s="9">
        <v>133.70679999999999</v>
      </c>
      <c r="N140" s="9">
        <v>162.91239999999999</v>
      </c>
      <c r="O140" s="11">
        <v>1484.3298</v>
      </c>
    </row>
    <row r="141" spans="1:15" x14ac:dyDescent="0.3">
      <c r="A141" s="3" t="s">
        <v>67</v>
      </c>
      <c r="B141" s="4" t="s">
        <v>68</v>
      </c>
      <c r="C141" s="5">
        <v>134.32220000000001</v>
      </c>
      <c r="D141" s="5">
        <v>107.6784</v>
      </c>
      <c r="E141" s="5">
        <v>122.63509999999999</v>
      </c>
      <c r="F141" s="5">
        <v>105.46850000000001</v>
      </c>
      <c r="G141" s="5">
        <v>122.0598</v>
      </c>
      <c r="H141" s="5">
        <v>112.0211</v>
      </c>
      <c r="I141" s="5">
        <v>118.80759999999999</v>
      </c>
      <c r="J141" s="5">
        <v>118.873</v>
      </c>
      <c r="K141" s="5">
        <v>110.7283</v>
      </c>
      <c r="L141" s="5">
        <v>134.30539999999999</v>
      </c>
      <c r="M141" s="5">
        <v>133.14420000000001</v>
      </c>
      <c r="N141" s="5">
        <v>163.06280000000001</v>
      </c>
      <c r="O141" s="11">
        <v>1483.1063999999999</v>
      </c>
    </row>
    <row r="142" spans="1:15" x14ac:dyDescent="0.3">
      <c r="A142" s="7" t="s">
        <v>69</v>
      </c>
      <c r="B142" s="8" t="s">
        <v>71</v>
      </c>
      <c r="C142" s="9">
        <v>168.09209999999999</v>
      </c>
      <c r="D142" s="9">
        <v>135.0138</v>
      </c>
      <c r="E142" s="9">
        <v>153.84780000000001</v>
      </c>
      <c r="F142" s="9">
        <v>131.8237</v>
      </c>
      <c r="G142" s="9">
        <v>152.57380000000001</v>
      </c>
      <c r="H142" s="9">
        <v>140.18549999999999</v>
      </c>
      <c r="I142" s="9">
        <v>148.7602</v>
      </c>
      <c r="J142" s="9">
        <v>148.71619999999999</v>
      </c>
      <c r="K142" s="9">
        <v>138.15690000000001</v>
      </c>
      <c r="L142" s="9">
        <v>166.9862</v>
      </c>
      <c r="M142" s="9">
        <v>165.77959999999999</v>
      </c>
      <c r="N142" s="9">
        <v>202.9615</v>
      </c>
      <c r="O142" s="11">
        <v>1852.8973000000001</v>
      </c>
    </row>
    <row r="143" spans="1:15" x14ac:dyDescent="0.3">
      <c r="A143" s="3" t="s">
        <v>72</v>
      </c>
      <c r="B143" s="4" t="s">
        <v>74</v>
      </c>
      <c r="C143" s="5">
        <v>268.39210000000003</v>
      </c>
      <c r="D143" s="5">
        <v>216.55269999999999</v>
      </c>
      <c r="E143" s="5">
        <v>246.15870000000001</v>
      </c>
      <c r="F143" s="5">
        <v>211.51410000000001</v>
      </c>
      <c r="G143" s="5">
        <v>243.0256</v>
      </c>
      <c r="H143" s="5">
        <v>223.25720000000001</v>
      </c>
      <c r="I143" s="5">
        <v>238.0138</v>
      </c>
      <c r="J143" s="5">
        <v>239.60579999999999</v>
      </c>
      <c r="K143" s="5">
        <v>219.7646</v>
      </c>
      <c r="L143" s="5">
        <v>267.68529999999998</v>
      </c>
      <c r="M143" s="5">
        <v>265.83589999999998</v>
      </c>
      <c r="N143" s="5">
        <v>326.83109999999999</v>
      </c>
      <c r="O143" s="11">
        <v>2966.6369</v>
      </c>
    </row>
    <row r="144" spans="1:15" x14ac:dyDescent="0.3">
      <c r="A144" s="7" t="s">
        <v>75</v>
      </c>
      <c r="B144" s="8" t="s">
        <v>76</v>
      </c>
      <c r="C144" s="9">
        <v>201.7567</v>
      </c>
      <c r="D144" s="9">
        <v>161.82749999999999</v>
      </c>
      <c r="E144" s="9">
        <v>183.74889999999999</v>
      </c>
      <c r="F144" s="9">
        <v>157.8075</v>
      </c>
      <c r="G144" s="9">
        <v>181.95259999999999</v>
      </c>
      <c r="H144" s="9">
        <v>167.13849999999999</v>
      </c>
      <c r="I144" s="9">
        <v>177.81780000000001</v>
      </c>
      <c r="J144" s="9">
        <v>177.976</v>
      </c>
      <c r="K144" s="9">
        <v>166.36160000000001</v>
      </c>
      <c r="L144" s="9">
        <v>201.42779999999999</v>
      </c>
      <c r="M144" s="9">
        <v>200.3212</v>
      </c>
      <c r="N144" s="9">
        <v>244.34870000000001</v>
      </c>
      <c r="O144" s="11">
        <v>2222.4848000000002</v>
      </c>
    </row>
    <row r="145" spans="1:15" x14ac:dyDescent="0.3">
      <c r="A145" s="3" t="s">
        <v>77</v>
      </c>
      <c r="B145" s="4" t="s">
        <v>79</v>
      </c>
      <c r="C145" s="5">
        <v>167.7818</v>
      </c>
      <c r="D145" s="5">
        <v>134.5307</v>
      </c>
      <c r="E145" s="5">
        <v>153.4066</v>
      </c>
      <c r="F145" s="5">
        <v>130.27889999999999</v>
      </c>
      <c r="G145" s="5">
        <v>152.6413</v>
      </c>
      <c r="H145" s="5">
        <v>139.51169999999999</v>
      </c>
      <c r="I145" s="5">
        <v>148.5838</v>
      </c>
      <c r="J145" s="5">
        <v>148.61750000000001</v>
      </c>
      <c r="K145" s="5">
        <v>138.59180000000001</v>
      </c>
      <c r="L145" s="5">
        <v>167.2362</v>
      </c>
      <c r="M145" s="5">
        <v>166.3468</v>
      </c>
      <c r="N145" s="5">
        <v>203.22739999999999</v>
      </c>
      <c r="O145" s="11">
        <v>1850.7545</v>
      </c>
    </row>
    <row r="146" spans="1:15" x14ac:dyDescent="0.3">
      <c r="A146" s="7" t="s">
        <v>80</v>
      </c>
      <c r="B146" s="8" t="s">
        <v>81</v>
      </c>
      <c r="C146" s="9">
        <v>111.47490000000001</v>
      </c>
      <c r="D146" s="9">
        <v>90.063999999999993</v>
      </c>
      <c r="E146" s="9">
        <v>102.357</v>
      </c>
      <c r="F146" s="9">
        <v>88.053100000000001</v>
      </c>
      <c r="G146" s="9">
        <v>101.96339999999999</v>
      </c>
      <c r="H146" s="9">
        <v>93.316100000000006</v>
      </c>
      <c r="I146" s="9">
        <v>99.794300000000007</v>
      </c>
      <c r="J146" s="9">
        <v>98.942999999999998</v>
      </c>
      <c r="K146" s="9">
        <v>92.476600000000005</v>
      </c>
      <c r="L146" s="9">
        <v>111.6071</v>
      </c>
      <c r="M146" s="9">
        <v>111.0746</v>
      </c>
      <c r="N146" s="9">
        <v>135.61859999999999</v>
      </c>
      <c r="O146" s="11">
        <v>1236.7427</v>
      </c>
    </row>
    <row r="147" spans="1:15" x14ac:dyDescent="0.3">
      <c r="A147" s="3" t="s">
        <v>82</v>
      </c>
      <c r="B147" s="4" t="s">
        <v>83</v>
      </c>
      <c r="C147" s="5">
        <v>134.35059999999999</v>
      </c>
      <c r="D147" s="5">
        <v>107.8657</v>
      </c>
      <c r="E147" s="5">
        <v>122.197</v>
      </c>
      <c r="F147" s="5">
        <v>105.2722</v>
      </c>
      <c r="G147" s="5">
        <v>122.11239999999999</v>
      </c>
      <c r="H147" s="5">
        <v>111.9627</v>
      </c>
      <c r="I147" s="5">
        <v>119.0003</v>
      </c>
      <c r="J147" s="5">
        <v>119.4183</v>
      </c>
      <c r="K147" s="5">
        <v>110.25579999999999</v>
      </c>
      <c r="L147" s="5">
        <v>133.5591</v>
      </c>
      <c r="M147" s="5">
        <v>133.26050000000001</v>
      </c>
      <c r="N147" s="5">
        <v>163.3972</v>
      </c>
      <c r="O147" s="11">
        <v>1482.6518000000001</v>
      </c>
    </row>
    <row r="148" spans="1:15" x14ac:dyDescent="0.3">
      <c r="A148" s="7" t="s">
        <v>84</v>
      </c>
      <c r="B148" s="8" t="s">
        <v>85</v>
      </c>
      <c r="C148" s="9">
        <v>134.12270000000001</v>
      </c>
      <c r="D148" s="9">
        <v>107.92140000000001</v>
      </c>
      <c r="E148" s="9">
        <v>122.813</v>
      </c>
      <c r="F148" s="9">
        <v>105.4543</v>
      </c>
      <c r="G148" s="9">
        <v>121.94880000000001</v>
      </c>
      <c r="H148" s="9">
        <v>111.9526</v>
      </c>
      <c r="I148" s="9">
        <v>118.6271</v>
      </c>
      <c r="J148" s="9">
        <v>118.6679</v>
      </c>
      <c r="K148" s="9">
        <v>110.17059999999999</v>
      </c>
      <c r="L148" s="9">
        <v>133.63470000000001</v>
      </c>
      <c r="M148" s="9">
        <v>133.43709999999999</v>
      </c>
      <c r="N148" s="9">
        <v>162.8631</v>
      </c>
      <c r="O148" s="11">
        <v>1481.6133</v>
      </c>
    </row>
    <row r="149" spans="1:15" x14ac:dyDescent="0.3">
      <c r="A149" s="3" t="s">
        <v>86</v>
      </c>
      <c r="B149" s="4" t="s">
        <v>87</v>
      </c>
      <c r="C149" s="5">
        <v>134.31299999999999</v>
      </c>
      <c r="D149" s="5">
        <v>108.60899999999999</v>
      </c>
      <c r="E149" s="5">
        <v>122.2787</v>
      </c>
      <c r="F149" s="5">
        <v>105.46510000000001</v>
      </c>
      <c r="G149" s="5">
        <v>121.7214</v>
      </c>
      <c r="H149" s="5">
        <v>111.5879</v>
      </c>
      <c r="I149" s="5">
        <v>118.7186</v>
      </c>
      <c r="J149" s="5">
        <v>119.0202</v>
      </c>
      <c r="K149" s="5">
        <v>110.9</v>
      </c>
      <c r="L149" s="5">
        <v>134.28630000000001</v>
      </c>
      <c r="M149" s="5">
        <v>133.09800000000001</v>
      </c>
      <c r="N149" s="5">
        <v>162.5241</v>
      </c>
      <c r="O149" s="11">
        <v>1482.5223000000001</v>
      </c>
    </row>
    <row r="150" spans="1:15" x14ac:dyDescent="0.3">
      <c r="A150" s="7" t="s">
        <v>88</v>
      </c>
      <c r="B150" s="8" t="s">
        <v>89</v>
      </c>
      <c r="C150" s="9">
        <v>167.87960000000001</v>
      </c>
      <c r="D150" s="9">
        <v>135.2594</v>
      </c>
      <c r="E150" s="9">
        <v>154.411</v>
      </c>
      <c r="F150" s="9">
        <v>132.38980000000001</v>
      </c>
      <c r="G150" s="9">
        <v>152.6678</v>
      </c>
      <c r="H150" s="9">
        <v>139.2653</v>
      </c>
      <c r="I150" s="9">
        <v>148.41730000000001</v>
      </c>
      <c r="J150" s="9">
        <v>148.76300000000001</v>
      </c>
      <c r="K150" s="9">
        <v>137.97620000000001</v>
      </c>
      <c r="L150" s="9">
        <v>167.00149999999999</v>
      </c>
      <c r="M150" s="9">
        <v>166.166</v>
      </c>
      <c r="N150" s="9">
        <v>203.28540000000001</v>
      </c>
      <c r="O150" s="11">
        <v>1853.4822999999999</v>
      </c>
    </row>
    <row r="151" spans="1:15" x14ac:dyDescent="0.3">
      <c r="A151" s="3" t="s">
        <v>90</v>
      </c>
      <c r="B151" s="4" t="s">
        <v>92</v>
      </c>
      <c r="C151" s="5">
        <v>134.28720000000001</v>
      </c>
      <c r="D151" s="5">
        <v>107.6314</v>
      </c>
      <c r="E151" s="5">
        <v>122.8948</v>
      </c>
      <c r="F151" s="5">
        <v>105.5372</v>
      </c>
      <c r="G151" s="5">
        <v>121.95099999999999</v>
      </c>
      <c r="H151" s="5">
        <v>111.9011</v>
      </c>
      <c r="I151" s="5">
        <v>118.7924</v>
      </c>
      <c r="J151" s="5">
        <v>118.72199999999999</v>
      </c>
      <c r="K151" s="5">
        <v>110.1846</v>
      </c>
      <c r="L151" s="5">
        <v>134.09360000000001</v>
      </c>
      <c r="M151" s="5">
        <v>133.2303</v>
      </c>
      <c r="N151" s="5">
        <v>163.16900000000001</v>
      </c>
      <c r="O151" s="11">
        <v>1482.3946000000001</v>
      </c>
    </row>
    <row r="152" spans="1:15" x14ac:dyDescent="0.3">
      <c r="A152" s="7" t="s">
        <v>93</v>
      </c>
      <c r="B152" s="8" t="s">
        <v>95</v>
      </c>
      <c r="C152" s="9">
        <v>201.50110000000001</v>
      </c>
      <c r="D152" s="9">
        <v>162.9435</v>
      </c>
      <c r="E152" s="9">
        <v>183.9315</v>
      </c>
      <c r="F152" s="9">
        <v>158.05019999999999</v>
      </c>
      <c r="G152" s="9">
        <v>183.1491</v>
      </c>
      <c r="H152" s="9">
        <v>167.90770000000001</v>
      </c>
      <c r="I152" s="9">
        <v>178.26490000000001</v>
      </c>
      <c r="J152" s="9">
        <v>178.31209999999999</v>
      </c>
      <c r="K152" s="9">
        <v>166.13200000000001</v>
      </c>
      <c r="L152" s="9">
        <v>201.03579999999999</v>
      </c>
      <c r="M152" s="9">
        <v>200.52600000000001</v>
      </c>
      <c r="N152" s="9">
        <v>244.67910000000001</v>
      </c>
      <c r="O152" s="11">
        <v>2226.433</v>
      </c>
    </row>
    <row r="153" spans="1:15" x14ac:dyDescent="0.3">
      <c r="A153" s="3" t="s">
        <v>96</v>
      </c>
      <c r="B153" s="4" t="s">
        <v>97</v>
      </c>
      <c r="C153" s="5">
        <v>200.70500000000001</v>
      </c>
      <c r="D153" s="5">
        <v>162.4282</v>
      </c>
      <c r="E153" s="5">
        <v>183.67179999999999</v>
      </c>
      <c r="F153" s="5">
        <v>158.00970000000001</v>
      </c>
      <c r="G153" s="5">
        <v>182.25659999999999</v>
      </c>
      <c r="H153" s="5">
        <v>167.0455</v>
      </c>
      <c r="I153" s="5">
        <v>178.45760000000001</v>
      </c>
      <c r="J153" s="5">
        <v>177.86580000000001</v>
      </c>
      <c r="K153" s="5">
        <v>164.9665</v>
      </c>
      <c r="L153" s="5">
        <v>199.90690000000001</v>
      </c>
      <c r="M153" s="5">
        <v>199.33150000000001</v>
      </c>
      <c r="N153" s="5">
        <v>244.2081</v>
      </c>
      <c r="O153" s="11">
        <v>2218.8532</v>
      </c>
    </row>
    <row r="154" spans="1:15" x14ac:dyDescent="0.3">
      <c r="A154" s="7" t="s">
        <v>98</v>
      </c>
      <c r="B154" s="8" t="s">
        <v>100</v>
      </c>
      <c r="C154" s="9">
        <v>535.78099999999995</v>
      </c>
      <c r="D154" s="9">
        <v>434.17829999999998</v>
      </c>
      <c r="E154" s="9">
        <v>491.1934</v>
      </c>
      <c r="F154" s="9">
        <v>420.25959999999998</v>
      </c>
      <c r="G154" s="9">
        <v>486.95159999999998</v>
      </c>
      <c r="H154" s="9">
        <v>449.65499999999997</v>
      </c>
      <c r="I154" s="9">
        <v>475.1832</v>
      </c>
      <c r="J154" s="9">
        <v>475.17849999999999</v>
      </c>
      <c r="K154" s="9">
        <v>441.7568</v>
      </c>
      <c r="L154" s="9">
        <v>535.36670000000004</v>
      </c>
      <c r="M154" s="9">
        <v>533.35500000000002</v>
      </c>
      <c r="N154" s="9">
        <v>653.31899999999996</v>
      </c>
      <c r="O154" s="11">
        <v>5932.1780999999992</v>
      </c>
    </row>
    <row r="155" spans="1:15" x14ac:dyDescent="0.3">
      <c r="A155" s="3" t="s">
        <v>101</v>
      </c>
      <c r="B155" s="4" t="s">
        <v>103</v>
      </c>
      <c r="C155" s="5">
        <v>402.67320000000001</v>
      </c>
      <c r="D155" s="5">
        <v>323.73860000000002</v>
      </c>
      <c r="E155" s="5">
        <v>367.95460000000003</v>
      </c>
      <c r="F155" s="5">
        <v>314.77730000000003</v>
      </c>
      <c r="G155" s="5">
        <v>366.31479999999999</v>
      </c>
      <c r="H155" s="5">
        <v>335.4366</v>
      </c>
      <c r="I155" s="5">
        <v>356.35169999999999</v>
      </c>
      <c r="J155" s="5">
        <v>356.09059999999999</v>
      </c>
      <c r="K155" s="5">
        <v>331.48779999999999</v>
      </c>
      <c r="L155" s="5">
        <v>401.6506</v>
      </c>
      <c r="M155" s="5">
        <v>399.47050000000002</v>
      </c>
      <c r="N155" s="5">
        <v>488.8449</v>
      </c>
      <c r="O155" s="11">
        <v>4444.7911999999997</v>
      </c>
    </row>
    <row r="156" spans="1:15" x14ac:dyDescent="0.3">
      <c r="A156" s="7" t="s">
        <v>104</v>
      </c>
      <c r="B156" s="8" t="s">
        <v>106</v>
      </c>
      <c r="C156" s="9">
        <v>134.1653</v>
      </c>
      <c r="D156" s="9">
        <v>107.2371</v>
      </c>
      <c r="E156" s="9">
        <v>122.04640000000001</v>
      </c>
      <c r="F156" s="9">
        <v>105.2473</v>
      </c>
      <c r="G156" s="9">
        <v>122.0658</v>
      </c>
      <c r="H156" s="9">
        <v>112.2133</v>
      </c>
      <c r="I156" s="9">
        <v>119.11579999999999</v>
      </c>
      <c r="J156" s="9">
        <v>118.8198</v>
      </c>
      <c r="K156" s="9">
        <v>110.71599999999999</v>
      </c>
      <c r="L156" s="9">
        <v>133.5248</v>
      </c>
      <c r="M156" s="9">
        <v>133.14420000000001</v>
      </c>
      <c r="N156" s="9">
        <v>162.75620000000001</v>
      </c>
      <c r="O156" s="11">
        <v>1481.0519999999999</v>
      </c>
    </row>
    <row r="157" spans="1:15" x14ac:dyDescent="0.3">
      <c r="A157" s="3" t="s">
        <v>107</v>
      </c>
      <c r="B157" s="4" t="s">
        <v>108</v>
      </c>
      <c r="C157" s="5">
        <v>245.0256</v>
      </c>
      <c r="D157" s="5">
        <v>197.71870000000001</v>
      </c>
      <c r="E157" s="5">
        <v>225.43600000000001</v>
      </c>
      <c r="F157" s="5">
        <v>193.9821</v>
      </c>
      <c r="G157" s="5">
        <v>223.3665</v>
      </c>
      <c r="H157" s="5">
        <v>204.55629999999999</v>
      </c>
      <c r="I157" s="5">
        <v>217.9717</v>
      </c>
      <c r="J157" s="5">
        <v>217.9298</v>
      </c>
      <c r="K157" s="5">
        <v>202.5864</v>
      </c>
      <c r="L157" s="5">
        <v>245.02090000000001</v>
      </c>
      <c r="M157" s="5">
        <v>244.28319999999999</v>
      </c>
      <c r="N157" s="5">
        <v>298.80489999999998</v>
      </c>
      <c r="O157" s="11">
        <v>2716.6821</v>
      </c>
    </row>
    <row r="158" spans="1:15" x14ac:dyDescent="0.3">
      <c r="A158" s="7" t="s">
        <v>109</v>
      </c>
      <c r="B158" s="8" t="s">
        <v>111</v>
      </c>
      <c r="C158" s="9">
        <v>89.718199999999996</v>
      </c>
      <c r="D158" s="9">
        <v>71.855800000000002</v>
      </c>
      <c r="E158" s="9">
        <v>81.962500000000006</v>
      </c>
      <c r="F158" s="9">
        <v>70.0608</v>
      </c>
      <c r="G158" s="9">
        <v>81.516900000000007</v>
      </c>
      <c r="H158" s="9">
        <v>74.565799999999996</v>
      </c>
      <c r="I158" s="9">
        <v>79.661299999999997</v>
      </c>
      <c r="J158" s="9">
        <v>79.351299999999995</v>
      </c>
      <c r="K158" s="9">
        <v>73.776399999999995</v>
      </c>
      <c r="L158" s="9">
        <v>88.909899999999993</v>
      </c>
      <c r="M158" s="9">
        <v>88.678200000000004</v>
      </c>
      <c r="N158" s="9">
        <v>108.5243</v>
      </c>
      <c r="O158" s="11">
        <v>988.58140000000003</v>
      </c>
    </row>
    <row r="159" spans="1:15" x14ac:dyDescent="0.3">
      <c r="A159" s="3" t="s">
        <v>112</v>
      </c>
      <c r="B159" s="4" t="s">
        <v>114</v>
      </c>
      <c r="C159" s="5">
        <v>100.4344</v>
      </c>
      <c r="D159" s="5">
        <v>81.156400000000005</v>
      </c>
      <c r="E159" s="5">
        <v>92.231899999999996</v>
      </c>
      <c r="F159" s="5">
        <v>78.484300000000005</v>
      </c>
      <c r="G159" s="5">
        <v>91.250500000000002</v>
      </c>
      <c r="H159" s="5">
        <v>83.913899999999998</v>
      </c>
      <c r="I159" s="5">
        <v>89.152500000000003</v>
      </c>
      <c r="J159" s="5">
        <v>89.01</v>
      </c>
      <c r="K159" s="5">
        <v>83.090599999999995</v>
      </c>
      <c r="L159" s="5">
        <v>100.5775</v>
      </c>
      <c r="M159" s="5">
        <v>100.04</v>
      </c>
      <c r="N159" s="5">
        <v>122.3484</v>
      </c>
      <c r="O159" s="11">
        <v>1111.6904</v>
      </c>
    </row>
    <row r="160" spans="1:15" x14ac:dyDescent="0.3">
      <c r="A160" s="7" t="s">
        <v>115</v>
      </c>
      <c r="B160" s="8" t="s">
        <v>117</v>
      </c>
      <c r="C160" s="9">
        <v>16.765699999999999</v>
      </c>
      <c r="D160" s="9">
        <v>13.4839</v>
      </c>
      <c r="E160" s="9">
        <v>15.313800000000001</v>
      </c>
      <c r="F160" s="9">
        <v>13.145799999999999</v>
      </c>
      <c r="G160" s="9">
        <v>15.1784</v>
      </c>
      <c r="H160" s="9">
        <v>13.9748</v>
      </c>
      <c r="I160" s="9">
        <v>14.833500000000001</v>
      </c>
      <c r="J160" s="9">
        <v>14.8504</v>
      </c>
      <c r="K160" s="9">
        <v>13.7668</v>
      </c>
      <c r="L160" s="9">
        <v>16.707699999999999</v>
      </c>
      <c r="M160" s="9">
        <v>16.604399999999998</v>
      </c>
      <c r="N160" s="9">
        <v>20.3127</v>
      </c>
      <c r="O160" s="11">
        <v>184.93790000000001</v>
      </c>
    </row>
    <row r="161" spans="1:15" x14ac:dyDescent="0.3">
      <c r="A161" s="3" t="s">
        <v>118</v>
      </c>
      <c r="B161" s="4" t="s">
        <v>119</v>
      </c>
      <c r="C161" s="5">
        <v>16.788499999999999</v>
      </c>
      <c r="D161" s="5">
        <v>13.5322</v>
      </c>
      <c r="E161" s="5">
        <v>15.2667</v>
      </c>
      <c r="F161" s="5">
        <v>13.1218</v>
      </c>
      <c r="G161" s="5">
        <v>15.189</v>
      </c>
      <c r="H161" s="5">
        <v>13.973800000000001</v>
      </c>
      <c r="I161" s="5">
        <v>14.907500000000001</v>
      </c>
      <c r="J161" s="5">
        <v>14.8696</v>
      </c>
      <c r="K161" s="5">
        <v>13.775600000000001</v>
      </c>
      <c r="L161" s="5">
        <v>16.716699999999999</v>
      </c>
      <c r="M161" s="5">
        <v>16.642800000000001</v>
      </c>
      <c r="N161" s="5">
        <v>20.329000000000001</v>
      </c>
      <c r="O161" s="11">
        <v>185.11320000000001</v>
      </c>
    </row>
    <row r="162" spans="1:15" x14ac:dyDescent="0.3">
      <c r="A162" s="7" t="s">
        <v>120</v>
      </c>
      <c r="B162" s="8" t="s">
        <v>122</v>
      </c>
      <c r="C162" s="9">
        <v>16.804200000000002</v>
      </c>
      <c r="D162" s="9">
        <v>13.5054</v>
      </c>
      <c r="E162" s="9">
        <v>15.338900000000001</v>
      </c>
      <c r="F162" s="9">
        <v>13.1981</v>
      </c>
      <c r="G162" s="9">
        <v>15.2699</v>
      </c>
      <c r="H162" s="9">
        <v>13.9832</v>
      </c>
      <c r="I162" s="9">
        <v>14.811199999999999</v>
      </c>
      <c r="J162" s="9">
        <v>14.851100000000001</v>
      </c>
      <c r="K162" s="9">
        <v>13.896699999999999</v>
      </c>
      <c r="L162" s="9">
        <v>16.816700000000001</v>
      </c>
      <c r="M162" s="9">
        <v>16.661000000000001</v>
      </c>
      <c r="N162" s="9">
        <v>20.3184</v>
      </c>
      <c r="O162" s="11">
        <v>185.45480000000001</v>
      </c>
    </row>
    <row r="163" spans="1:15" x14ac:dyDescent="0.3">
      <c r="A163" s="3" t="s">
        <v>123</v>
      </c>
      <c r="B163" s="4" t="s">
        <v>124</v>
      </c>
      <c r="C163" s="5">
        <v>28.0137</v>
      </c>
      <c r="D163" s="5">
        <v>22.597799999999999</v>
      </c>
      <c r="E163" s="5">
        <v>25.526599999999998</v>
      </c>
      <c r="F163" s="5">
        <v>22.0014</v>
      </c>
      <c r="G163" s="5">
        <v>25.411999999999999</v>
      </c>
      <c r="H163" s="5">
        <v>23.224399999999999</v>
      </c>
      <c r="I163" s="5">
        <v>24.754899999999999</v>
      </c>
      <c r="J163" s="5">
        <v>24.784600000000001</v>
      </c>
      <c r="K163" s="5">
        <v>22.974299999999999</v>
      </c>
      <c r="L163" s="5">
        <v>27.889700000000001</v>
      </c>
      <c r="M163" s="5">
        <v>27.630500000000001</v>
      </c>
      <c r="N163" s="5">
        <v>34.022599999999997</v>
      </c>
      <c r="O163" s="11">
        <v>308.83249999999998</v>
      </c>
    </row>
    <row r="164" spans="1:15" x14ac:dyDescent="0.3">
      <c r="A164" s="7" t="s">
        <v>125</v>
      </c>
      <c r="B164" s="8" t="s">
        <v>126</v>
      </c>
      <c r="C164" s="9">
        <v>16.756699999999999</v>
      </c>
      <c r="D164" s="9">
        <v>13.5084</v>
      </c>
      <c r="E164" s="9">
        <v>15.325200000000001</v>
      </c>
      <c r="F164" s="9">
        <v>13.1395</v>
      </c>
      <c r="G164" s="9">
        <v>15.2455</v>
      </c>
      <c r="H164" s="9">
        <v>14.037599999999999</v>
      </c>
      <c r="I164" s="9">
        <v>14.9002</v>
      </c>
      <c r="J164" s="9">
        <v>14.882099999999999</v>
      </c>
      <c r="K164" s="9">
        <v>13.779</v>
      </c>
      <c r="L164" s="9">
        <v>16.697500000000002</v>
      </c>
      <c r="M164" s="9">
        <v>16.635899999999999</v>
      </c>
      <c r="N164" s="9">
        <v>20.4008</v>
      </c>
      <c r="O164" s="11">
        <v>185.30840000000001</v>
      </c>
    </row>
    <row r="165" spans="1:15" x14ac:dyDescent="0.3">
      <c r="A165" s="3" t="s">
        <v>127</v>
      </c>
      <c r="B165" s="4" t="s">
        <v>128</v>
      </c>
      <c r="C165" s="5">
        <v>16.766300000000001</v>
      </c>
      <c r="D165" s="5">
        <v>13.509499999999999</v>
      </c>
      <c r="E165" s="5">
        <v>15.3666</v>
      </c>
      <c r="F165" s="5">
        <v>13.1196</v>
      </c>
      <c r="G165" s="5">
        <v>15.2826</v>
      </c>
      <c r="H165" s="5">
        <v>13.9922</v>
      </c>
      <c r="I165" s="5">
        <v>14.885999999999999</v>
      </c>
      <c r="J165" s="5">
        <v>14.925599999999999</v>
      </c>
      <c r="K165" s="5">
        <v>13.8302</v>
      </c>
      <c r="L165" s="5">
        <v>16.699400000000001</v>
      </c>
      <c r="M165" s="5">
        <v>16.715499999999999</v>
      </c>
      <c r="N165" s="5">
        <v>20.275400000000001</v>
      </c>
      <c r="O165" s="11">
        <v>185.3689</v>
      </c>
    </row>
    <row r="166" spans="1:15" x14ac:dyDescent="0.3">
      <c r="A166" s="7" t="s">
        <v>129</v>
      </c>
      <c r="B166" s="8" t="s">
        <v>130</v>
      </c>
      <c r="C166" s="9">
        <v>16.764099999999999</v>
      </c>
      <c r="D166" s="9">
        <v>13.527900000000001</v>
      </c>
      <c r="E166" s="9">
        <v>15.4359</v>
      </c>
      <c r="F166" s="9">
        <v>13.203799999999999</v>
      </c>
      <c r="G166" s="9">
        <v>15.2796</v>
      </c>
      <c r="H166" s="9">
        <v>13.959099999999999</v>
      </c>
      <c r="I166" s="9">
        <v>14.8246</v>
      </c>
      <c r="J166" s="9">
        <v>14.9023</v>
      </c>
      <c r="K166" s="9">
        <v>13.8415</v>
      </c>
      <c r="L166" s="9">
        <v>16.722999999999999</v>
      </c>
      <c r="M166" s="9">
        <v>16.591799999999999</v>
      </c>
      <c r="N166" s="9">
        <v>20.407</v>
      </c>
      <c r="O166" s="11">
        <v>185.4606</v>
      </c>
    </row>
    <row r="167" spans="1:15" x14ac:dyDescent="0.3">
      <c r="A167" s="3" t="s">
        <v>131</v>
      </c>
      <c r="B167" s="4" t="s">
        <v>132</v>
      </c>
      <c r="C167" s="5">
        <v>33.637599999999999</v>
      </c>
      <c r="D167" s="5">
        <v>27.0717</v>
      </c>
      <c r="E167" s="5">
        <v>30.574999999999999</v>
      </c>
      <c r="F167" s="5">
        <v>26.234100000000002</v>
      </c>
      <c r="G167" s="5">
        <v>30.424199999999999</v>
      </c>
      <c r="H167" s="5">
        <v>27.962700000000002</v>
      </c>
      <c r="I167" s="5">
        <v>29.5426</v>
      </c>
      <c r="J167" s="5">
        <v>29.722799999999999</v>
      </c>
      <c r="K167" s="5">
        <v>27.715599999999998</v>
      </c>
      <c r="L167" s="5">
        <v>33.5916</v>
      </c>
      <c r="M167" s="5">
        <v>33.395800000000001</v>
      </c>
      <c r="N167" s="5">
        <v>40.753999999999998</v>
      </c>
      <c r="O167" s="11">
        <v>370.6277</v>
      </c>
    </row>
    <row r="168" spans="1:15" x14ac:dyDescent="0.3">
      <c r="A168" s="7" t="s">
        <v>133</v>
      </c>
      <c r="B168" s="8" t="s">
        <v>134</v>
      </c>
      <c r="C168" s="9">
        <v>33.661200000000001</v>
      </c>
      <c r="D168" s="9">
        <v>26.856400000000001</v>
      </c>
      <c r="E168" s="9">
        <v>30.7544</v>
      </c>
      <c r="F168" s="9">
        <v>26.168299999999999</v>
      </c>
      <c r="G168" s="9">
        <v>30.430199999999999</v>
      </c>
      <c r="H168" s="9">
        <v>27.85</v>
      </c>
      <c r="I168" s="9">
        <v>29.6768</v>
      </c>
      <c r="J168" s="9">
        <v>29.828800000000001</v>
      </c>
      <c r="K168" s="9">
        <v>27.702400000000001</v>
      </c>
      <c r="L168" s="9">
        <v>33.500500000000002</v>
      </c>
      <c r="M168" s="9">
        <v>33.22</v>
      </c>
      <c r="N168" s="9">
        <v>40.681699999999999</v>
      </c>
      <c r="O168" s="11">
        <v>370.33069999999998</v>
      </c>
    </row>
    <row r="169" spans="1:15" x14ac:dyDescent="0.3">
      <c r="A169" s="3" t="s">
        <v>135</v>
      </c>
      <c r="B169" s="4" t="s">
        <v>136</v>
      </c>
      <c r="C169" s="5">
        <v>33.460299999999997</v>
      </c>
      <c r="D169" s="5">
        <v>27.172699999999999</v>
      </c>
      <c r="E169" s="5">
        <v>30.568899999999999</v>
      </c>
      <c r="F169" s="5">
        <v>26.234200000000001</v>
      </c>
      <c r="G169" s="5">
        <v>30.477799999999998</v>
      </c>
      <c r="H169" s="5">
        <v>27.849399999999999</v>
      </c>
      <c r="I169" s="5">
        <v>29.699000000000002</v>
      </c>
      <c r="J169" s="5">
        <v>29.850999999999999</v>
      </c>
      <c r="K169" s="5">
        <v>27.6096</v>
      </c>
      <c r="L169" s="5">
        <v>33.483899999999998</v>
      </c>
      <c r="M169" s="5">
        <v>33.264099999999999</v>
      </c>
      <c r="N169" s="5">
        <v>40.869</v>
      </c>
      <c r="O169" s="11">
        <v>370.53989999999999</v>
      </c>
    </row>
    <row r="170" spans="1:15" x14ac:dyDescent="0.3">
      <c r="A170" s="7" t="s">
        <v>137</v>
      </c>
      <c r="B170" s="8" t="s">
        <v>138</v>
      </c>
      <c r="C170" s="9">
        <v>16.700600000000001</v>
      </c>
      <c r="D170" s="9">
        <v>13.5124</v>
      </c>
      <c r="E170" s="9">
        <v>15.346399999999999</v>
      </c>
      <c r="F170" s="9">
        <v>13.1374</v>
      </c>
      <c r="G170" s="9">
        <v>15.308999999999999</v>
      </c>
      <c r="H170" s="9">
        <v>13.9369</v>
      </c>
      <c r="I170" s="9">
        <v>14.8591</v>
      </c>
      <c r="J170" s="9">
        <v>14.823</v>
      </c>
      <c r="K170" s="9">
        <v>13.8012</v>
      </c>
      <c r="L170" s="9">
        <v>16.7224</v>
      </c>
      <c r="M170" s="9">
        <v>16.638400000000001</v>
      </c>
      <c r="N170" s="9">
        <v>20.326899999999998</v>
      </c>
      <c r="O170" s="11">
        <v>185.11369999999999</v>
      </c>
    </row>
    <row r="171" spans="1:15" x14ac:dyDescent="0.3">
      <c r="A171" s="3" t="s">
        <v>139</v>
      </c>
      <c r="B171" s="4" t="s">
        <v>140</v>
      </c>
      <c r="C171" s="5">
        <v>33.596400000000003</v>
      </c>
      <c r="D171" s="5">
        <v>27.031500000000001</v>
      </c>
      <c r="E171" s="5">
        <v>30.759799999999998</v>
      </c>
      <c r="F171" s="5">
        <v>26.2911</v>
      </c>
      <c r="G171" s="5">
        <v>30.521999999999998</v>
      </c>
      <c r="H171" s="5">
        <v>27.966000000000001</v>
      </c>
      <c r="I171" s="5">
        <v>29.636700000000001</v>
      </c>
      <c r="J171" s="5">
        <v>29.7196</v>
      </c>
      <c r="K171" s="5">
        <v>27.4617</v>
      </c>
      <c r="L171" s="5">
        <v>33.4512</v>
      </c>
      <c r="M171" s="5">
        <v>33.367600000000003</v>
      </c>
      <c r="N171" s="5">
        <v>40.775799999999997</v>
      </c>
      <c r="O171" s="11">
        <v>370.57940000000002</v>
      </c>
    </row>
    <row r="172" spans="1:15" ht="18" customHeight="1" x14ac:dyDescent="0.3">
      <c r="A172" s="12" t="s">
        <v>155</v>
      </c>
      <c r="B172" s="12" t="s">
        <v>156</v>
      </c>
      <c r="C172" s="13">
        <v>11185.773300000001</v>
      </c>
      <c r="D172" s="13">
        <v>9010.5782999999992</v>
      </c>
      <c r="E172" s="13">
        <v>10233.174199999999</v>
      </c>
      <c r="F172" s="13">
        <v>8760.3714999999956</v>
      </c>
      <c r="G172" s="13">
        <v>10154.785700000009</v>
      </c>
      <c r="H172" s="13">
        <v>9321.6054999999978</v>
      </c>
      <c r="I172" s="13">
        <v>9913.2006999999976</v>
      </c>
      <c r="J172" s="13">
        <v>9905.4316000000017</v>
      </c>
      <c r="K172" s="13">
        <v>9208.6364000000012</v>
      </c>
      <c r="L172" s="13">
        <v>11160.638999999999</v>
      </c>
      <c r="M172" s="13">
        <v>11098.900100000001</v>
      </c>
      <c r="N172" s="13">
        <v>13570.1836</v>
      </c>
      <c r="O172" s="13">
        <v>123523.2798999997</v>
      </c>
    </row>
  </sheetData>
  <mergeCells count="4">
    <mergeCell ref="A117:O117"/>
    <mergeCell ref="A1:P1"/>
    <mergeCell ref="A60:O60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1"/>
    </sheetView>
  </sheetViews>
  <sheetFormatPr baseColWidth="10" defaultColWidth="8.88671875" defaultRowHeight="14.4" x14ac:dyDescent="0.3"/>
  <cols>
    <col min="1" max="1" width="16" customWidth="1"/>
    <col min="2" max="2" width="8" customWidth="1"/>
    <col min="3" max="3" width="18" customWidth="1"/>
    <col min="4" max="4" width="16" customWidth="1"/>
    <col min="5" max="5" width="18" customWidth="1"/>
    <col min="6" max="6" width="10" customWidth="1"/>
    <col min="7" max="7" width="18" customWidth="1"/>
    <col min="8" max="8" width="26" customWidth="1"/>
  </cols>
  <sheetData>
    <row r="1" spans="1:8" ht="28.05" customHeight="1" x14ac:dyDescent="0.3">
      <c r="A1" s="25" t="s">
        <v>159</v>
      </c>
      <c r="B1" s="24"/>
      <c r="C1" s="24"/>
      <c r="D1" s="24"/>
      <c r="E1" s="24"/>
      <c r="F1" s="24"/>
      <c r="G1" s="24"/>
      <c r="H1" s="24"/>
    </row>
    <row r="2" spans="1:8" ht="18" customHeight="1" x14ac:dyDescent="0.3">
      <c r="A2" s="23" t="s">
        <v>160</v>
      </c>
      <c r="B2" s="24"/>
      <c r="C2" s="24"/>
      <c r="D2" s="24"/>
      <c r="E2" s="24"/>
      <c r="F2" s="24"/>
      <c r="G2" s="24"/>
      <c r="H2" s="24"/>
    </row>
    <row r="3" spans="1:8" ht="36" customHeight="1" x14ac:dyDescent="0.3">
      <c r="A3" s="1" t="s">
        <v>0</v>
      </c>
      <c r="B3" s="1" t="s">
        <v>1</v>
      </c>
      <c r="C3" s="1" t="s">
        <v>161</v>
      </c>
      <c r="D3" s="1" t="s">
        <v>162</v>
      </c>
      <c r="E3" s="1" t="s">
        <v>163</v>
      </c>
      <c r="F3" s="1" t="s">
        <v>164</v>
      </c>
      <c r="G3" s="1" t="s">
        <v>165</v>
      </c>
      <c r="H3" s="1" t="s">
        <v>166</v>
      </c>
    </row>
    <row r="4" spans="1:8" x14ac:dyDescent="0.3">
      <c r="A4" s="3" t="s">
        <v>12</v>
      </c>
      <c r="B4" s="3">
        <v>1</v>
      </c>
      <c r="C4" s="5">
        <v>53519.472999999998</v>
      </c>
      <c r="D4" s="5">
        <v>21.105799999999999</v>
      </c>
      <c r="E4" s="5">
        <v>11185.773300000001</v>
      </c>
      <c r="F4" s="6">
        <v>0.20900380128929891</v>
      </c>
      <c r="G4" s="5">
        <v>1726.434612903226</v>
      </c>
      <c r="H4" s="4" t="s">
        <v>167</v>
      </c>
    </row>
    <row r="5" spans="1:8" x14ac:dyDescent="0.3">
      <c r="A5" s="7" t="s">
        <v>141</v>
      </c>
      <c r="B5" s="7">
        <v>2</v>
      </c>
      <c r="C5" s="9">
        <v>43105.20930000001</v>
      </c>
      <c r="D5" s="9">
        <v>19.523099999999999</v>
      </c>
      <c r="E5" s="9">
        <v>9010.5782999999992</v>
      </c>
      <c r="F5" s="10">
        <v>0.2090368761995548</v>
      </c>
      <c r="G5" s="9">
        <v>1539.4717607142859</v>
      </c>
      <c r="H5" s="8" t="s">
        <v>167</v>
      </c>
    </row>
    <row r="6" spans="1:8" x14ac:dyDescent="0.3">
      <c r="A6" s="3" t="s">
        <v>142</v>
      </c>
      <c r="B6" s="3">
        <v>3</v>
      </c>
      <c r="C6" s="5">
        <v>48964.770500000013</v>
      </c>
      <c r="D6" s="5">
        <v>19.650099999999998</v>
      </c>
      <c r="E6" s="5">
        <v>10233.174199999999</v>
      </c>
      <c r="F6" s="6">
        <v>0.2089905476019743</v>
      </c>
      <c r="G6" s="5">
        <v>1748.741803571429</v>
      </c>
      <c r="H6" s="4" t="s">
        <v>167</v>
      </c>
    </row>
    <row r="7" spans="1:8" x14ac:dyDescent="0.3">
      <c r="A7" s="7" t="s">
        <v>143</v>
      </c>
      <c r="B7" s="7">
        <v>4</v>
      </c>
      <c r="C7" s="9">
        <v>41931.581899999997</v>
      </c>
      <c r="D7" s="9">
        <v>17.8659</v>
      </c>
      <c r="E7" s="9">
        <v>8760.3714999999956</v>
      </c>
      <c r="F7" s="10">
        <v>0.20892060597408549</v>
      </c>
      <c r="G7" s="9">
        <v>1352.631674193548</v>
      </c>
      <c r="H7" s="8" t="s">
        <v>167</v>
      </c>
    </row>
    <row r="8" spans="1:8" x14ac:dyDescent="0.3">
      <c r="A8" s="3" t="s">
        <v>144</v>
      </c>
      <c r="B8" s="3">
        <v>5</v>
      </c>
      <c r="C8" s="5">
        <v>48603.364299999987</v>
      </c>
      <c r="D8" s="5">
        <v>20.498699999999999</v>
      </c>
      <c r="E8" s="5">
        <v>10154.785700000009</v>
      </c>
      <c r="F8" s="6">
        <v>0.2089317446693707</v>
      </c>
      <c r="G8" s="5">
        <v>1620.1121433333331</v>
      </c>
      <c r="H8" s="4" t="s">
        <v>167</v>
      </c>
    </row>
    <row r="9" spans="1:8" x14ac:dyDescent="0.3">
      <c r="A9" s="7" t="s">
        <v>145</v>
      </c>
      <c r="B9" s="7">
        <v>6</v>
      </c>
      <c r="C9" s="9">
        <v>44620.381499999989</v>
      </c>
      <c r="D9" s="9">
        <v>18.6494</v>
      </c>
      <c r="E9" s="9">
        <v>9321.6054999999978</v>
      </c>
      <c r="F9" s="10">
        <v>0.20890913942544401</v>
      </c>
      <c r="G9" s="9">
        <v>1439.36714516129</v>
      </c>
      <c r="H9" s="8" t="s">
        <v>167</v>
      </c>
    </row>
    <row r="10" spans="1:8" x14ac:dyDescent="0.3">
      <c r="A10" s="3" t="s">
        <v>146</v>
      </c>
      <c r="B10" s="3">
        <v>7</v>
      </c>
      <c r="C10" s="5">
        <v>47447.722599999986</v>
      </c>
      <c r="D10" s="5">
        <v>18.965399999999999</v>
      </c>
      <c r="E10" s="5">
        <v>9913.2006999999976</v>
      </c>
      <c r="F10" s="6">
        <v>0.2089289044191133</v>
      </c>
      <c r="G10" s="5">
        <v>1581.5907533333329</v>
      </c>
      <c r="H10" s="4" t="s">
        <v>167</v>
      </c>
    </row>
    <row r="11" spans="1:8" x14ac:dyDescent="0.3">
      <c r="A11" s="7" t="s">
        <v>147</v>
      </c>
      <c r="B11" s="7">
        <v>8</v>
      </c>
      <c r="C11" s="9">
        <v>47439.259999999987</v>
      </c>
      <c r="D11" s="9">
        <v>19.185400000000001</v>
      </c>
      <c r="E11" s="9">
        <v>9905.4316000000017</v>
      </c>
      <c r="F11" s="10">
        <v>0.20880240543381171</v>
      </c>
      <c r="G11" s="9">
        <v>1530.2987096774191</v>
      </c>
      <c r="H11" s="8" t="s">
        <v>167</v>
      </c>
    </row>
    <row r="12" spans="1:8" x14ac:dyDescent="0.3">
      <c r="A12" s="3" t="s">
        <v>148</v>
      </c>
      <c r="B12" s="3">
        <v>9</v>
      </c>
      <c r="C12" s="5">
        <v>44082.804800000013</v>
      </c>
      <c r="D12" s="5">
        <v>18.707999999999998</v>
      </c>
      <c r="E12" s="5">
        <v>9208.6364000000012</v>
      </c>
      <c r="F12" s="6">
        <v>0.2088940674664149</v>
      </c>
      <c r="G12" s="5">
        <v>1422.025961290323</v>
      </c>
      <c r="H12" s="4" t="s">
        <v>167</v>
      </c>
    </row>
    <row r="13" spans="1:8" x14ac:dyDescent="0.3">
      <c r="A13" s="7" t="s">
        <v>149</v>
      </c>
      <c r="B13" s="7">
        <v>10</v>
      </c>
      <c r="C13" s="9">
        <v>53390.55999999999</v>
      </c>
      <c r="D13" s="9">
        <v>21.306899999999999</v>
      </c>
      <c r="E13" s="9">
        <v>11160.638999999999</v>
      </c>
      <c r="F13" s="10">
        <v>0.2090376838152663</v>
      </c>
      <c r="G13" s="9">
        <v>1779.6853333333329</v>
      </c>
      <c r="H13" s="8" t="s">
        <v>167</v>
      </c>
    </row>
    <row r="14" spans="1:8" x14ac:dyDescent="0.3">
      <c r="A14" s="3" t="s">
        <v>150</v>
      </c>
      <c r="B14" s="3">
        <v>11</v>
      </c>
      <c r="C14" s="5">
        <v>53105.214200000009</v>
      </c>
      <c r="D14" s="5">
        <v>21.9115</v>
      </c>
      <c r="E14" s="5">
        <v>11098.900100000001</v>
      </c>
      <c r="F14" s="6">
        <v>0.20899831150666931</v>
      </c>
      <c r="G14" s="5">
        <v>1713.071425806452</v>
      </c>
      <c r="H14" s="4" t="s">
        <v>167</v>
      </c>
    </row>
    <row r="15" spans="1:8" x14ac:dyDescent="0.3">
      <c r="A15" s="7" t="s">
        <v>151</v>
      </c>
      <c r="B15" s="7">
        <v>12</v>
      </c>
      <c r="C15" s="9">
        <v>64940.949000000022</v>
      </c>
      <c r="D15" s="9">
        <v>25.667400000000001</v>
      </c>
      <c r="E15" s="9">
        <v>13570.1836</v>
      </c>
      <c r="F15" s="10">
        <v>0.2089618924417011</v>
      </c>
      <c r="G15" s="9">
        <v>2094.869322580646</v>
      </c>
      <c r="H15" s="8" t="s">
        <v>167</v>
      </c>
    </row>
    <row r="16" spans="1:8" ht="18" customHeight="1" x14ac:dyDescent="0.3">
      <c r="A16" s="14" t="s">
        <v>154</v>
      </c>
      <c r="B16" s="14"/>
      <c r="C16" s="15">
        <v>591151.29110000038</v>
      </c>
      <c r="D16" s="15">
        <v>25.667400000000001</v>
      </c>
      <c r="E16" s="15">
        <v>123523.2798999997</v>
      </c>
      <c r="F16" s="16">
        <v>0.2089537513656623</v>
      </c>
      <c r="G16" s="14"/>
      <c r="H16" s="14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Mensual</vt:lpstr>
      <vt:lpstr>Pliegos Tarifarios (Quilicura)</vt:lpstr>
      <vt:lpstr>Consumo por Local (Pivot)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Caceres</cp:lastModifiedBy>
  <dcterms:created xsi:type="dcterms:W3CDTF">2026-03-11T13:34:49Z</dcterms:created>
  <dcterms:modified xsi:type="dcterms:W3CDTF">2026-03-11T18:34:38Z</dcterms:modified>
</cp:coreProperties>
</file>