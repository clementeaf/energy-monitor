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globe-my.sharepoint.com/personal/mcaceres_grupoglobe_com/Documents/Globe Power/PROYECTOS/Parque Arauco/"/>
    </mc:Choice>
  </mc:AlternateContent>
  <xr:revisionPtr revIDLastSave="1" documentId="8_{939EE12D-D9A6-438B-9F12-D8C8BC146433}" xr6:coauthVersionLast="47" xr6:coauthVersionMax="47" xr10:uidLastSave="{57A1BC08-B6DD-4E94-803F-ED2C7319E992}"/>
  <bookViews>
    <workbookView xWindow="57480" yWindow="-2385" windowWidth="29040" windowHeight="15720" xr2:uid="{00000000-000D-0000-FFFF-FFFF00000000}"/>
  </bookViews>
  <sheets>
    <sheet name="Resumen Mensual" sheetId="1" r:id="rId1"/>
    <sheet name="Pliegos Tarifarios (Huechuraba)" sheetId="4" r:id="rId2"/>
    <sheet name="Consumo por Local (Pivot)" sheetId="2" r:id="rId3"/>
    <sheet name="Resumen Ejecutivo" sheetId="3" r:id="rId4"/>
  </sheets>
  <definedNames>
    <definedName name="_xlnm._FilterDatabase" localSheetId="0" hidden="1">'Resumen Mensual'!$A$3:$L$639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G13" i="4"/>
  <c r="J12" i="4"/>
  <c r="I12" i="4"/>
  <c r="Q558" i="1" s="1" a="1"/>
  <c r="Q558" i="1" s="1"/>
  <c r="H12" i="4"/>
  <c r="G12" i="4"/>
  <c r="J11" i="4"/>
  <c r="I11" i="4"/>
  <c r="H11" i="4"/>
  <c r="Q502" i="1" s="1" a="1"/>
  <c r="Q502" i="1" s="1"/>
  <c r="G11" i="4"/>
  <c r="Q521" i="1" s="1" a="1"/>
  <c r="Q521" i="1" s="1"/>
  <c r="J10" i="4"/>
  <c r="Q428" i="1" s="1" a="1"/>
  <c r="Q428" i="1" s="1"/>
  <c r="I10" i="4"/>
  <c r="Q429" i="1" s="1" a="1"/>
  <c r="Q429" i="1" s="1"/>
  <c r="H10" i="4"/>
  <c r="Q437" i="1" s="1" a="1"/>
  <c r="Q437" i="1" s="1"/>
  <c r="G10" i="4"/>
  <c r="J9" i="4"/>
  <c r="I9" i="4"/>
  <c r="H9" i="4"/>
  <c r="Q383" i="1" s="1" a="1"/>
  <c r="Q383" i="1" s="1"/>
  <c r="G9" i="4"/>
  <c r="J8" i="4"/>
  <c r="I8" i="4"/>
  <c r="Q324" i="1" s="1" a="1"/>
  <c r="Q324" i="1" s="1"/>
  <c r="H8" i="4"/>
  <c r="G8" i="4"/>
  <c r="Q334" i="1" s="1" a="1"/>
  <c r="Q334" i="1" s="1"/>
  <c r="J7" i="4"/>
  <c r="Q269" i="1" s="1" a="1"/>
  <c r="Q269" i="1" s="1"/>
  <c r="I7" i="4"/>
  <c r="H7" i="4"/>
  <c r="Q284" i="1" s="1" a="1"/>
  <c r="Q284" i="1" s="1"/>
  <c r="G7" i="4"/>
  <c r="Q309" i="1" s="1" a="1"/>
  <c r="Q309" i="1" s="1"/>
  <c r="J6" i="4"/>
  <c r="I6" i="4"/>
  <c r="Q218" i="1" s="1" a="1"/>
  <c r="Q218" i="1" s="1"/>
  <c r="H6" i="4"/>
  <c r="Q250" i="1" s="1" a="1"/>
  <c r="Q250" i="1" s="1"/>
  <c r="G6" i="4"/>
  <c r="Q256" i="1" s="1" a="1"/>
  <c r="Q256" i="1" s="1"/>
  <c r="J5" i="4"/>
  <c r="I5" i="4"/>
  <c r="Q164" i="1" s="1" a="1"/>
  <c r="Q164" i="1" s="1"/>
  <c r="H5" i="4"/>
  <c r="Q176" i="1" s="1" a="1"/>
  <c r="Q176" i="1" s="1"/>
  <c r="G5" i="4"/>
  <c r="J4" i="4"/>
  <c r="I4" i="4"/>
  <c r="H4" i="4"/>
  <c r="G4" i="4"/>
  <c r="J3" i="4"/>
  <c r="I3" i="4"/>
  <c r="H3" i="4"/>
  <c r="Q77" i="1" s="1" a="1"/>
  <c r="Q77" i="1" s="1"/>
  <c r="G3" i="4"/>
  <c r="Q97" i="1" s="1" a="1"/>
  <c r="Q97" i="1" s="1"/>
  <c r="J2" i="4"/>
  <c r="Q4" i="1" s="1" a="1"/>
  <c r="Q4" i="1" s="1"/>
  <c r="I2" i="4"/>
  <c r="Q42" i="1" s="1" a="1"/>
  <c r="Q42" i="1" s="1"/>
  <c r="H2" i="4"/>
  <c r="Q24" i="1" s="1" a="1"/>
  <c r="Q24" i="1" s="1"/>
  <c r="G2" i="4"/>
  <c r="Q15" i="1" s="1" a="1"/>
  <c r="Q15" i="1" s="1"/>
  <c r="P6" i="1"/>
  <c r="Q534" i="1" a="1"/>
  <c r="Q534" i="1" s="1"/>
  <c r="Q574" i="1" a="1"/>
  <c r="Q574" i="1" s="1"/>
  <c r="Q481" i="1" a="1"/>
  <c r="Q481" i="1" s="1"/>
  <c r="Q308" i="1" a="1"/>
  <c r="Q308" i="1" s="1"/>
  <c r="Q191" i="1" a="1"/>
  <c r="Q191" i="1" s="1"/>
  <c r="Q110" i="1" a="1"/>
  <c r="Q110" i="1" s="1"/>
  <c r="Q111" i="1" a="1"/>
  <c r="Q111" i="1" s="1"/>
  <c r="Q126" i="1" a="1"/>
  <c r="Q126" i="1" s="1"/>
  <c r="Q57" i="1" a="1"/>
  <c r="Q57" i="1" s="1"/>
  <c r="Q16" i="1" a="1"/>
  <c r="Q16" i="1" s="1"/>
  <c r="Q17" i="1" a="1"/>
  <c r="Q17" i="1" s="1"/>
  <c r="Q18" i="1" a="1"/>
  <c r="Q18" i="1" s="1"/>
  <c r="Q19" i="1" a="1"/>
  <c r="Q19" i="1" s="1"/>
  <c r="Q21" i="1" a="1"/>
  <c r="Q21" i="1" s="1"/>
  <c r="Q22" i="1" a="1"/>
  <c r="Q22" i="1" s="1"/>
  <c r="Q23" i="1" a="1"/>
  <c r="Q2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41" i="1" a="1"/>
  <c r="Q41" i="1" s="1"/>
  <c r="Q43" i="1" a="1"/>
  <c r="Q43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4" i="1" a="1"/>
  <c r="Q64" i="1" s="1"/>
  <c r="Q67" i="1" a="1"/>
  <c r="Q67" i="1" s="1"/>
  <c r="Q71" i="1" a="1"/>
  <c r="Q71" i="1" s="1"/>
  <c r="Q73" i="1" a="1"/>
  <c r="Q73" i="1" s="1"/>
  <c r="Q74" i="1" a="1"/>
  <c r="Q74" i="1" s="1"/>
  <c r="Q75" i="1" a="1"/>
  <c r="Q75" i="1" s="1"/>
  <c r="Q76" i="1" a="1"/>
  <c r="Q76" i="1" s="1"/>
  <c r="Q81" i="1" a="1"/>
  <c r="Q81" i="1" s="1"/>
  <c r="Q88" i="1" a="1"/>
  <c r="Q88" i="1" s="1"/>
  <c r="Q92" i="1" a="1"/>
  <c r="Q92" i="1" s="1"/>
  <c r="Q93" i="1" a="1"/>
  <c r="Q93" i="1" s="1"/>
  <c r="Q96" i="1" a="1"/>
  <c r="Q96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3" i="1" a="1"/>
  <c r="Q123" i="1" s="1"/>
  <c r="Q124" i="1" a="1"/>
  <c r="Q124" i="1" s="1"/>
  <c r="Q125" i="1" a="1"/>
  <c r="Q125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5" i="1" a="1"/>
  <c r="Q135" i="1" s="1"/>
  <c r="Q136" i="1" a="1"/>
  <c r="Q136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7" i="1" a="1"/>
  <c r="Q147" i="1" s="1"/>
  <c r="Q149" i="1" a="1"/>
  <c r="Q149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8" i="1" a="1"/>
  <c r="Q168" i="1" s="1"/>
  <c r="Q169" i="1" a="1"/>
  <c r="Q169" i="1" s="1"/>
  <c r="Q170" i="1" a="1"/>
  <c r="Q170" i="1" s="1"/>
  <c r="Q173" i="1" a="1"/>
  <c r="Q173" i="1" s="1"/>
  <c r="Q174" i="1" a="1"/>
  <c r="Q174" i="1" s="1"/>
  <c r="Q175" i="1" a="1"/>
  <c r="Q175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90" i="1" a="1"/>
  <c r="Q190" i="1" s="1"/>
  <c r="Q194" i="1" a="1"/>
  <c r="Q194" i="1" s="1"/>
  <c r="Q195" i="1" a="1"/>
  <c r="Q195" i="1" s="1"/>
  <c r="Q197" i="1" a="1"/>
  <c r="Q197" i="1" s="1"/>
  <c r="Q198" i="1" a="1"/>
  <c r="Q198" i="1" s="1"/>
  <c r="Q199" i="1" a="1"/>
  <c r="Q199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9" i="1" a="1"/>
  <c r="Q219" i="1" s="1"/>
  <c r="Q222" i="1" a="1"/>
  <c r="Q222" i="1" s="1"/>
  <c r="Q223" i="1" a="1"/>
  <c r="Q223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8" i="1" a="1"/>
  <c r="Q238" i="1" s="1"/>
  <c r="Q239" i="1" a="1"/>
  <c r="Q239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1" i="1" a="1"/>
  <c r="Q251" i="1" s="1"/>
  <c r="Q254" i="1" a="1"/>
  <c r="Q254" i="1" s="1"/>
  <c r="Q255" i="1" a="1"/>
  <c r="Q255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6" i="1" a="1"/>
  <c r="Q276" i="1" s="1"/>
  <c r="Q277" i="1" a="1"/>
  <c r="Q277" i="1" s="1"/>
  <c r="Q279" i="1" a="1"/>
  <c r="Q279" i="1" s="1"/>
  <c r="Q281" i="1" a="1"/>
  <c r="Q281" i="1" s="1"/>
  <c r="Q286" i="1" a="1"/>
  <c r="Q286" i="1" s="1"/>
  <c r="Q287" i="1" a="1"/>
  <c r="Q287" i="1" s="1"/>
  <c r="Q288" i="1" a="1"/>
  <c r="Q288" i="1" s="1"/>
  <c r="Q293" i="1" a="1"/>
  <c r="Q293" i="1" s="1"/>
  <c r="Q295" i="1" a="1"/>
  <c r="Q295" i="1" s="1"/>
  <c r="Q304" i="1" a="1"/>
  <c r="Q304" i="1" s="1"/>
  <c r="Q305" i="1" a="1"/>
  <c r="Q305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5" i="1" a="1"/>
  <c r="Q325" i="1" s="1"/>
  <c r="Q328" i="1" a="1"/>
  <c r="Q328" i="1" s="1"/>
  <c r="Q330" i="1" a="1"/>
  <c r="Q330" i="1" s="1"/>
  <c r="Q331" i="1" a="1"/>
  <c r="Q331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7" i="1" a="1"/>
  <c r="Q347" i="1" s="1"/>
  <c r="Q348" i="1" a="1"/>
  <c r="Q348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9" i="1" a="1"/>
  <c r="Q359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374" i="1" a="1"/>
  <c r="Q374" i="1" s="1"/>
  <c r="Q375" i="1" a="1"/>
  <c r="Q375" i="1" s="1"/>
  <c r="Q376" i="1" a="1"/>
  <c r="Q376" i="1" s="1"/>
  <c r="Q377" i="1" a="1"/>
  <c r="Q377" i="1" s="1"/>
  <c r="Q378" i="1" a="1"/>
  <c r="Q378" i="1" s="1"/>
  <c r="Q379" i="1" a="1"/>
  <c r="Q379" i="1" s="1"/>
  <c r="Q380" i="1" a="1"/>
  <c r="Q380" i="1" s="1"/>
  <c r="Q382" i="1" a="1"/>
  <c r="Q382" i="1" s="1"/>
  <c r="Q384" i="1" a="1"/>
  <c r="Q384" i="1" s="1"/>
  <c r="Q385" i="1" a="1"/>
  <c r="Q385" i="1" s="1"/>
  <c r="Q386" i="1" a="1"/>
  <c r="Q386" i="1" s="1"/>
  <c r="Q387" i="1" a="1"/>
  <c r="Q387" i="1" s="1"/>
  <c r="Q389" i="1" a="1"/>
  <c r="Q389" i="1" s="1"/>
  <c r="Q390" i="1" a="1"/>
  <c r="Q390" i="1" s="1"/>
  <c r="Q391" i="1" a="1"/>
  <c r="Q391" i="1" s="1"/>
  <c r="Q392" i="1" a="1"/>
  <c r="Q392" i="1" s="1"/>
  <c r="Q393" i="1" a="1"/>
  <c r="Q393" i="1" s="1"/>
  <c r="Q394" i="1" a="1"/>
  <c r="Q394" i="1" s="1"/>
  <c r="Q395" i="1" a="1"/>
  <c r="Q395" i="1" s="1"/>
  <c r="Q397" i="1" a="1"/>
  <c r="Q397" i="1" s="1"/>
  <c r="Q398" i="1" a="1"/>
  <c r="Q398" i="1" s="1"/>
  <c r="Q399" i="1" a="1"/>
  <c r="Q399" i="1" s="1"/>
  <c r="Q400" i="1" a="1"/>
  <c r="Q400" i="1" s="1"/>
  <c r="Q402" i="1" a="1"/>
  <c r="Q402" i="1" s="1"/>
  <c r="Q403" i="1" a="1"/>
  <c r="Q403" i="1" s="1"/>
  <c r="Q405" i="1" a="1"/>
  <c r="Q405" i="1" s="1"/>
  <c r="Q406" i="1" a="1"/>
  <c r="Q406" i="1" s="1"/>
  <c r="Q409" i="1" a="1"/>
  <c r="Q409" i="1" s="1"/>
  <c r="Q410" i="1" a="1"/>
  <c r="Q410" i="1" s="1"/>
  <c r="Q411" i="1" a="1"/>
  <c r="Q411" i="1" s="1"/>
  <c r="Q413" i="1" a="1"/>
  <c r="Q413" i="1" s="1"/>
  <c r="Q414" i="1" a="1"/>
  <c r="Q414" i="1" s="1"/>
  <c r="Q415" i="1" a="1"/>
  <c r="Q415" i="1" s="1"/>
  <c r="Q416" i="1" a="1"/>
  <c r="Q416" i="1" s="1"/>
  <c r="Q417" i="1" a="1"/>
  <c r="Q417" i="1" s="1"/>
  <c r="Q418" i="1" a="1"/>
  <c r="Q418" i="1" s="1"/>
  <c r="Q419" i="1" a="1"/>
  <c r="Q419" i="1" s="1"/>
  <c r="Q420" i="1" a="1"/>
  <c r="Q420" i="1" s="1"/>
  <c r="Q421" i="1" a="1"/>
  <c r="Q421" i="1" s="1"/>
  <c r="Q422" i="1" a="1"/>
  <c r="Q422" i="1" s="1"/>
  <c r="Q423" i="1" a="1"/>
  <c r="Q423" i="1" s="1"/>
  <c r="Q424" i="1" a="1"/>
  <c r="Q424" i="1" s="1"/>
  <c r="Q425" i="1" a="1"/>
  <c r="Q425" i="1" s="1"/>
  <c r="Q426" i="1" a="1"/>
  <c r="Q426" i="1" s="1"/>
  <c r="Q427" i="1" a="1"/>
  <c r="Q427" i="1" s="1"/>
  <c r="Q431" i="1" a="1"/>
  <c r="Q431" i="1" s="1"/>
  <c r="Q432" i="1" a="1"/>
  <c r="Q432" i="1" s="1"/>
  <c r="Q433" i="1" a="1"/>
  <c r="Q433" i="1" s="1"/>
  <c r="Q434" i="1" a="1"/>
  <c r="Q434" i="1" s="1"/>
  <c r="Q435" i="1" a="1"/>
  <c r="Q435" i="1" s="1"/>
  <c r="Q436" i="1" a="1"/>
  <c r="Q436" i="1" s="1"/>
  <c r="Q438" i="1" a="1"/>
  <c r="Q438" i="1" s="1"/>
  <c r="Q439" i="1" a="1"/>
  <c r="Q439" i="1" s="1"/>
  <c r="Q440" i="1" a="1"/>
  <c r="Q440" i="1" s="1"/>
  <c r="Q441" i="1" a="1"/>
  <c r="Q441" i="1" s="1"/>
  <c r="Q442" i="1" a="1"/>
  <c r="Q442" i="1" s="1"/>
  <c r="Q444" i="1" a="1"/>
  <c r="Q444" i="1" s="1"/>
  <c r="Q445" i="1" a="1"/>
  <c r="Q445" i="1" s="1"/>
  <c r="Q446" i="1" a="1"/>
  <c r="Q446" i="1" s="1"/>
  <c r="Q447" i="1" a="1"/>
  <c r="Q447" i="1" s="1"/>
  <c r="Q448" i="1" a="1"/>
  <c r="Q448" i="1" s="1"/>
  <c r="Q449" i="1" a="1"/>
  <c r="Q449" i="1" s="1"/>
  <c r="Q450" i="1" a="1"/>
  <c r="Q450" i="1" s="1"/>
  <c r="Q451" i="1" a="1"/>
  <c r="Q451" i="1" s="1"/>
  <c r="Q452" i="1" a="1"/>
  <c r="Q452" i="1" s="1"/>
  <c r="Q453" i="1" a="1"/>
  <c r="Q453" i="1" s="1"/>
  <c r="Q454" i="1" a="1"/>
  <c r="Q454" i="1" s="1"/>
  <c r="Q455" i="1" a="1"/>
  <c r="Q455" i="1" s="1"/>
  <c r="Q457" i="1" a="1"/>
  <c r="Q457" i="1" s="1"/>
  <c r="Q458" i="1" a="1"/>
  <c r="Q458" i="1" s="1"/>
  <c r="Q460" i="1" a="1"/>
  <c r="Q460" i="1" s="1"/>
  <c r="Q463" i="1" a="1"/>
  <c r="Q463" i="1" s="1"/>
  <c r="Q464" i="1" a="1"/>
  <c r="Q464" i="1" s="1"/>
  <c r="Q465" i="1" a="1"/>
  <c r="Q465" i="1" s="1"/>
  <c r="Q466" i="1" a="1"/>
  <c r="Q466" i="1" s="1"/>
  <c r="Q467" i="1" a="1"/>
  <c r="Q467" i="1" s="1"/>
  <c r="Q468" i="1" a="1"/>
  <c r="Q468" i="1" s="1"/>
  <c r="Q469" i="1" a="1"/>
  <c r="Q469" i="1" s="1"/>
  <c r="Q470" i="1" a="1"/>
  <c r="Q470" i="1" s="1"/>
  <c r="Q471" i="1" a="1"/>
  <c r="Q471" i="1" s="1"/>
  <c r="Q472" i="1" a="1"/>
  <c r="Q472" i="1" s="1"/>
  <c r="Q473" i="1" a="1"/>
  <c r="Q473" i="1" s="1"/>
  <c r="Q474" i="1" a="1"/>
  <c r="Q474" i="1" s="1"/>
  <c r="Q475" i="1" a="1"/>
  <c r="Q475" i="1" s="1"/>
  <c r="Q476" i="1" a="1"/>
  <c r="Q476" i="1" s="1"/>
  <c r="Q477" i="1" a="1"/>
  <c r="Q477" i="1" s="1"/>
  <c r="Q478" i="1" a="1"/>
  <c r="Q478" i="1" s="1"/>
  <c r="Q479" i="1" a="1"/>
  <c r="Q479" i="1" s="1"/>
  <c r="Q480" i="1" a="1"/>
  <c r="Q480" i="1" s="1"/>
  <c r="Q482" i="1" a="1"/>
  <c r="Q482" i="1" s="1"/>
  <c r="Q483" i="1" a="1"/>
  <c r="Q483" i="1" s="1"/>
  <c r="Q484" i="1" a="1"/>
  <c r="Q484" i="1" s="1"/>
  <c r="Q485" i="1" a="1"/>
  <c r="Q485" i="1" s="1"/>
  <c r="Q486" i="1" a="1"/>
  <c r="Q486" i="1" s="1"/>
  <c r="Q488" i="1" a="1"/>
  <c r="Q488" i="1" s="1"/>
  <c r="Q491" i="1" a="1"/>
  <c r="Q491" i="1" s="1"/>
  <c r="Q496" i="1" a="1"/>
  <c r="Q496" i="1" s="1"/>
  <c r="Q497" i="1" a="1"/>
  <c r="Q497" i="1" s="1"/>
  <c r="Q498" i="1" a="1"/>
  <c r="Q498" i="1" s="1"/>
  <c r="Q499" i="1" a="1"/>
  <c r="Q499" i="1" s="1"/>
  <c r="Q500" i="1" a="1"/>
  <c r="Q500" i="1" s="1"/>
  <c r="Q505" i="1" a="1"/>
  <c r="Q505" i="1" s="1"/>
  <c r="Q512" i="1" a="1"/>
  <c r="Q512" i="1" s="1"/>
  <c r="Q516" i="1" a="1"/>
  <c r="Q516" i="1" s="1"/>
  <c r="Q517" i="1" a="1"/>
  <c r="Q517" i="1" s="1"/>
  <c r="Q519" i="1" a="1"/>
  <c r="Q519" i="1" s="1"/>
  <c r="Q520" i="1" a="1"/>
  <c r="Q520" i="1" s="1"/>
  <c r="Q522" i="1" a="1"/>
  <c r="Q522" i="1" s="1"/>
  <c r="Q523" i="1" a="1"/>
  <c r="Q523" i="1" s="1"/>
  <c r="Q524" i="1" a="1"/>
  <c r="Q524" i="1" s="1"/>
  <c r="Q525" i="1" a="1"/>
  <c r="Q525" i="1" s="1"/>
  <c r="Q526" i="1" a="1"/>
  <c r="Q526" i="1" s="1"/>
  <c r="Q527" i="1" a="1"/>
  <c r="Q527" i="1" s="1"/>
  <c r="Q528" i="1" a="1"/>
  <c r="Q528" i="1" s="1"/>
  <c r="Q529" i="1" a="1"/>
  <c r="Q529" i="1" s="1"/>
  <c r="Q530" i="1" a="1"/>
  <c r="Q530" i="1" s="1"/>
  <c r="Q531" i="1" a="1"/>
  <c r="Q531" i="1" s="1"/>
  <c r="Q532" i="1" a="1"/>
  <c r="Q532" i="1" s="1"/>
  <c r="Q533" i="1" a="1"/>
  <c r="Q533" i="1" s="1"/>
  <c r="Q540" i="1" a="1"/>
  <c r="Q540" i="1" s="1"/>
  <c r="Q542" i="1" a="1"/>
  <c r="Q542" i="1" s="1"/>
  <c r="Q543" i="1" a="1"/>
  <c r="Q543" i="1" s="1"/>
  <c r="Q546" i="1" a="1"/>
  <c r="Q546" i="1" s="1"/>
  <c r="Q547" i="1" a="1"/>
  <c r="Q547" i="1" s="1"/>
  <c r="Q548" i="1" a="1"/>
  <c r="Q548" i="1" s="1"/>
  <c r="Q549" i="1" a="1"/>
  <c r="Q549" i="1" s="1"/>
  <c r="Q551" i="1" a="1"/>
  <c r="Q551" i="1" s="1"/>
  <c r="Q552" i="1" a="1"/>
  <c r="Q552" i="1" s="1"/>
  <c r="Q553" i="1" a="1"/>
  <c r="Q553" i="1" s="1"/>
  <c r="Q554" i="1" a="1"/>
  <c r="Q554" i="1" s="1"/>
  <c r="Q555" i="1" a="1"/>
  <c r="Q555" i="1" s="1"/>
  <c r="Q556" i="1" a="1"/>
  <c r="Q556" i="1" s="1"/>
  <c r="Q557" i="1" a="1"/>
  <c r="Q557" i="1" s="1"/>
  <c r="Q559" i="1" a="1"/>
  <c r="Q559" i="1" s="1"/>
  <c r="Q560" i="1" a="1"/>
  <c r="Q560" i="1" s="1"/>
  <c r="Q561" i="1" a="1"/>
  <c r="Q561" i="1" s="1"/>
  <c r="Q562" i="1" a="1"/>
  <c r="Q562" i="1" s="1"/>
  <c r="Q563" i="1" a="1"/>
  <c r="Q563" i="1" s="1"/>
  <c r="Q564" i="1" a="1"/>
  <c r="Q564" i="1" s="1"/>
  <c r="Q565" i="1" a="1"/>
  <c r="Q565" i="1" s="1"/>
  <c r="Q566" i="1" a="1"/>
  <c r="Q566" i="1" s="1"/>
  <c r="Q567" i="1" a="1"/>
  <c r="Q567" i="1" s="1"/>
  <c r="Q568" i="1" a="1"/>
  <c r="Q568" i="1" s="1"/>
  <c r="Q571" i="1" a="1"/>
  <c r="Q571" i="1" s="1"/>
  <c r="Q575" i="1" a="1"/>
  <c r="Q575" i="1" s="1"/>
  <c r="Q576" i="1" a="1"/>
  <c r="Q576" i="1" s="1"/>
  <c r="Q577" i="1" a="1"/>
  <c r="Q577" i="1" s="1"/>
  <c r="Q578" i="1" a="1"/>
  <c r="Q578" i="1" s="1"/>
  <c r="Q579" i="1" a="1"/>
  <c r="Q579" i="1" s="1"/>
  <c r="Q580" i="1" a="1"/>
  <c r="Q580" i="1" s="1"/>
  <c r="Q581" i="1" a="1"/>
  <c r="Q581" i="1" s="1"/>
  <c r="Q582" i="1" a="1"/>
  <c r="Q582" i="1" s="1"/>
  <c r="Q583" i="1" a="1"/>
  <c r="Q583" i="1" s="1"/>
  <c r="Q584" i="1" a="1"/>
  <c r="Q584" i="1" s="1"/>
  <c r="Q585" i="1" a="1"/>
  <c r="Q585" i="1" s="1"/>
  <c r="Q586" i="1" a="1"/>
  <c r="Q586" i="1" s="1"/>
  <c r="Q587" i="1" a="1"/>
  <c r="Q587" i="1" s="1"/>
  <c r="Q588" i="1" a="1"/>
  <c r="Q588" i="1" s="1"/>
  <c r="Q589" i="1" a="1"/>
  <c r="Q589" i="1" s="1"/>
  <c r="Q590" i="1" a="1"/>
  <c r="Q590" i="1" s="1"/>
  <c r="Q591" i="1" a="1"/>
  <c r="Q591" i="1" s="1"/>
  <c r="Q592" i="1" a="1"/>
  <c r="Q592" i="1" s="1"/>
  <c r="Q593" i="1" a="1"/>
  <c r="Q593" i="1" s="1"/>
  <c r="Q594" i="1" a="1"/>
  <c r="Q594" i="1" s="1"/>
  <c r="Q595" i="1" a="1"/>
  <c r="Q595" i="1" s="1"/>
  <c r="Q596" i="1" a="1"/>
  <c r="Q596" i="1" s="1"/>
  <c r="Q597" i="1" a="1"/>
  <c r="Q597" i="1" s="1"/>
  <c r="Q598" i="1" a="1"/>
  <c r="Q598" i="1" s="1"/>
  <c r="Q599" i="1" a="1"/>
  <c r="Q599" i="1" s="1"/>
  <c r="Q600" i="1" a="1"/>
  <c r="Q600" i="1" s="1"/>
  <c r="Q601" i="1" a="1"/>
  <c r="Q601" i="1" s="1"/>
  <c r="Q602" i="1" a="1"/>
  <c r="Q602" i="1" s="1"/>
  <c r="Q603" i="1" a="1"/>
  <c r="Q603" i="1" s="1"/>
  <c r="Q604" i="1" a="1"/>
  <c r="Q604" i="1" s="1"/>
  <c r="Q605" i="1" a="1"/>
  <c r="Q605" i="1" s="1"/>
  <c r="Q606" i="1" a="1"/>
  <c r="Q606" i="1" s="1"/>
  <c r="Q607" i="1" a="1"/>
  <c r="Q607" i="1" s="1"/>
  <c r="Q608" i="1" a="1"/>
  <c r="Q608" i="1" s="1"/>
  <c r="Q609" i="1" a="1"/>
  <c r="Q609" i="1" s="1"/>
  <c r="Q610" i="1" a="1"/>
  <c r="Q610" i="1" s="1"/>
  <c r="Q611" i="1" a="1"/>
  <c r="Q611" i="1" s="1"/>
  <c r="Q612" i="1" a="1"/>
  <c r="Q612" i="1" s="1"/>
  <c r="Q613" i="1" a="1"/>
  <c r="Q613" i="1" s="1"/>
  <c r="Q614" i="1" a="1"/>
  <c r="Q614" i="1" s="1"/>
  <c r="Q615" i="1" a="1"/>
  <c r="Q615" i="1" s="1"/>
  <c r="Q616" i="1" a="1"/>
  <c r="Q616" i="1" s="1"/>
  <c r="Q617" i="1" a="1"/>
  <c r="Q617" i="1" s="1"/>
  <c r="Q618" i="1" a="1"/>
  <c r="Q618" i="1" s="1"/>
  <c r="Q619" i="1" a="1"/>
  <c r="Q619" i="1" s="1"/>
  <c r="Q620" i="1" a="1"/>
  <c r="Q620" i="1" s="1"/>
  <c r="Q621" i="1" a="1"/>
  <c r="Q621" i="1" s="1"/>
  <c r="Q622" i="1" a="1"/>
  <c r="Q622" i="1" s="1"/>
  <c r="Q623" i="1" a="1"/>
  <c r="Q623" i="1" s="1"/>
  <c r="Q624" i="1" a="1"/>
  <c r="Q624" i="1" s="1"/>
  <c r="Q625" i="1" a="1"/>
  <c r="Q625" i="1" s="1"/>
  <c r="Q626" i="1" a="1"/>
  <c r="Q626" i="1" s="1"/>
  <c r="Q627" i="1" a="1"/>
  <c r="Q627" i="1" s="1"/>
  <c r="Q628" i="1" a="1"/>
  <c r="Q628" i="1" s="1"/>
  <c r="Q629" i="1" a="1"/>
  <c r="Q629" i="1" s="1"/>
  <c r="Q630" i="1" a="1"/>
  <c r="Q630" i="1" s="1"/>
  <c r="Q631" i="1" a="1"/>
  <c r="Q631" i="1" s="1"/>
  <c r="Q632" i="1" a="1"/>
  <c r="Q632" i="1" s="1"/>
  <c r="Q633" i="1" a="1"/>
  <c r="Q633" i="1" s="1"/>
  <c r="Q634" i="1" a="1"/>
  <c r="Q634" i="1" s="1"/>
  <c r="Q635" i="1" a="1"/>
  <c r="Q635" i="1" s="1"/>
  <c r="Q636" i="1" a="1"/>
  <c r="Q636" i="1" s="1"/>
  <c r="Q637" i="1" a="1"/>
  <c r="Q637" i="1" s="1"/>
  <c r="Q638" i="1" a="1"/>
  <c r="Q638" i="1" s="1"/>
  <c r="Q639" i="1" a="1"/>
  <c r="Q639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4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S255" i="1" s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S143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M639" i="1"/>
  <c r="M638" i="1"/>
  <c r="M637" i="1"/>
  <c r="M636" i="1"/>
  <c r="M635" i="1"/>
  <c r="M634" i="1"/>
  <c r="S634" i="1" s="1"/>
  <c r="T634" i="1" s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S618" i="1" s="1"/>
  <c r="T618" i="1" s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S602" i="1" s="1"/>
  <c r="T602" i="1" s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S586" i="1" s="1"/>
  <c r="T586" i="1" s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S554" i="1" s="1"/>
  <c r="T554" i="1" s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S522" i="1" s="1"/>
  <c r="T522" i="1" s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S474" i="1" s="1"/>
  <c r="T474" i="1" s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S458" i="1" s="1"/>
  <c r="T458" i="1" s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S442" i="1" s="1"/>
  <c r="T442" i="1" s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S426" i="1" s="1"/>
  <c r="T426" i="1" s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S410" i="1" s="1"/>
  <c r="T410" i="1" s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S394" i="1" s="1"/>
  <c r="T394" i="1" s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S330" i="1" s="1"/>
  <c r="T330" i="1" s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S314" i="1" s="1"/>
  <c r="T314" i="1" s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S266" i="1" s="1"/>
  <c r="T266" i="1" s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S234" i="1" s="1"/>
  <c r="T234" i="1" s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S202" i="1" s="1"/>
  <c r="T202" i="1" s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S170" i="1" s="1"/>
  <c r="T170" i="1" s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S154" i="1" s="1"/>
  <c r="T154" i="1" s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S138" i="1" s="1"/>
  <c r="T138" i="1" s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S106" i="1" s="1"/>
  <c r="T106" i="1" s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S74" i="1" s="1"/>
  <c r="T74" i="1" s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S58" i="1" s="1"/>
  <c r="T58" i="1" s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N4" i="1"/>
  <c r="M4" i="1"/>
  <c r="Q501" i="1" l="1" a="1"/>
  <c r="Q501" i="1" s="1"/>
  <c r="Q301" i="1" a="1"/>
  <c r="Q301" i="1" s="1"/>
  <c r="Q283" i="1" a="1"/>
  <c r="Q283" i="1" s="1"/>
  <c r="Q300" i="1" a="1"/>
  <c r="Q300" i="1" s="1"/>
  <c r="Q282" i="1" a="1"/>
  <c r="Q282" i="1" s="1"/>
  <c r="S282" i="1" s="1"/>
  <c r="Q515" i="1" a="1"/>
  <c r="Q515" i="1" s="1"/>
  <c r="Q299" i="1" a="1"/>
  <c r="Q299" i="1" s="1"/>
  <c r="Q91" i="1" a="1"/>
  <c r="Q91" i="1" s="1"/>
  <c r="Q514" i="1" a="1"/>
  <c r="Q514" i="1" s="1"/>
  <c r="Q298" i="1" a="1"/>
  <c r="Q298" i="1" s="1"/>
  <c r="Q90" i="1" a="1"/>
  <c r="Q90" i="1" s="1"/>
  <c r="Q513" i="1" a="1"/>
  <c r="Q513" i="1" s="1"/>
  <c r="S513" i="1" s="1"/>
  <c r="Q297" i="1" a="1"/>
  <c r="Q297" i="1" s="1"/>
  <c r="S297" i="1" s="1"/>
  <c r="T297" i="1" s="1"/>
  <c r="V297" i="1" s="1"/>
  <c r="Q278" i="1" a="1"/>
  <c r="Q278" i="1" s="1"/>
  <c r="Q89" i="1" a="1"/>
  <c r="Q89" i="1" s="1"/>
  <c r="Q72" i="1" a="1"/>
  <c r="Q72" i="1" s="1"/>
  <c r="S250" i="1"/>
  <c r="T250" i="1" s="1"/>
  <c r="Q511" i="1" a="1"/>
  <c r="Q511" i="1" s="1"/>
  <c r="Q495" i="1" a="1"/>
  <c r="Q495" i="1" s="1"/>
  <c r="Q462" i="1" a="1"/>
  <c r="Q462" i="1" s="1"/>
  <c r="Q430" i="1" a="1"/>
  <c r="Q430" i="1" s="1"/>
  <c r="Q294" i="1" a="1"/>
  <c r="Q294" i="1" s="1"/>
  <c r="Q243" i="1" a="1"/>
  <c r="Q243" i="1" s="1"/>
  <c r="Q227" i="1" a="1"/>
  <c r="Q227" i="1" s="1"/>
  <c r="Q192" i="1" a="1"/>
  <c r="Q192" i="1" s="1"/>
  <c r="Q167" i="1" a="1"/>
  <c r="Q167" i="1" s="1"/>
  <c r="Q87" i="1" a="1"/>
  <c r="Q87" i="1" s="1"/>
  <c r="S87" i="1" s="1"/>
  <c r="T87" i="1" s="1"/>
  <c r="V87" i="1" s="1"/>
  <c r="Q70" i="1" a="1"/>
  <c r="Q70" i="1" s="1"/>
  <c r="Q33" i="1" a="1"/>
  <c r="Q33" i="1" s="1"/>
  <c r="Q13" i="1" a="1"/>
  <c r="Q13" i="1" s="1"/>
  <c r="S42" i="1"/>
  <c r="T42" i="1" s="1"/>
  <c r="Q510" i="1" a="1"/>
  <c r="Q510" i="1" s="1"/>
  <c r="Q494" i="1" a="1"/>
  <c r="Q494" i="1" s="1"/>
  <c r="Q461" i="1" a="1"/>
  <c r="Q461" i="1" s="1"/>
  <c r="Q275" i="1" a="1"/>
  <c r="Q275" i="1" s="1"/>
  <c r="Q242" i="1" a="1"/>
  <c r="Q242" i="1" s="1"/>
  <c r="Q226" i="1" a="1"/>
  <c r="Q226" i="1" s="1"/>
  <c r="Q166" i="1" a="1"/>
  <c r="Q166" i="1" s="1"/>
  <c r="Q86" i="1" a="1"/>
  <c r="Q86" i="1" s="1"/>
  <c r="Q69" i="1" a="1"/>
  <c r="Q69" i="1" s="1"/>
  <c r="Q32" i="1" a="1"/>
  <c r="Q32" i="1" s="1"/>
  <c r="Q12" i="1" a="1"/>
  <c r="Q12" i="1" s="1"/>
  <c r="S462" i="1"/>
  <c r="T462" i="1" s="1"/>
  <c r="Q509" i="1" a="1"/>
  <c r="Q509" i="1" s="1"/>
  <c r="Q493" i="1" a="1"/>
  <c r="Q493" i="1" s="1"/>
  <c r="Q292" i="1" a="1"/>
  <c r="Q292" i="1" s="1"/>
  <c r="Q241" i="1" a="1"/>
  <c r="Q241" i="1" s="1"/>
  <c r="Q225" i="1" a="1"/>
  <c r="Q225" i="1" s="1"/>
  <c r="Q187" i="1" a="1"/>
  <c r="Q187" i="1" s="1"/>
  <c r="Q165" i="1" a="1"/>
  <c r="Q165" i="1" s="1"/>
  <c r="Q85" i="1" a="1"/>
  <c r="Q85" i="1" s="1"/>
  <c r="Q31" i="1" a="1"/>
  <c r="Q31" i="1" s="1"/>
  <c r="Q11" i="1" a="1"/>
  <c r="Q11" i="1" s="1"/>
  <c r="Q508" i="1" a="1"/>
  <c r="Q508" i="1" s="1"/>
  <c r="Q492" i="1" a="1"/>
  <c r="Q492" i="1" s="1"/>
  <c r="Q459" i="1" a="1"/>
  <c r="Q459" i="1" s="1"/>
  <c r="Q443" i="1" a="1"/>
  <c r="Q443" i="1" s="1"/>
  <c r="Q291" i="1" a="1"/>
  <c r="Q291" i="1" s="1"/>
  <c r="S291" i="1" s="1"/>
  <c r="T291" i="1" s="1"/>
  <c r="V291" i="1" s="1"/>
  <c r="Q240" i="1" a="1"/>
  <c r="Q240" i="1" s="1"/>
  <c r="Q224" i="1" a="1"/>
  <c r="Q224" i="1" s="1"/>
  <c r="Q185" i="1" a="1"/>
  <c r="Q185" i="1" s="1"/>
  <c r="Q83" i="1" a="1"/>
  <c r="Q83" i="1" s="1"/>
  <c r="Q66" i="1" a="1"/>
  <c r="Q66" i="1" s="1"/>
  <c r="Q30" i="1" a="1"/>
  <c r="Q30" i="1" s="1"/>
  <c r="Q10" i="1" a="1"/>
  <c r="Q10" i="1" s="1"/>
  <c r="S10" i="1" s="1"/>
  <c r="Q507" i="1" a="1"/>
  <c r="Q507" i="1" s="1"/>
  <c r="Q307" i="1" a="1"/>
  <c r="Q307" i="1" s="1"/>
  <c r="Q290" i="1" a="1"/>
  <c r="Q290" i="1" s="1"/>
  <c r="S290" i="1" s="1"/>
  <c r="Q82" i="1" a="1"/>
  <c r="Q82" i="1" s="1"/>
  <c r="Q65" i="1" a="1"/>
  <c r="Q65" i="1" s="1"/>
  <c r="Q29" i="1" a="1"/>
  <c r="Q29" i="1" s="1"/>
  <c r="Q9" i="1" a="1"/>
  <c r="Q9" i="1" s="1"/>
  <c r="Q506" i="1" a="1"/>
  <c r="Q506" i="1" s="1"/>
  <c r="S506" i="1" s="1"/>
  <c r="Q490" i="1" a="1"/>
  <c r="Q490" i="1" s="1"/>
  <c r="S490" i="1" s="1"/>
  <c r="Q306" i="1" a="1"/>
  <c r="Q306" i="1" s="1"/>
  <c r="Q289" i="1" a="1"/>
  <c r="Q289" i="1" s="1"/>
  <c r="Q27" i="1" a="1"/>
  <c r="Q27" i="1" s="1"/>
  <c r="Q6" i="1" a="1"/>
  <c r="Q6" i="1" s="1"/>
  <c r="S218" i="1"/>
  <c r="T218" i="1" s="1"/>
  <c r="Q489" i="1" a="1"/>
  <c r="Q489" i="1" s="1"/>
  <c r="Q456" i="1" a="1"/>
  <c r="Q456" i="1" s="1"/>
  <c r="Q253" i="1" a="1"/>
  <c r="Q253" i="1" s="1"/>
  <c r="Q237" i="1" a="1"/>
  <c r="Q237" i="1" s="1"/>
  <c r="Q221" i="1" a="1"/>
  <c r="Q221" i="1" s="1"/>
  <c r="Q80" i="1" a="1"/>
  <c r="Q80" i="1" s="1"/>
  <c r="S80" i="1" s="1"/>
  <c r="Q63" i="1" a="1"/>
  <c r="Q63" i="1" s="1"/>
  <c r="Q26" i="1" a="1"/>
  <c r="Q26" i="1" s="1"/>
  <c r="S26" i="1" s="1"/>
  <c r="Q504" i="1" a="1"/>
  <c r="Q504" i="1" s="1"/>
  <c r="S504" i="1" s="1"/>
  <c r="T504" i="1" s="1"/>
  <c r="V504" i="1" s="1"/>
  <c r="Q252" i="1" a="1"/>
  <c r="Q252" i="1" s="1"/>
  <c r="Q236" i="1" a="1"/>
  <c r="Q236" i="1" s="1"/>
  <c r="S236" i="1" s="1"/>
  <c r="T236" i="1" s="1"/>
  <c r="Q220" i="1" a="1"/>
  <c r="Q220" i="1" s="1"/>
  <c r="Q79" i="1" a="1"/>
  <c r="Q79" i="1" s="1"/>
  <c r="Q25" i="1" a="1"/>
  <c r="Q25" i="1" s="1"/>
  <c r="S90" i="1"/>
  <c r="T90" i="1" s="1"/>
  <c r="Q503" i="1" a="1"/>
  <c r="Q503" i="1" s="1"/>
  <c r="Q487" i="1" a="1"/>
  <c r="Q487" i="1" s="1"/>
  <c r="Q303" i="1" a="1"/>
  <c r="Q303" i="1" s="1"/>
  <c r="Q95" i="1" a="1"/>
  <c r="Q95" i="1" s="1"/>
  <c r="S95" i="1" s="1"/>
  <c r="T95" i="1" s="1"/>
  <c r="V95" i="1" s="1"/>
  <c r="Q78" i="1" a="1"/>
  <c r="Q78" i="1" s="1"/>
  <c r="Q14" i="1" a="1"/>
  <c r="Q14" i="1" s="1"/>
  <c r="Q5" i="1" a="1"/>
  <c r="Q5" i="1" s="1"/>
  <c r="S298" i="1"/>
  <c r="T298" i="1" s="1"/>
  <c r="Q518" i="1" a="1"/>
  <c r="Q518" i="1" s="1"/>
  <c r="S518" i="1" s="1"/>
  <c r="T518" i="1" s="1"/>
  <c r="V518" i="1" s="1"/>
  <c r="Q302" i="1" a="1"/>
  <c r="Q302" i="1" s="1"/>
  <c r="Q94" i="1" a="1"/>
  <c r="Q94" i="1" s="1"/>
  <c r="S24" i="1"/>
  <c r="T24" i="1" s="1"/>
  <c r="V24" i="1" s="1"/>
  <c r="S56" i="1"/>
  <c r="S72" i="1"/>
  <c r="S88" i="1"/>
  <c r="S104" i="1"/>
  <c r="S136" i="1"/>
  <c r="S152" i="1"/>
  <c r="S48" i="1"/>
  <c r="S32" i="1"/>
  <c r="T32" i="1" s="1"/>
  <c r="V32" i="1" s="1"/>
  <c r="S16" i="1"/>
  <c r="S168" i="1"/>
  <c r="S216" i="1"/>
  <c r="S232" i="1"/>
  <c r="S248" i="1"/>
  <c r="S264" i="1"/>
  <c r="S312" i="1"/>
  <c r="T312" i="1" s="1"/>
  <c r="V312" i="1" s="1"/>
  <c r="S328" i="1"/>
  <c r="S344" i="1"/>
  <c r="S376" i="1"/>
  <c r="S392" i="1"/>
  <c r="S424" i="1"/>
  <c r="S440" i="1"/>
  <c r="T440" i="1" s="1"/>
  <c r="V440" i="1" s="1"/>
  <c r="S456" i="1"/>
  <c r="T456" i="1" s="1"/>
  <c r="V456" i="1" s="1"/>
  <c r="S472" i="1"/>
  <c r="T472" i="1" s="1"/>
  <c r="V472" i="1" s="1"/>
  <c r="S488" i="1"/>
  <c r="T488" i="1" s="1"/>
  <c r="V488" i="1" s="1"/>
  <c r="S520" i="1"/>
  <c r="T520" i="1" s="1"/>
  <c r="V520" i="1" s="1"/>
  <c r="S552" i="1"/>
  <c r="T552" i="1" s="1"/>
  <c r="V552" i="1" s="1"/>
  <c r="S568" i="1"/>
  <c r="S584" i="1"/>
  <c r="T584" i="1" s="1"/>
  <c r="V584" i="1" s="1"/>
  <c r="S600" i="1"/>
  <c r="S616" i="1"/>
  <c r="T616" i="1" s="1"/>
  <c r="S632" i="1"/>
  <c r="T632" i="1" s="1"/>
  <c r="S60" i="1"/>
  <c r="S204" i="1"/>
  <c r="T204" i="1" s="1"/>
  <c r="S316" i="1"/>
  <c r="T316" i="1" s="1"/>
  <c r="S604" i="1"/>
  <c r="T604" i="1" s="1"/>
  <c r="S92" i="1"/>
  <c r="T92" i="1" s="1"/>
  <c r="V92" i="1" s="1"/>
  <c r="S284" i="1"/>
  <c r="T284" i="1" s="1"/>
  <c r="S380" i="1"/>
  <c r="T380" i="1" s="1"/>
  <c r="S476" i="1"/>
  <c r="T476" i="1" s="1"/>
  <c r="S540" i="1"/>
  <c r="T540" i="1" s="1"/>
  <c r="S318" i="1"/>
  <c r="T318" i="1" s="1"/>
  <c r="S534" i="1"/>
  <c r="T534" i="1" s="1"/>
  <c r="S378" i="1"/>
  <c r="T378" i="1" s="1"/>
  <c r="S124" i="1"/>
  <c r="T124" i="1" s="1"/>
  <c r="V124" i="1" s="1"/>
  <c r="S268" i="1"/>
  <c r="T268" i="1" s="1"/>
  <c r="S508" i="1"/>
  <c r="T508" i="1" s="1"/>
  <c r="S620" i="1"/>
  <c r="T620" i="1" s="1"/>
  <c r="S208" i="1"/>
  <c r="T208" i="1" s="1"/>
  <c r="S12" i="1"/>
  <c r="S108" i="1"/>
  <c r="S300" i="1"/>
  <c r="T300" i="1" s="1"/>
  <c r="S428" i="1"/>
  <c r="T428" i="1" s="1"/>
  <c r="S144" i="1"/>
  <c r="T144" i="1" s="1"/>
  <c r="S224" i="1"/>
  <c r="T224" i="1" s="1"/>
  <c r="S553" i="1"/>
  <c r="T553" i="1" s="1"/>
  <c r="V553" i="1" s="1"/>
  <c r="S76" i="1"/>
  <c r="S220" i="1"/>
  <c r="T220" i="1" s="1"/>
  <c r="S588" i="1"/>
  <c r="T588" i="1" s="1"/>
  <c r="S156" i="1"/>
  <c r="T156" i="1" s="1"/>
  <c r="V156" i="1" s="1"/>
  <c r="S252" i="1"/>
  <c r="T252" i="1" s="1"/>
  <c r="S348" i="1"/>
  <c r="T348" i="1" s="1"/>
  <c r="S444" i="1"/>
  <c r="T444" i="1" s="1"/>
  <c r="S524" i="1"/>
  <c r="T524" i="1" s="1"/>
  <c r="S636" i="1"/>
  <c r="T636" i="1" s="1"/>
  <c r="S64" i="1"/>
  <c r="T64" i="1" s="1"/>
  <c r="S176" i="1"/>
  <c r="T176" i="1" s="1"/>
  <c r="S140" i="1"/>
  <c r="T140" i="1" s="1"/>
  <c r="V140" i="1" s="1"/>
  <c r="S364" i="1"/>
  <c r="T364" i="1" s="1"/>
  <c r="S460" i="1"/>
  <c r="T460" i="1" s="1"/>
  <c r="S556" i="1"/>
  <c r="T556" i="1" s="1"/>
  <c r="S96" i="1"/>
  <c r="T96" i="1" s="1"/>
  <c r="S160" i="1"/>
  <c r="T160" i="1" s="1"/>
  <c r="S192" i="1"/>
  <c r="T192" i="1" s="1"/>
  <c r="S309" i="1"/>
  <c r="T309" i="1" s="1"/>
  <c r="V309" i="1" s="1"/>
  <c r="S38" i="1"/>
  <c r="T38" i="1" s="1"/>
  <c r="S230" i="1"/>
  <c r="T230" i="1" s="1"/>
  <c r="V230" i="1" s="1"/>
  <c r="S598" i="1"/>
  <c r="S125" i="1"/>
  <c r="S509" i="1"/>
  <c r="T509" i="1" s="1"/>
  <c r="S226" i="1"/>
  <c r="T226" i="1" s="1"/>
  <c r="V226" i="1" s="1"/>
  <c r="S242" i="1"/>
  <c r="T242" i="1" s="1"/>
  <c r="S258" i="1"/>
  <c r="T258" i="1" s="1"/>
  <c r="S274" i="1"/>
  <c r="T274" i="1" s="1"/>
  <c r="S306" i="1"/>
  <c r="T306" i="1" s="1"/>
  <c r="S322" i="1"/>
  <c r="T322" i="1" s="1"/>
  <c r="S338" i="1"/>
  <c r="T338" i="1" s="1"/>
  <c r="S354" i="1"/>
  <c r="T354" i="1" s="1"/>
  <c r="S370" i="1"/>
  <c r="T370" i="1" s="1"/>
  <c r="S386" i="1"/>
  <c r="T386" i="1" s="1"/>
  <c r="S402" i="1"/>
  <c r="T402" i="1" s="1"/>
  <c r="S418" i="1"/>
  <c r="T418" i="1" s="1"/>
  <c r="S434" i="1"/>
  <c r="T434" i="1" s="1"/>
  <c r="S450" i="1"/>
  <c r="T450" i="1" s="1"/>
  <c r="S466" i="1"/>
  <c r="T466" i="1" s="1"/>
  <c r="S482" i="1"/>
  <c r="T482" i="1" s="1"/>
  <c r="S498" i="1"/>
  <c r="T498" i="1" s="1"/>
  <c r="S514" i="1"/>
  <c r="T514" i="1" s="1"/>
  <c r="S530" i="1"/>
  <c r="T530" i="1" s="1"/>
  <c r="S546" i="1"/>
  <c r="T546" i="1" s="1"/>
  <c r="S562" i="1"/>
  <c r="T562" i="1" s="1"/>
  <c r="S578" i="1"/>
  <c r="T578" i="1" s="1"/>
  <c r="S594" i="1"/>
  <c r="T594" i="1" s="1"/>
  <c r="S610" i="1"/>
  <c r="T610" i="1" s="1"/>
  <c r="S626" i="1"/>
  <c r="T626" i="1" s="1"/>
  <c r="Q573" i="1" a="1"/>
  <c r="Q573" i="1" s="1"/>
  <c r="S573" i="1" s="1"/>
  <c r="Q541" i="1" a="1"/>
  <c r="Q541" i="1" s="1"/>
  <c r="S541" i="1" s="1"/>
  <c r="T541" i="1" s="1"/>
  <c r="V541" i="1" s="1"/>
  <c r="Q381" i="1" a="1"/>
  <c r="Q381" i="1" s="1"/>
  <c r="S381" i="1" s="1"/>
  <c r="T381" i="1" s="1"/>
  <c r="V381" i="1" s="1"/>
  <c r="Q349" i="1" a="1"/>
  <c r="Q349" i="1" s="1"/>
  <c r="S349" i="1" s="1"/>
  <c r="T349" i="1" s="1"/>
  <c r="V349" i="1" s="1"/>
  <c r="Q333" i="1" a="1"/>
  <c r="Q333" i="1" s="1"/>
  <c r="S333" i="1" s="1"/>
  <c r="T333" i="1" s="1"/>
  <c r="V333" i="1" s="1"/>
  <c r="Q285" i="1" a="1"/>
  <c r="Q285" i="1" s="1"/>
  <c r="Q189" i="1" a="1"/>
  <c r="Q189" i="1" s="1"/>
  <c r="S109" i="1"/>
  <c r="T109" i="1" s="1"/>
  <c r="S365" i="1"/>
  <c r="T365" i="1" s="1"/>
  <c r="V365" i="1" s="1"/>
  <c r="S18" i="1"/>
  <c r="S98" i="1"/>
  <c r="S162" i="1"/>
  <c r="T162" i="1" s="1"/>
  <c r="V162" i="1" s="1"/>
  <c r="S35" i="1"/>
  <c r="T35" i="1" s="1"/>
  <c r="V35" i="1" s="1"/>
  <c r="S99" i="1"/>
  <c r="S227" i="1"/>
  <c r="T227" i="1" s="1"/>
  <c r="V227" i="1" s="1"/>
  <c r="S339" i="1"/>
  <c r="S387" i="1"/>
  <c r="S451" i="1"/>
  <c r="T451" i="1" s="1"/>
  <c r="V451" i="1" s="1"/>
  <c r="S499" i="1"/>
  <c r="T499" i="1" s="1"/>
  <c r="V499" i="1" s="1"/>
  <c r="S547" i="1"/>
  <c r="T547" i="1" s="1"/>
  <c r="V547" i="1" s="1"/>
  <c r="S611" i="1"/>
  <c r="T611" i="1" s="1"/>
  <c r="V611" i="1" s="1"/>
  <c r="Q572" i="1" a="1"/>
  <c r="Q572" i="1" s="1"/>
  <c r="S572" i="1" s="1"/>
  <c r="Q412" i="1" a="1"/>
  <c r="Q412" i="1" s="1"/>
  <c r="S412" i="1" s="1"/>
  <c r="Q396" i="1" a="1"/>
  <c r="Q396" i="1" s="1"/>
  <c r="S396" i="1" s="1"/>
  <c r="T396" i="1" s="1"/>
  <c r="Q332" i="1" a="1"/>
  <c r="Q332" i="1" s="1"/>
  <c r="S332" i="1" s="1"/>
  <c r="Q188" i="1" a="1"/>
  <c r="Q188" i="1" s="1"/>
  <c r="S188" i="1" s="1"/>
  <c r="T188" i="1" s="1"/>
  <c r="V188" i="1" s="1"/>
  <c r="Q172" i="1" a="1"/>
  <c r="Q172" i="1" s="1"/>
  <c r="S172" i="1" s="1"/>
  <c r="T172" i="1" s="1"/>
  <c r="V172" i="1" s="1"/>
  <c r="Q44" i="1" a="1"/>
  <c r="Q44" i="1" s="1"/>
  <c r="Q28" i="1" a="1"/>
  <c r="Q28" i="1" s="1"/>
  <c r="S28" i="1" s="1"/>
  <c r="T28" i="1" s="1"/>
  <c r="S13" i="1"/>
  <c r="T13" i="1" s="1"/>
  <c r="V13" i="1" s="1"/>
  <c r="S173" i="1"/>
  <c r="T173" i="1" s="1"/>
  <c r="S317" i="1"/>
  <c r="T317" i="1" s="1"/>
  <c r="V317" i="1" s="1"/>
  <c r="S477" i="1"/>
  <c r="T477" i="1" s="1"/>
  <c r="S605" i="1"/>
  <c r="T605" i="1" s="1"/>
  <c r="S66" i="1"/>
  <c r="T66" i="1" s="1"/>
  <c r="V66" i="1" s="1"/>
  <c r="S130" i="1"/>
  <c r="S178" i="1"/>
  <c r="T178" i="1" s="1"/>
  <c r="V178" i="1" s="1"/>
  <c r="S19" i="1"/>
  <c r="T19" i="1" s="1"/>
  <c r="V19" i="1" s="1"/>
  <c r="S83" i="1"/>
  <c r="T83" i="1" s="1"/>
  <c r="V83" i="1" s="1"/>
  <c r="S147" i="1"/>
  <c r="T147" i="1" s="1"/>
  <c r="S195" i="1"/>
  <c r="S243" i="1"/>
  <c r="S323" i="1"/>
  <c r="S371" i="1"/>
  <c r="S419" i="1"/>
  <c r="T419" i="1" s="1"/>
  <c r="V419" i="1" s="1"/>
  <c r="S467" i="1"/>
  <c r="T467" i="1" s="1"/>
  <c r="V467" i="1" s="1"/>
  <c r="S515" i="1"/>
  <c r="T515" i="1" s="1"/>
  <c r="V515" i="1" s="1"/>
  <c r="S563" i="1"/>
  <c r="T563" i="1" s="1"/>
  <c r="V563" i="1" s="1"/>
  <c r="S595" i="1"/>
  <c r="T595" i="1" s="1"/>
  <c r="V595" i="1" s="1"/>
  <c r="S36" i="1"/>
  <c r="T36" i="1" s="1"/>
  <c r="V36" i="1" s="1"/>
  <c r="S52" i="1"/>
  <c r="T52" i="1" s="1"/>
  <c r="V52" i="1" s="1"/>
  <c r="S100" i="1"/>
  <c r="T100" i="1" s="1"/>
  <c r="V100" i="1" s="1"/>
  <c r="S116" i="1"/>
  <c r="T116" i="1" s="1"/>
  <c r="V116" i="1" s="1"/>
  <c r="S132" i="1"/>
  <c r="T132" i="1" s="1"/>
  <c r="V132" i="1" s="1"/>
  <c r="S164" i="1"/>
  <c r="T164" i="1" s="1"/>
  <c r="V164" i="1" s="1"/>
  <c r="S180" i="1"/>
  <c r="T180" i="1" s="1"/>
  <c r="V180" i="1" s="1"/>
  <c r="S212" i="1"/>
  <c r="S228" i="1"/>
  <c r="S244" i="1"/>
  <c r="S260" i="1"/>
  <c r="S276" i="1"/>
  <c r="S308" i="1"/>
  <c r="T308" i="1" s="1"/>
  <c r="V308" i="1" s="1"/>
  <c r="S324" i="1"/>
  <c r="T324" i="1" s="1"/>
  <c r="V324" i="1" s="1"/>
  <c r="S340" i="1"/>
  <c r="S356" i="1"/>
  <c r="T356" i="1" s="1"/>
  <c r="V356" i="1" s="1"/>
  <c r="S372" i="1"/>
  <c r="S420" i="1"/>
  <c r="T420" i="1" s="1"/>
  <c r="V420" i="1" s="1"/>
  <c r="S436" i="1"/>
  <c r="T436" i="1" s="1"/>
  <c r="V436" i="1" s="1"/>
  <c r="S452" i="1"/>
  <c r="S468" i="1"/>
  <c r="T468" i="1" s="1"/>
  <c r="V468" i="1" s="1"/>
  <c r="S484" i="1"/>
  <c r="T484" i="1" s="1"/>
  <c r="V484" i="1" s="1"/>
  <c r="S500" i="1"/>
  <c r="T500" i="1" s="1"/>
  <c r="V500" i="1" s="1"/>
  <c r="S516" i="1"/>
  <c r="S532" i="1"/>
  <c r="S548" i="1"/>
  <c r="S564" i="1"/>
  <c r="S580" i="1"/>
  <c r="S596" i="1"/>
  <c r="T596" i="1" s="1"/>
  <c r="S612" i="1"/>
  <c r="S628" i="1"/>
  <c r="T628" i="1" s="1"/>
  <c r="V628" i="1" s="1"/>
  <c r="Q539" i="1" a="1"/>
  <c r="Q539" i="1" s="1"/>
  <c r="S539" i="1" s="1"/>
  <c r="T539" i="1" s="1"/>
  <c r="V539" i="1" s="1"/>
  <c r="Q171" i="1" a="1"/>
  <c r="Q171" i="1" s="1"/>
  <c r="S253" i="1"/>
  <c r="T253" i="1" s="1"/>
  <c r="V253" i="1" s="1"/>
  <c r="S429" i="1"/>
  <c r="T429" i="1" s="1"/>
  <c r="S637" i="1"/>
  <c r="T637" i="1" s="1"/>
  <c r="S51" i="1"/>
  <c r="S131" i="1"/>
  <c r="T131" i="1" s="1"/>
  <c r="V131" i="1" s="1"/>
  <c r="S179" i="1"/>
  <c r="T179" i="1" s="1"/>
  <c r="S211" i="1"/>
  <c r="S259" i="1"/>
  <c r="S307" i="1"/>
  <c r="T307" i="1" s="1"/>
  <c r="S403" i="1"/>
  <c r="T403" i="1" s="1"/>
  <c r="S435" i="1"/>
  <c r="T435" i="1" s="1"/>
  <c r="V435" i="1" s="1"/>
  <c r="S531" i="1"/>
  <c r="T531" i="1" s="1"/>
  <c r="V531" i="1" s="1"/>
  <c r="S579" i="1"/>
  <c r="T579" i="1" s="1"/>
  <c r="V579" i="1" s="1"/>
  <c r="S627" i="1"/>
  <c r="T627" i="1" s="1"/>
  <c r="V627" i="1" s="1"/>
  <c r="S5" i="1"/>
  <c r="T5" i="1" s="1"/>
  <c r="S21" i="1"/>
  <c r="T21" i="1" s="1"/>
  <c r="V21" i="1" s="1"/>
  <c r="S37" i="1"/>
  <c r="T37" i="1" s="1"/>
  <c r="V37" i="1" s="1"/>
  <c r="S53" i="1"/>
  <c r="T53" i="1" s="1"/>
  <c r="S69" i="1"/>
  <c r="T69" i="1" s="1"/>
  <c r="S85" i="1"/>
  <c r="T85" i="1" s="1"/>
  <c r="V85" i="1" s="1"/>
  <c r="S101" i="1"/>
  <c r="T101" i="1" s="1"/>
  <c r="S117" i="1"/>
  <c r="T117" i="1" s="1"/>
  <c r="V117" i="1" s="1"/>
  <c r="S133" i="1"/>
  <c r="S149" i="1"/>
  <c r="T149" i="1" s="1"/>
  <c r="S165" i="1"/>
  <c r="S181" i="1"/>
  <c r="T181" i="1" s="1"/>
  <c r="V181" i="1" s="1"/>
  <c r="S197" i="1"/>
  <c r="T197" i="1" s="1"/>
  <c r="V197" i="1" s="1"/>
  <c r="S213" i="1"/>
  <c r="T213" i="1" s="1"/>
  <c r="V213" i="1" s="1"/>
  <c r="S229" i="1"/>
  <c r="T229" i="1" s="1"/>
  <c r="V229" i="1" s="1"/>
  <c r="S245" i="1"/>
  <c r="T245" i="1" s="1"/>
  <c r="V245" i="1" s="1"/>
  <c r="S261" i="1"/>
  <c r="T261" i="1" s="1"/>
  <c r="V261" i="1" s="1"/>
  <c r="S277" i="1"/>
  <c r="T277" i="1" s="1"/>
  <c r="V277" i="1" s="1"/>
  <c r="S293" i="1"/>
  <c r="T293" i="1" s="1"/>
  <c r="V293" i="1" s="1"/>
  <c r="S325" i="1"/>
  <c r="T325" i="1" s="1"/>
  <c r="V325" i="1" s="1"/>
  <c r="S341" i="1"/>
  <c r="T341" i="1" s="1"/>
  <c r="V341" i="1" s="1"/>
  <c r="S357" i="1"/>
  <c r="S373" i="1"/>
  <c r="T373" i="1" s="1"/>
  <c r="S389" i="1"/>
  <c r="T389" i="1" s="1"/>
  <c r="S405" i="1"/>
  <c r="T405" i="1" s="1"/>
  <c r="S421" i="1"/>
  <c r="T421" i="1" s="1"/>
  <c r="S437" i="1"/>
  <c r="T437" i="1" s="1"/>
  <c r="S453" i="1"/>
  <c r="T453" i="1" s="1"/>
  <c r="S469" i="1"/>
  <c r="T469" i="1" s="1"/>
  <c r="S485" i="1"/>
  <c r="T485" i="1" s="1"/>
  <c r="S501" i="1"/>
  <c r="T501" i="1" s="1"/>
  <c r="S517" i="1"/>
  <c r="T517" i="1" s="1"/>
  <c r="S533" i="1"/>
  <c r="T533" i="1" s="1"/>
  <c r="S549" i="1"/>
  <c r="T549" i="1" s="1"/>
  <c r="S565" i="1"/>
  <c r="T565" i="1" s="1"/>
  <c r="S581" i="1"/>
  <c r="T581" i="1" s="1"/>
  <c r="S597" i="1"/>
  <c r="T597" i="1" s="1"/>
  <c r="S613" i="1"/>
  <c r="T613" i="1" s="1"/>
  <c r="S629" i="1"/>
  <c r="T629" i="1" s="1"/>
  <c r="V629" i="1" s="1"/>
  <c r="Q570" i="1" a="1"/>
  <c r="Q570" i="1" s="1"/>
  <c r="S570" i="1" s="1"/>
  <c r="Q538" i="1" a="1"/>
  <c r="Q538" i="1" s="1"/>
  <c r="S538" i="1" s="1"/>
  <c r="Q362" i="1" a="1"/>
  <c r="Q362" i="1" s="1"/>
  <c r="S362" i="1" s="1"/>
  <c r="Q346" i="1" a="1"/>
  <c r="Q346" i="1" s="1"/>
  <c r="S346" i="1" s="1"/>
  <c r="Q186" i="1" a="1"/>
  <c r="Q186" i="1" s="1"/>
  <c r="S186" i="1" s="1"/>
  <c r="Q122" i="1" a="1"/>
  <c r="Q122" i="1" s="1"/>
  <c r="S122" i="1" s="1"/>
  <c r="S61" i="1"/>
  <c r="T61" i="1" s="1"/>
  <c r="V61" i="1" s="1"/>
  <c r="S269" i="1"/>
  <c r="T269" i="1" s="1"/>
  <c r="V269" i="1" s="1"/>
  <c r="S397" i="1"/>
  <c r="T397" i="1" s="1"/>
  <c r="V397" i="1" s="1"/>
  <c r="S589" i="1"/>
  <c r="T589" i="1" s="1"/>
  <c r="S34" i="1"/>
  <c r="S82" i="1"/>
  <c r="T82" i="1" s="1"/>
  <c r="V82" i="1" s="1"/>
  <c r="S210" i="1"/>
  <c r="T210" i="1" s="1"/>
  <c r="V210" i="1" s="1"/>
  <c r="S67" i="1"/>
  <c r="T67" i="1" s="1"/>
  <c r="V67" i="1" s="1"/>
  <c r="S22" i="1"/>
  <c r="T22" i="1" s="1"/>
  <c r="V22" i="1" s="1"/>
  <c r="S54" i="1"/>
  <c r="T54" i="1" s="1"/>
  <c r="V54" i="1" s="1"/>
  <c r="S86" i="1"/>
  <c r="T86" i="1" s="1"/>
  <c r="V86" i="1" s="1"/>
  <c r="S118" i="1"/>
  <c r="S182" i="1"/>
  <c r="T182" i="1" s="1"/>
  <c r="V182" i="1" s="1"/>
  <c r="S214" i="1"/>
  <c r="T214" i="1" s="1"/>
  <c r="V214" i="1" s="1"/>
  <c r="S246" i="1"/>
  <c r="S278" i="1"/>
  <c r="T278" i="1" s="1"/>
  <c r="V278" i="1" s="1"/>
  <c r="S310" i="1"/>
  <c r="S342" i="1"/>
  <c r="T342" i="1" s="1"/>
  <c r="S374" i="1"/>
  <c r="T374" i="1" s="1"/>
  <c r="S406" i="1"/>
  <c r="T406" i="1" s="1"/>
  <c r="V406" i="1" s="1"/>
  <c r="S438" i="1"/>
  <c r="T438" i="1" s="1"/>
  <c r="V438" i="1" s="1"/>
  <c r="S470" i="1"/>
  <c r="T470" i="1" s="1"/>
  <c r="V470" i="1" s="1"/>
  <c r="S502" i="1"/>
  <c r="T502" i="1" s="1"/>
  <c r="V502" i="1" s="1"/>
  <c r="S566" i="1"/>
  <c r="S614" i="1"/>
  <c r="T614" i="1" s="1"/>
  <c r="V614" i="1" s="1"/>
  <c r="Q569" i="1" a="1"/>
  <c r="Q569" i="1" s="1"/>
  <c r="S569" i="1" s="1"/>
  <c r="T569" i="1" s="1"/>
  <c r="V569" i="1" s="1"/>
  <c r="Q537" i="1" a="1"/>
  <c r="Q537" i="1" s="1"/>
  <c r="S537" i="1" s="1"/>
  <c r="T537" i="1" s="1"/>
  <c r="V537" i="1" s="1"/>
  <c r="Q361" i="1" a="1"/>
  <c r="Q361" i="1" s="1"/>
  <c r="S361" i="1" s="1"/>
  <c r="T361" i="1" s="1"/>
  <c r="V361" i="1" s="1"/>
  <c r="Q329" i="1" a="1"/>
  <c r="Q329" i="1" s="1"/>
  <c r="S329" i="1" s="1"/>
  <c r="T329" i="1" s="1"/>
  <c r="V329" i="1" s="1"/>
  <c r="Q137" i="1" a="1"/>
  <c r="Q137" i="1" s="1"/>
  <c r="S137" i="1" s="1"/>
  <c r="T137" i="1" s="1"/>
  <c r="V137" i="1" s="1"/>
  <c r="Q121" i="1" a="1"/>
  <c r="Q121" i="1" s="1"/>
  <c r="S121" i="1" s="1"/>
  <c r="T121" i="1" s="1"/>
  <c r="V121" i="1" s="1"/>
  <c r="S157" i="1"/>
  <c r="T157" i="1" s="1"/>
  <c r="S301" i="1"/>
  <c r="T301" i="1" s="1"/>
  <c r="V301" i="1" s="1"/>
  <c r="S461" i="1"/>
  <c r="T461" i="1" s="1"/>
  <c r="S557" i="1"/>
  <c r="T557" i="1" s="1"/>
  <c r="S50" i="1"/>
  <c r="T50" i="1" s="1"/>
  <c r="V50" i="1" s="1"/>
  <c r="S194" i="1"/>
  <c r="T194" i="1" s="1"/>
  <c r="V194" i="1" s="1"/>
  <c r="S115" i="1"/>
  <c r="T115" i="1" s="1"/>
  <c r="V115" i="1" s="1"/>
  <c r="S6" i="1"/>
  <c r="T6" i="1" s="1"/>
  <c r="S70" i="1"/>
  <c r="T70" i="1" s="1"/>
  <c r="V70" i="1" s="1"/>
  <c r="S102" i="1"/>
  <c r="T102" i="1" s="1"/>
  <c r="S166" i="1"/>
  <c r="S198" i="1"/>
  <c r="T198" i="1" s="1"/>
  <c r="V198" i="1" s="1"/>
  <c r="S262" i="1"/>
  <c r="T262" i="1" s="1"/>
  <c r="S294" i="1"/>
  <c r="S390" i="1"/>
  <c r="T390" i="1" s="1"/>
  <c r="S422" i="1"/>
  <c r="S454" i="1"/>
  <c r="T454" i="1" s="1"/>
  <c r="S486" i="1"/>
  <c r="T486" i="1" s="1"/>
  <c r="V486" i="1" s="1"/>
  <c r="S582" i="1"/>
  <c r="T582" i="1" s="1"/>
  <c r="V582" i="1" s="1"/>
  <c r="S630" i="1"/>
  <c r="T630" i="1" s="1"/>
  <c r="V630" i="1" s="1"/>
  <c r="S23" i="1"/>
  <c r="T23" i="1" s="1"/>
  <c r="S55" i="1"/>
  <c r="T55" i="1" s="1"/>
  <c r="V55" i="1" s="1"/>
  <c r="S71" i="1"/>
  <c r="T71" i="1" s="1"/>
  <c r="V71" i="1" s="1"/>
  <c r="S103" i="1"/>
  <c r="T103" i="1" s="1"/>
  <c r="V103" i="1" s="1"/>
  <c r="S119" i="1"/>
  <c r="S135" i="1"/>
  <c r="T135" i="1" s="1"/>
  <c r="V135" i="1" s="1"/>
  <c r="S151" i="1"/>
  <c r="T151" i="1" s="1"/>
  <c r="V151" i="1" s="1"/>
  <c r="S167" i="1"/>
  <c r="T167" i="1" s="1"/>
  <c r="V167" i="1" s="1"/>
  <c r="S199" i="1"/>
  <c r="T199" i="1" s="1"/>
  <c r="V199" i="1" s="1"/>
  <c r="S215" i="1"/>
  <c r="T215" i="1" s="1"/>
  <c r="V215" i="1" s="1"/>
  <c r="S231" i="1"/>
  <c r="T231" i="1" s="1"/>
  <c r="V231" i="1" s="1"/>
  <c r="S247" i="1"/>
  <c r="S263" i="1"/>
  <c r="T263" i="1" s="1"/>
  <c r="S279" i="1"/>
  <c r="T279" i="1" s="1"/>
  <c r="S295" i="1"/>
  <c r="T295" i="1" s="1"/>
  <c r="V295" i="1" s="1"/>
  <c r="S311" i="1"/>
  <c r="T311" i="1" s="1"/>
  <c r="S343" i="1"/>
  <c r="T343" i="1" s="1"/>
  <c r="S359" i="1"/>
  <c r="T359" i="1" s="1"/>
  <c r="V359" i="1" s="1"/>
  <c r="S375" i="1"/>
  <c r="T375" i="1" s="1"/>
  <c r="S391" i="1"/>
  <c r="T391" i="1" s="1"/>
  <c r="S423" i="1"/>
  <c r="S439" i="1"/>
  <c r="T439" i="1" s="1"/>
  <c r="V439" i="1" s="1"/>
  <c r="S455" i="1"/>
  <c r="T455" i="1" s="1"/>
  <c r="S471" i="1"/>
  <c r="T471" i="1" s="1"/>
  <c r="S487" i="1"/>
  <c r="T487" i="1" s="1"/>
  <c r="V487" i="1" s="1"/>
  <c r="S503" i="1"/>
  <c r="T503" i="1" s="1"/>
  <c r="V503" i="1" s="1"/>
  <c r="S519" i="1"/>
  <c r="T519" i="1" s="1"/>
  <c r="S551" i="1"/>
  <c r="S567" i="1"/>
  <c r="T567" i="1" s="1"/>
  <c r="S583" i="1"/>
  <c r="T583" i="1" s="1"/>
  <c r="S599" i="1"/>
  <c r="T599" i="1" s="1"/>
  <c r="S615" i="1"/>
  <c r="T615" i="1" s="1"/>
  <c r="V615" i="1" s="1"/>
  <c r="S631" i="1"/>
  <c r="T631" i="1" s="1"/>
  <c r="S492" i="1"/>
  <c r="T492" i="1" s="1"/>
  <c r="S292" i="1"/>
  <c r="Q536" i="1" a="1"/>
  <c r="Q536" i="1" s="1"/>
  <c r="S536" i="1" s="1"/>
  <c r="T536" i="1" s="1"/>
  <c r="Q408" i="1" a="1"/>
  <c r="Q408" i="1" s="1"/>
  <c r="S408" i="1" s="1"/>
  <c r="T408" i="1" s="1"/>
  <c r="Q360" i="1" a="1"/>
  <c r="Q360" i="1" s="1"/>
  <c r="S360" i="1" s="1"/>
  <c r="T360" i="1" s="1"/>
  <c r="Q296" i="1" a="1"/>
  <c r="Q296" i="1" s="1"/>
  <c r="S296" i="1" s="1"/>
  <c r="T296" i="1" s="1"/>
  <c r="Q280" i="1" a="1"/>
  <c r="Q280" i="1" s="1"/>
  <c r="S280" i="1" s="1"/>
  <c r="T280" i="1" s="1"/>
  <c r="Q200" i="1" a="1"/>
  <c r="Q200" i="1" s="1"/>
  <c r="S200" i="1" s="1"/>
  <c r="T200" i="1" s="1"/>
  <c r="V200" i="1" s="1"/>
  <c r="Q184" i="1" a="1"/>
  <c r="Q184" i="1" s="1"/>
  <c r="S184" i="1" s="1"/>
  <c r="Q120" i="1" a="1"/>
  <c r="Q120" i="1" s="1"/>
  <c r="S120" i="1" s="1"/>
  <c r="T120" i="1" s="1"/>
  <c r="V120" i="1" s="1"/>
  <c r="Q40" i="1" a="1"/>
  <c r="Q40" i="1" s="1"/>
  <c r="S40" i="1" s="1"/>
  <c r="T40" i="1" s="1"/>
  <c r="V40" i="1" s="1"/>
  <c r="Q8" i="1" a="1"/>
  <c r="Q8" i="1" s="1"/>
  <c r="S8" i="1" s="1"/>
  <c r="T8" i="1" s="1"/>
  <c r="V8" i="1" s="1"/>
  <c r="S483" i="1"/>
  <c r="T483" i="1" s="1"/>
  <c r="V483" i="1" s="1"/>
  <c r="S355" i="1"/>
  <c r="S275" i="1"/>
  <c r="S163" i="1"/>
  <c r="T163" i="1" s="1"/>
  <c r="V163" i="1" s="1"/>
  <c r="Q535" i="1" a="1"/>
  <c r="Q535" i="1" s="1"/>
  <c r="S535" i="1" s="1"/>
  <c r="T535" i="1" s="1"/>
  <c r="V535" i="1" s="1"/>
  <c r="Q407" i="1" a="1"/>
  <c r="Q407" i="1" s="1"/>
  <c r="S407" i="1" s="1"/>
  <c r="T407" i="1" s="1"/>
  <c r="V407" i="1" s="1"/>
  <c r="Q327" i="1" a="1"/>
  <c r="Q327" i="1" s="1"/>
  <c r="S327" i="1" s="1"/>
  <c r="Q183" i="1" a="1"/>
  <c r="Q183" i="1" s="1"/>
  <c r="S183" i="1" s="1"/>
  <c r="Q39" i="1" a="1"/>
  <c r="Q39" i="1" s="1"/>
  <c r="S39" i="1" s="1"/>
  <c r="T39" i="1" s="1"/>
  <c r="V39" i="1" s="1"/>
  <c r="Q7" i="1" a="1"/>
  <c r="Q7" i="1" s="1"/>
  <c r="S7" i="1" s="1"/>
  <c r="T7" i="1" s="1"/>
  <c r="S45" i="1"/>
  <c r="T45" i="1" s="1"/>
  <c r="V45" i="1" s="1"/>
  <c r="S205" i="1"/>
  <c r="S9" i="1"/>
  <c r="S25" i="1"/>
  <c r="T25" i="1" s="1"/>
  <c r="V25" i="1" s="1"/>
  <c r="S41" i="1"/>
  <c r="S57" i="1"/>
  <c r="S73" i="1"/>
  <c r="T73" i="1" s="1"/>
  <c r="V73" i="1" s="1"/>
  <c r="S89" i="1"/>
  <c r="S105" i="1"/>
  <c r="T105" i="1" s="1"/>
  <c r="V105" i="1" s="1"/>
  <c r="S153" i="1"/>
  <c r="T153" i="1" s="1"/>
  <c r="S169" i="1"/>
  <c r="T169" i="1" s="1"/>
  <c r="V169" i="1" s="1"/>
  <c r="S185" i="1"/>
  <c r="T185" i="1" s="1"/>
  <c r="V185" i="1" s="1"/>
  <c r="S201" i="1"/>
  <c r="T201" i="1" s="1"/>
  <c r="S217" i="1"/>
  <c r="T217" i="1" s="1"/>
  <c r="S233" i="1"/>
  <c r="T233" i="1" s="1"/>
  <c r="V233" i="1" s="1"/>
  <c r="S249" i="1"/>
  <c r="S265" i="1"/>
  <c r="T265" i="1" s="1"/>
  <c r="V265" i="1" s="1"/>
  <c r="S281" i="1"/>
  <c r="S313" i="1"/>
  <c r="T313" i="1" s="1"/>
  <c r="V313" i="1" s="1"/>
  <c r="S345" i="1"/>
  <c r="T345" i="1" s="1"/>
  <c r="S377" i="1"/>
  <c r="S393" i="1"/>
  <c r="T393" i="1" s="1"/>
  <c r="V393" i="1" s="1"/>
  <c r="S409" i="1"/>
  <c r="T409" i="1" s="1"/>
  <c r="S425" i="1"/>
  <c r="T425" i="1" s="1"/>
  <c r="V425" i="1" s="1"/>
  <c r="S441" i="1"/>
  <c r="T441" i="1" s="1"/>
  <c r="V441" i="1" s="1"/>
  <c r="S457" i="1"/>
  <c r="T457" i="1" s="1"/>
  <c r="V457" i="1" s="1"/>
  <c r="S473" i="1"/>
  <c r="T473" i="1" s="1"/>
  <c r="S489" i="1"/>
  <c r="T489" i="1" s="1"/>
  <c r="V489" i="1" s="1"/>
  <c r="S505" i="1"/>
  <c r="T505" i="1" s="1"/>
  <c r="V505" i="1" s="1"/>
  <c r="S521" i="1"/>
  <c r="T521" i="1" s="1"/>
  <c r="V521" i="1" s="1"/>
  <c r="S585" i="1"/>
  <c r="S601" i="1"/>
  <c r="T601" i="1" s="1"/>
  <c r="S617" i="1"/>
  <c r="T617" i="1" s="1"/>
  <c r="S633" i="1"/>
  <c r="T633" i="1" s="1"/>
  <c r="V633" i="1" s="1"/>
  <c r="Q550" i="1" a="1"/>
  <c r="Q550" i="1" s="1"/>
  <c r="S550" i="1" s="1"/>
  <c r="T550" i="1" s="1"/>
  <c r="V550" i="1" s="1"/>
  <c r="Q358" i="1" a="1"/>
  <c r="Q358" i="1" s="1"/>
  <c r="S358" i="1" s="1"/>
  <c r="T358" i="1" s="1"/>
  <c r="V358" i="1" s="1"/>
  <c r="Q326" i="1" a="1"/>
  <c r="Q326" i="1" s="1"/>
  <c r="S326" i="1" s="1"/>
  <c r="T326" i="1" s="1"/>
  <c r="V326" i="1" s="1"/>
  <c r="Q150" i="1" a="1"/>
  <c r="Q150" i="1" s="1"/>
  <c r="S150" i="1" s="1"/>
  <c r="Q134" i="1" a="1"/>
  <c r="Q134" i="1" s="1"/>
  <c r="S134" i="1" s="1"/>
  <c r="S11" i="1"/>
  <c r="T11" i="1" s="1"/>
  <c r="S27" i="1"/>
  <c r="T27" i="1" s="1"/>
  <c r="S43" i="1"/>
  <c r="T43" i="1" s="1"/>
  <c r="S59" i="1"/>
  <c r="T59" i="1" s="1"/>
  <c r="S75" i="1"/>
  <c r="T75" i="1" s="1"/>
  <c r="S91" i="1"/>
  <c r="T91" i="1" s="1"/>
  <c r="S107" i="1"/>
  <c r="T107" i="1" s="1"/>
  <c r="S123" i="1"/>
  <c r="T123" i="1" s="1"/>
  <c r="V123" i="1" s="1"/>
  <c r="S139" i="1"/>
  <c r="T139" i="1" s="1"/>
  <c r="V139" i="1" s="1"/>
  <c r="S155" i="1"/>
  <c r="T155" i="1" s="1"/>
  <c r="S171" i="1"/>
  <c r="T171" i="1" s="1"/>
  <c r="S187" i="1"/>
  <c r="T187" i="1" s="1"/>
  <c r="S203" i="1"/>
  <c r="T203" i="1" s="1"/>
  <c r="S219" i="1"/>
  <c r="T219" i="1" s="1"/>
  <c r="S235" i="1"/>
  <c r="T235" i="1" s="1"/>
  <c r="S251" i="1"/>
  <c r="T251" i="1" s="1"/>
  <c r="S267" i="1"/>
  <c r="T267" i="1" s="1"/>
  <c r="S283" i="1"/>
  <c r="T283" i="1" s="1"/>
  <c r="S299" i="1"/>
  <c r="T299" i="1" s="1"/>
  <c r="S315" i="1"/>
  <c r="T315" i="1" s="1"/>
  <c r="S331" i="1"/>
  <c r="T331" i="1" s="1"/>
  <c r="S347" i="1"/>
  <c r="T347" i="1" s="1"/>
  <c r="S363" i="1"/>
  <c r="T363" i="1" s="1"/>
  <c r="S379" i="1"/>
  <c r="T379" i="1" s="1"/>
  <c r="S395" i="1"/>
  <c r="T395" i="1" s="1"/>
  <c r="S411" i="1"/>
  <c r="T411" i="1" s="1"/>
  <c r="S427" i="1"/>
  <c r="T427" i="1" s="1"/>
  <c r="V427" i="1" s="1"/>
  <c r="S443" i="1"/>
  <c r="T443" i="1" s="1"/>
  <c r="V443" i="1" s="1"/>
  <c r="S459" i="1"/>
  <c r="T459" i="1" s="1"/>
  <c r="V459" i="1" s="1"/>
  <c r="S475" i="1"/>
  <c r="T475" i="1" s="1"/>
  <c r="V475" i="1" s="1"/>
  <c r="S491" i="1"/>
  <c r="T491" i="1" s="1"/>
  <c r="V491" i="1" s="1"/>
  <c r="S507" i="1"/>
  <c r="T507" i="1" s="1"/>
  <c r="V507" i="1" s="1"/>
  <c r="S523" i="1"/>
  <c r="T523" i="1" s="1"/>
  <c r="V523" i="1" s="1"/>
  <c r="S555" i="1"/>
  <c r="T555" i="1" s="1"/>
  <c r="V555" i="1" s="1"/>
  <c r="S571" i="1"/>
  <c r="T571" i="1" s="1"/>
  <c r="V571" i="1" s="1"/>
  <c r="S587" i="1"/>
  <c r="T587" i="1" s="1"/>
  <c r="V587" i="1" s="1"/>
  <c r="S603" i="1"/>
  <c r="T603" i="1" s="1"/>
  <c r="V603" i="1" s="1"/>
  <c r="S619" i="1"/>
  <c r="T619" i="1" s="1"/>
  <c r="S635" i="1"/>
  <c r="T635" i="1" s="1"/>
  <c r="S128" i="1"/>
  <c r="T128" i="1" s="1"/>
  <c r="S608" i="1"/>
  <c r="T608" i="1" s="1"/>
  <c r="S4" i="1"/>
  <c r="T4" i="1" s="1"/>
  <c r="V4" i="1" s="1"/>
  <c r="Q404" i="1" a="1"/>
  <c r="Q404" i="1" s="1"/>
  <c r="S404" i="1" s="1"/>
  <c r="Q388" i="1" a="1"/>
  <c r="Q388" i="1" s="1"/>
  <c r="S388" i="1" s="1"/>
  <c r="T388" i="1" s="1"/>
  <c r="V388" i="1" s="1"/>
  <c r="Q196" i="1" a="1"/>
  <c r="Q196" i="1" s="1"/>
  <c r="S196" i="1" s="1"/>
  <c r="T196" i="1" s="1"/>
  <c r="V196" i="1" s="1"/>
  <c r="Q148" i="1" a="1"/>
  <c r="Q148" i="1" s="1"/>
  <c r="S148" i="1" s="1"/>
  <c r="T148" i="1" s="1"/>
  <c r="V148" i="1" s="1"/>
  <c r="Q84" i="1" a="1"/>
  <c r="Q84" i="1" s="1"/>
  <c r="S84" i="1" s="1"/>
  <c r="T84" i="1" s="1"/>
  <c r="V84" i="1" s="1"/>
  <c r="Q68" i="1" a="1"/>
  <c r="Q68" i="1" s="1"/>
  <c r="S68" i="1" s="1"/>
  <c r="T68" i="1" s="1"/>
  <c r="V68" i="1" s="1"/>
  <c r="Q20" i="1" a="1"/>
  <c r="Q20" i="1" s="1"/>
  <c r="S20" i="1" s="1"/>
  <c r="T20" i="1" s="1"/>
  <c r="V20" i="1" s="1"/>
  <c r="S29" i="1"/>
  <c r="T29" i="1" s="1"/>
  <c r="V29" i="1" s="1"/>
  <c r="S189" i="1"/>
  <c r="T189" i="1" s="1"/>
  <c r="V189" i="1" s="1"/>
  <c r="S493" i="1"/>
  <c r="T493" i="1" s="1"/>
  <c r="Q114" i="1" a="1"/>
  <c r="Q114" i="1" s="1"/>
  <c r="S114" i="1" s="1"/>
  <c r="S14" i="1"/>
  <c r="T14" i="1" s="1"/>
  <c r="S30" i="1"/>
  <c r="S46" i="1"/>
  <c r="T46" i="1" s="1"/>
  <c r="V46" i="1" s="1"/>
  <c r="S62" i="1"/>
  <c r="T62" i="1" s="1"/>
  <c r="V62" i="1" s="1"/>
  <c r="S78" i="1"/>
  <c r="T78" i="1" s="1"/>
  <c r="S94" i="1"/>
  <c r="T94" i="1" s="1"/>
  <c r="S110" i="1"/>
  <c r="T110" i="1" s="1"/>
  <c r="S126" i="1"/>
  <c r="T126" i="1" s="1"/>
  <c r="V126" i="1" s="1"/>
  <c r="S142" i="1"/>
  <c r="T142" i="1" s="1"/>
  <c r="S158" i="1"/>
  <c r="T158" i="1" s="1"/>
  <c r="S174" i="1"/>
  <c r="T174" i="1" s="1"/>
  <c r="V174" i="1" s="1"/>
  <c r="S190" i="1"/>
  <c r="T190" i="1" s="1"/>
  <c r="V190" i="1" s="1"/>
  <c r="S206" i="1"/>
  <c r="S222" i="1"/>
  <c r="T222" i="1" s="1"/>
  <c r="S238" i="1"/>
  <c r="T238" i="1" s="1"/>
  <c r="V238" i="1" s="1"/>
  <c r="S254" i="1"/>
  <c r="T254" i="1" s="1"/>
  <c r="V254" i="1" s="1"/>
  <c r="S270" i="1"/>
  <c r="T270" i="1" s="1"/>
  <c r="S286" i="1"/>
  <c r="S302" i="1"/>
  <c r="T302" i="1" s="1"/>
  <c r="V302" i="1" s="1"/>
  <c r="S334" i="1"/>
  <c r="T334" i="1" s="1"/>
  <c r="V334" i="1" s="1"/>
  <c r="S350" i="1"/>
  <c r="T350" i="1" s="1"/>
  <c r="S366" i="1"/>
  <c r="T366" i="1" s="1"/>
  <c r="S382" i="1"/>
  <c r="T382" i="1" s="1"/>
  <c r="V382" i="1" s="1"/>
  <c r="S398" i="1"/>
  <c r="S414" i="1"/>
  <c r="S430" i="1"/>
  <c r="T430" i="1" s="1"/>
  <c r="S446" i="1"/>
  <c r="T446" i="1" s="1"/>
  <c r="V446" i="1" s="1"/>
  <c r="S478" i="1"/>
  <c r="T478" i="1" s="1"/>
  <c r="S494" i="1"/>
  <c r="T494" i="1" s="1"/>
  <c r="S510" i="1"/>
  <c r="T510" i="1" s="1"/>
  <c r="V510" i="1" s="1"/>
  <c r="S526" i="1"/>
  <c r="T526" i="1" s="1"/>
  <c r="V526" i="1" s="1"/>
  <c r="S542" i="1"/>
  <c r="T542" i="1" s="1"/>
  <c r="V542" i="1" s="1"/>
  <c r="S558" i="1"/>
  <c r="T558" i="1" s="1"/>
  <c r="V558" i="1" s="1"/>
  <c r="S574" i="1"/>
  <c r="S590" i="1"/>
  <c r="T590" i="1" s="1"/>
  <c r="V590" i="1" s="1"/>
  <c r="S606" i="1"/>
  <c r="T606" i="1" s="1"/>
  <c r="S622" i="1"/>
  <c r="T622" i="1" s="1"/>
  <c r="V622" i="1" s="1"/>
  <c r="S638" i="1"/>
  <c r="T638" i="1" s="1"/>
  <c r="V638" i="1" s="1"/>
  <c r="Q545" i="1" a="1"/>
  <c r="Q545" i="1" s="1"/>
  <c r="S545" i="1" s="1"/>
  <c r="Q401" i="1" a="1"/>
  <c r="Q401" i="1" s="1"/>
  <c r="S401" i="1" s="1"/>
  <c r="Q193" i="1" a="1"/>
  <c r="Q193" i="1" s="1"/>
  <c r="S193" i="1" s="1"/>
  <c r="Q177" i="1" a="1"/>
  <c r="Q177" i="1" s="1"/>
  <c r="S177" i="1" s="1"/>
  <c r="T177" i="1" s="1"/>
  <c r="Q145" i="1" a="1"/>
  <c r="Q145" i="1" s="1"/>
  <c r="S145" i="1" s="1"/>
  <c r="T145" i="1" s="1"/>
  <c r="Q113" i="1" a="1"/>
  <c r="Q113" i="1" s="1"/>
  <c r="S113" i="1" s="1"/>
  <c r="T113" i="1" s="1"/>
  <c r="V113" i="1" s="1"/>
  <c r="S15" i="1"/>
  <c r="T15" i="1" s="1"/>
  <c r="V15" i="1" s="1"/>
  <c r="S93" i="1"/>
  <c r="T93" i="1" s="1"/>
  <c r="V93" i="1" s="1"/>
  <c r="S221" i="1"/>
  <c r="T221" i="1" s="1"/>
  <c r="V221" i="1" s="1"/>
  <c r="S525" i="1"/>
  <c r="T525" i="1" s="1"/>
  <c r="S31" i="1"/>
  <c r="T31" i="1" s="1"/>
  <c r="V31" i="1" s="1"/>
  <c r="S63" i="1"/>
  <c r="T63" i="1" s="1"/>
  <c r="V63" i="1" s="1"/>
  <c r="S111" i="1"/>
  <c r="T111" i="1" s="1"/>
  <c r="V111" i="1" s="1"/>
  <c r="S159" i="1"/>
  <c r="T159" i="1" s="1"/>
  <c r="V159" i="1" s="1"/>
  <c r="S207" i="1"/>
  <c r="T207" i="1" s="1"/>
  <c r="S271" i="1"/>
  <c r="T271" i="1" s="1"/>
  <c r="V271" i="1" s="1"/>
  <c r="S319" i="1"/>
  <c r="T319" i="1" s="1"/>
  <c r="S367" i="1"/>
  <c r="T367" i="1" s="1"/>
  <c r="V367" i="1" s="1"/>
  <c r="S399" i="1"/>
  <c r="S447" i="1"/>
  <c r="T447" i="1" s="1"/>
  <c r="V447" i="1" s="1"/>
  <c r="S495" i="1"/>
  <c r="T495" i="1" s="1"/>
  <c r="V495" i="1" s="1"/>
  <c r="S543" i="1"/>
  <c r="T543" i="1" s="1"/>
  <c r="V543" i="1" s="1"/>
  <c r="S575" i="1"/>
  <c r="T575" i="1" s="1"/>
  <c r="V575" i="1" s="1"/>
  <c r="S623" i="1"/>
  <c r="T623" i="1" s="1"/>
  <c r="V623" i="1" s="1"/>
  <c r="Q544" i="1" a="1"/>
  <c r="Q544" i="1" s="1"/>
  <c r="S544" i="1" s="1"/>
  <c r="T544" i="1" s="1"/>
  <c r="Q112" i="1" a="1"/>
  <c r="Q112" i="1" s="1"/>
  <c r="S112" i="1" s="1"/>
  <c r="T112" i="1" s="1"/>
  <c r="S77" i="1"/>
  <c r="T77" i="1" s="1"/>
  <c r="S237" i="1"/>
  <c r="S413" i="1"/>
  <c r="T413" i="1" s="1"/>
  <c r="Q146" i="1" a="1"/>
  <c r="Q146" i="1" s="1"/>
  <c r="S146" i="1" s="1"/>
  <c r="T146" i="1" s="1"/>
  <c r="V146" i="1" s="1"/>
  <c r="S47" i="1"/>
  <c r="T47" i="1" s="1"/>
  <c r="V47" i="1" s="1"/>
  <c r="S191" i="1"/>
  <c r="S239" i="1"/>
  <c r="T239" i="1" s="1"/>
  <c r="V239" i="1" s="1"/>
  <c r="S287" i="1"/>
  <c r="S335" i="1"/>
  <c r="T335" i="1" s="1"/>
  <c r="V335" i="1" s="1"/>
  <c r="S383" i="1"/>
  <c r="T383" i="1" s="1"/>
  <c r="V383" i="1" s="1"/>
  <c r="S431" i="1"/>
  <c r="T431" i="1" s="1"/>
  <c r="V431" i="1" s="1"/>
  <c r="S479" i="1"/>
  <c r="T479" i="1" s="1"/>
  <c r="V479" i="1" s="1"/>
  <c r="S527" i="1"/>
  <c r="T527" i="1" s="1"/>
  <c r="V527" i="1" s="1"/>
  <c r="S559" i="1"/>
  <c r="T559" i="1" s="1"/>
  <c r="V559" i="1" s="1"/>
  <c r="S607" i="1"/>
  <c r="T607" i="1" s="1"/>
  <c r="V607" i="1" s="1"/>
  <c r="S639" i="1"/>
  <c r="T639" i="1" s="1"/>
  <c r="V639" i="1" s="1"/>
  <c r="S240" i="1"/>
  <c r="T240" i="1" s="1"/>
  <c r="S256" i="1"/>
  <c r="T256" i="1" s="1"/>
  <c r="S272" i="1"/>
  <c r="T272" i="1" s="1"/>
  <c r="S288" i="1"/>
  <c r="T288" i="1" s="1"/>
  <c r="S304" i="1"/>
  <c r="T304" i="1" s="1"/>
  <c r="S320" i="1"/>
  <c r="T320" i="1" s="1"/>
  <c r="S336" i="1"/>
  <c r="T336" i="1" s="1"/>
  <c r="S352" i="1"/>
  <c r="T352" i="1" s="1"/>
  <c r="S368" i="1"/>
  <c r="T368" i="1" s="1"/>
  <c r="S384" i="1"/>
  <c r="T384" i="1" s="1"/>
  <c r="S400" i="1"/>
  <c r="T400" i="1" s="1"/>
  <c r="S416" i="1"/>
  <c r="T416" i="1" s="1"/>
  <c r="S432" i="1"/>
  <c r="T432" i="1" s="1"/>
  <c r="S448" i="1"/>
  <c r="T448" i="1" s="1"/>
  <c r="S464" i="1"/>
  <c r="T464" i="1" s="1"/>
  <c r="V464" i="1" s="1"/>
  <c r="S480" i="1"/>
  <c r="T480" i="1" s="1"/>
  <c r="S496" i="1"/>
  <c r="T496" i="1" s="1"/>
  <c r="S512" i="1"/>
  <c r="T512" i="1" s="1"/>
  <c r="S528" i="1"/>
  <c r="T528" i="1" s="1"/>
  <c r="S560" i="1"/>
  <c r="T560" i="1" s="1"/>
  <c r="S576" i="1"/>
  <c r="T576" i="1" s="1"/>
  <c r="S592" i="1"/>
  <c r="T592" i="1" s="1"/>
  <c r="S624" i="1"/>
  <c r="T624" i="1" s="1"/>
  <c r="S44" i="1"/>
  <c r="S141" i="1"/>
  <c r="S285" i="1"/>
  <c r="T285" i="1" s="1"/>
  <c r="V285" i="1" s="1"/>
  <c r="S445" i="1"/>
  <c r="T445" i="1" s="1"/>
  <c r="S621" i="1"/>
  <c r="T621" i="1" s="1"/>
  <c r="S79" i="1"/>
  <c r="T79" i="1" s="1"/>
  <c r="V79" i="1" s="1"/>
  <c r="S127" i="1"/>
  <c r="T127" i="1" s="1"/>
  <c r="V127" i="1" s="1"/>
  <c r="S175" i="1"/>
  <c r="T175" i="1" s="1"/>
  <c r="S223" i="1"/>
  <c r="T223" i="1" s="1"/>
  <c r="V223" i="1" s="1"/>
  <c r="S303" i="1"/>
  <c r="T303" i="1" s="1"/>
  <c r="V303" i="1" s="1"/>
  <c r="S351" i="1"/>
  <c r="T351" i="1" s="1"/>
  <c r="V351" i="1" s="1"/>
  <c r="S415" i="1"/>
  <c r="T415" i="1" s="1"/>
  <c r="S463" i="1"/>
  <c r="S511" i="1"/>
  <c r="S591" i="1"/>
  <c r="T591" i="1" s="1"/>
  <c r="V591" i="1" s="1"/>
  <c r="S17" i="1"/>
  <c r="T17" i="1" s="1"/>
  <c r="V17" i="1" s="1"/>
  <c r="S33" i="1"/>
  <c r="T33" i="1" s="1"/>
  <c r="V33" i="1" s="1"/>
  <c r="S49" i="1"/>
  <c r="T49" i="1" s="1"/>
  <c r="V49" i="1" s="1"/>
  <c r="S65" i="1"/>
  <c r="T65" i="1" s="1"/>
  <c r="V65" i="1" s="1"/>
  <c r="S81" i="1"/>
  <c r="T81" i="1" s="1"/>
  <c r="V81" i="1" s="1"/>
  <c r="S97" i="1"/>
  <c r="T97" i="1" s="1"/>
  <c r="V97" i="1" s="1"/>
  <c r="S129" i="1"/>
  <c r="T129" i="1" s="1"/>
  <c r="S161" i="1"/>
  <c r="T161" i="1" s="1"/>
  <c r="S209" i="1"/>
  <c r="T209" i="1" s="1"/>
  <c r="S225" i="1"/>
  <c r="T225" i="1" s="1"/>
  <c r="V225" i="1" s="1"/>
  <c r="S241" i="1"/>
  <c r="T241" i="1" s="1"/>
  <c r="S257" i="1"/>
  <c r="T257" i="1" s="1"/>
  <c r="S273" i="1"/>
  <c r="T273" i="1" s="1"/>
  <c r="S289" i="1"/>
  <c r="T289" i="1" s="1"/>
  <c r="V289" i="1" s="1"/>
  <c r="S305" i="1"/>
  <c r="T305" i="1" s="1"/>
  <c r="V305" i="1" s="1"/>
  <c r="S321" i="1"/>
  <c r="T321" i="1" s="1"/>
  <c r="V321" i="1" s="1"/>
  <c r="S337" i="1"/>
  <c r="S353" i="1"/>
  <c r="T353" i="1" s="1"/>
  <c r="S369" i="1"/>
  <c r="T369" i="1" s="1"/>
  <c r="S385" i="1"/>
  <c r="T385" i="1" s="1"/>
  <c r="S417" i="1"/>
  <c r="T417" i="1" s="1"/>
  <c r="S433" i="1"/>
  <c r="T433" i="1" s="1"/>
  <c r="S449" i="1"/>
  <c r="T449" i="1" s="1"/>
  <c r="S465" i="1"/>
  <c r="T465" i="1" s="1"/>
  <c r="S481" i="1"/>
  <c r="T481" i="1" s="1"/>
  <c r="S497" i="1"/>
  <c r="T497" i="1" s="1"/>
  <c r="S529" i="1"/>
  <c r="T529" i="1" s="1"/>
  <c r="S561" i="1"/>
  <c r="T561" i="1" s="1"/>
  <c r="S577" i="1"/>
  <c r="T577" i="1" s="1"/>
  <c r="S593" i="1"/>
  <c r="T593" i="1" s="1"/>
  <c r="S609" i="1"/>
  <c r="T609" i="1" s="1"/>
  <c r="S625" i="1"/>
  <c r="T625" i="1" s="1"/>
  <c r="T371" i="1"/>
  <c r="V371" i="1" s="1"/>
  <c r="T130" i="1"/>
  <c r="T516" i="1"/>
  <c r="V516" i="1" s="1"/>
  <c r="T211" i="1"/>
  <c r="V211" i="1"/>
  <c r="T339" i="1"/>
  <c r="V339" i="1" s="1"/>
  <c r="T244" i="1"/>
  <c r="V244" i="1" s="1"/>
  <c r="T532" i="1"/>
  <c r="V532" i="1" s="1"/>
  <c r="T294" i="1"/>
  <c r="V294" i="1" s="1"/>
  <c r="T310" i="1"/>
  <c r="V310" i="1" s="1"/>
  <c r="T422" i="1"/>
  <c r="V422" i="1" s="1"/>
  <c r="T292" i="1"/>
  <c r="V292" i="1" s="1"/>
  <c r="T228" i="1"/>
  <c r="V228" i="1" s="1"/>
  <c r="T72" i="1"/>
  <c r="V72" i="1" s="1"/>
  <c r="T568" i="1"/>
  <c r="V568" i="1" s="1"/>
  <c r="T355" i="1"/>
  <c r="V355" i="1" s="1"/>
  <c r="T133" i="1"/>
  <c r="V133" i="1" s="1"/>
  <c r="T118" i="1"/>
  <c r="V118" i="1" s="1"/>
  <c r="T88" i="1"/>
  <c r="V88" i="1" s="1"/>
  <c r="T152" i="1"/>
  <c r="V152" i="1" s="1"/>
  <c r="T216" i="1"/>
  <c r="V216" i="1" s="1"/>
  <c r="T205" i="1"/>
  <c r="V205" i="1" s="1"/>
  <c r="T9" i="1"/>
  <c r="V9" i="1" s="1"/>
  <c r="T41" i="1"/>
  <c r="V41" i="1" s="1"/>
  <c r="T57" i="1"/>
  <c r="V57" i="1" s="1"/>
  <c r="T89" i="1"/>
  <c r="V89" i="1" s="1"/>
  <c r="T281" i="1"/>
  <c r="V281" i="1"/>
  <c r="T377" i="1"/>
  <c r="V377" i="1" s="1"/>
  <c r="T98" i="1"/>
  <c r="V98" i="1" s="1"/>
  <c r="T51" i="1"/>
  <c r="V51" i="1" s="1"/>
  <c r="T259" i="1"/>
  <c r="V259" i="1" s="1"/>
  <c r="T276" i="1"/>
  <c r="V276" i="1" s="1"/>
  <c r="T452" i="1"/>
  <c r="V452" i="1" s="1"/>
  <c r="T564" i="1"/>
  <c r="V564" i="1" s="1"/>
  <c r="T119" i="1"/>
  <c r="V119" i="1" s="1"/>
  <c r="T328" i="1"/>
  <c r="V328" i="1" s="1"/>
  <c r="T424" i="1"/>
  <c r="V424" i="1" s="1"/>
  <c r="T600" i="1"/>
  <c r="V600" i="1" s="1"/>
  <c r="T195" i="1"/>
  <c r="V195" i="1" s="1"/>
  <c r="T323" i="1"/>
  <c r="V323" i="1" s="1"/>
  <c r="T136" i="1"/>
  <c r="V136" i="1" s="1"/>
  <c r="T60" i="1"/>
  <c r="V60" i="1" s="1"/>
  <c r="T357" i="1"/>
  <c r="V357" i="1" s="1"/>
  <c r="T232" i="1"/>
  <c r="V232" i="1" s="1"/>
  <c r="T99" i="1"/>
  <c r="V99" i="1" s="1"/>
  <c r="T243" i="1"/>
  <c r="V243" i="1" s="1"/>
  <c r="T104" i="1"/>
  <c r="V104" i="1" s="1"/>
  <c r="T248" i="1"/>
  <c r="V248" i="1" s="1"/>
  <c r="T392" i="1"/>
  <c r="V392" i="1" s="1"/>
  <c r="T30" i="1"/>
  <c r="T286" i="1"/>
  <c r="V286" i="1"/>
  <c r="T574" i="1"/>
  <c r="V574" i="1" s="1"/>
  <c r="T18" i="1"/>
  <c r="V18" i="1" s="1"/>
  <c r="T387" i="1"/>
  <c r="V387" i="1" s="1"/>
  <c r="T212" i="1"/>
  <c r="V212" i="1" s="1"/>
  <c r="T580" i="1"/>
  <c r="V580" i="1" s="1"/>
  <c r="T165" i="1"/>
  <c r="V165" i="1" s="1"/>
  <c r="T247" i="1"/>
  <c r="V247" i="1" s="1"/>
  <c r="T423" i="1"/>
  <c r="V423" i="1" s="1"/>
  <c r="T168" i="1"/>
  <c r="V168" i="1" s="1"/>
  <c r="T344" i="1"/>
  <c r="V344" i="1" s="1"/>
  <c r="T108" i="1"/>
  <c r="V108" i="1" s="1"/>
  <c r="T125" i="1"/>
  <c r="V125" i="1" s="1"/>
  <c r="T34" i="1"/>
  <c r="V34" i="1" s="1"/>
  <c r="T260" i="1"/>
  <c r="V260" i="1" s="1"/>
  <c r="T548" i="1"/>
  <c r="V548" i="1" s="1"/>
  <c r="T56" i="1"/>
  <c r="V56" i="1"/>
  <c r="T376" i="1"/>
  <c r="V376" i="1" s="1"/>
  <c r="T12" i="1"/>
  <c r="V12" i="1" s="1"/>
  <c r="T76" i="1"/>
  <c r="V76" i="1" s="1"/>
  <c r="T16" i="1"/>
  <c r="V16" i="1" s="1"/>
  <c r="T48" i="1"/>
  <c r="V48" i="1" s="1"/>
  <c r="V462" i="1"/>
  <c r="V318" i="1"/>
  <c r="V38" i="1"/>
  <c r="T598" i="1"/>
  <c r="V598" i="1" s="1"/>
  <c r="V534" i="1"/>
  <c r="T463" i="1"/>
  <c r="V463" i="1" s="1"/>
  <c r="T399" i="1"/>
  <c r="V399" i="1" s="1"/>
  <c r="T287" i="1"/>
  <c r="V287" i="1" s="1"/>
  <c r="T255" i="1"/>
  <c r="V255" i="1" s="1"/>
  <c r="T191" i="1"/>
  <c r="V191" i="1" s="1"/>
  <c r="T143" i="1"/>
  <c r="V143" i="1" s="1"/>
  <c r="V632" i="1"/>
  <c r="V637" i="1"/>
  <c r="V605" i="1"/>
  <c r="V589" i="1"/>
  <c r="V509" i="1"/>
  <c r="V477" i="1"/>
  <c r="V626" i="1"/>
  <c r="V610" i="1"/>
  <c r="V594" i="1"/>
  <c r="V498" i="1"/>
  <c r="V482" i="1"/>
  <c r="V466" i="1"/>
  <c r="V450" i="1"/>
  <c r="V370" i="1"/>
  <c r="V354" i="1"/>
  <c r="V338" i="1"/>
  <c r="V274" i="1"/>
  <c r="V258" i="1"/>
  <c r="V391" i="1"/>
  <c r="V636" i="1"/>
  <c r="V604" i="1"/>
  <c r="V588" i="1"/>
  <c r="V524" i="1"/>
  <c r="V476" i="1"/>
  <c r="V460" i="1"/>
  <c r="V316" i="1"/>
  <c r="V220" i="1"/>
  <c r="V204" i="1"/>
  <c r="V593" i="1"/>
  <c r="V561" i="1"/>
  <c r="V257" i="1"/>
  <c r="V283" i="1"/>
  <c r="V576" i="1"/>
  <c r="V496" i="1"/>
  <c r="V432" i="1"/>
  <c r="V400" i="1"/>
  <c r="V320" i="1"/>
  <c r="V240" i="1"/>
  <c r="V208" i="1"/>
  <c r="V192" i="1"/>
  <c r="V176" i="1"/>
  <c r="V160" i="1"/>
  <c r="V144" i="1"/>
  <c r="V96" i="1"/>
  <c r="V64" i="1"/>
  <c r="V597" i="1"/>
  <c r="V533" i="1"/>
  <c r="V517" i="1"/>
  <c r="V421" i="1"/>
  <c r="V405" i="1"/>
  <c r="V149" i="1"/>
  <c r="V69" i="1"/>
  <c r="V5" i="1"/>
  <c r="V634" i="1"/>
  <c r="V618" i="1"/>
  <c r="V602" i="1"/>
  <c r="V586" i="1"/>
  <c r="V554" i="1"/>
  <c r="V522" i="1"/>
  <c r="V474" i="1"/>
  <c r="V458" i="1"/>
  <c r="V442" i="1"/>
  <c r="V426" i="1"/>
  <c r="V410" i="1"/>
  <c r="V394" i="1"/>
  <c r="V378" i="1"/>
  <c r="V330" i="1"/>
  <c r="V314" i="1"/>
  <c r="V298" i="1"/>
  <c r="V266" i="1"/>
  <c r="V250" i="1"/>
  <c r="V234" i="1"/>
  <c r="V218" i="1"/>
  <c r="V202" i="1"/>
  <c r="V170" i="1"/>
  <c r="V154" i="1"/>
  <c r="V138" i="1"/>
  <c r="V106" i="1"/>
  <c r="V90" i="1"/>
  <c r="V74" i="1"/>
  <c r="V58" i="1"/>
  <c r="V42" i="1"/>
  <c r="T513" i="1" l="1"/>
  <c r="V513" i="1"/>
  <c r="T490" i="1"/>
  <c r="V490" i="1"/>
  <c r="T506" i="1"/>
  <c r="V506" i="1"/>
  <c r="T26" i="1"/>
  <c r="V26" i="1"/>
  <c r="T80" i="1"/>
  <c r="V80" i="1"/>
  <c r="T282" i="1"/>
  <c r="V282" i="1"/>
  <c r="T290" i="1"/>
  <c r="V290" i="1"/>
  <c r="T10" i="1"/>
  <c r="V10" i="1"/>
  <c r="V390" i="1"/>
  <c r="V620" i="1"/>
  <c r="V273" i="1"/>
  <c r="V481" i="1"/>
  <c r="V557" i="1"/>
  <c r="V448" i="1"/>
  <c r="V158" i="1"/>
  <c r="V592" i="1"/>
  <c r="V444" i="1"/>
  <c r="V434" i="1"/>
  <c r="V624" i="1"/>
  <c r="V155" i="1"/>
  <c r="V187" i="1"/>
  <c r="T573" i="1"/>
  <c r="V573" i="1"/>
  <c r="V478" i="1"/>
  <c r="V497" i="1"/>
  <c r="V173" i="1"/>
  <c r="V492" i="1"/>
  <c r="V508" i="1"/>
  <c r="V386" i="1"/>
  <c r="T141" i="1"/>
  <c r="V141" i="1" s="1"/>
  <c r="V43" i="1"/>
  <c r="V75" i="1"/>
  <c r="V389" i="1"/>
  <c r="V224" i="1"/>
  <c r="V577" i="1"/>
  <c r="V402" i="1"/>
  <c r="V352" i="1"/>
  <c r="V315" i="1"/>
  <c r="V375" i="1"/>
  <c r="T511" i="1"/>
  <c r="V511" i="1" s="1"/>
  <c r="V147" i="1"/>
  <c r="V179" i="1"/>
  <c r="V222" i="1"/>
  <c r="V501" i="1"/>
  <c r="V299" i="1"/>
  <c r="T264" i="1"/>
  <c r="V264" i="1" s="1"/>
  <c r="V368" i="1"/>
  <c r="V331" i="1"/>
  <c r="V252" i="1"/>
  <c r="V418" i="1"/>
  <c r="V625" i="1"/>
  <c r="V336" i="1"/>
  <c r="V384" i="1"/>
  <c r="V342" i="1"/>
  <c r="V268" i="1"/>
  <c r="V455" i="1"/>
  <c r="V157" i="1"/>
  <c r="V616" i="1"/>
  <c r="V613" i="1"/>
  <c r="V471" i="1"/>
  <c r="V530" i="1"/>
  <c r="V209" i="1"/>
  <c r="V348" i="1"/>
  <c r="V631" i="1"/>
  <c r="V546" i="1"/>
  <c r="V454" i="1"/>
  <c r="V241" i="1"/>
  <c r="V380" i="1"/>
  <c r="T332" i="1"/>
  <c r="V332" i="1"/>
  <c r="V514" i="1"/>
  <c r="V171" i="1"/>
  <c r="V621" i="1"/>
  <c r="V53" i="1"/>
  <c r="V236" i="1"/>
  <c r="V242" i="1"/>
  <c r="V606" i="1"/>
  <c r="V30" i="1"/>
  <c r="V566" i="1"/>
  <c r="T275" i="1"/>
  <c r="V275" i="1" s="1"/>
  <c r="V270" i="1"/>
  <c r="V373" i="1"/>
  <c r="V369" i="1"/>
  <c r="V300" i="1"/>
  <c r="V617" i="1"/>
  <c r="V360" i="1"/>
  <c r="V284" i="1"/>
  <c r="V44" i="1"/>
  <c r="V353" i="1"/>
  <c r="V347" i="1"/>
  <c r="V23" i="1"/>
  <c r="V363" i="1"/>
  <c r="V445" i="1"/>
  <c r="T237" i="1"/>
  <c r="V237" i="1" s="1"/>
  <c r="V601" i="1"/>
  <c r="T249" i="1"/>
  <c r="V249" i="1" s="1"/>
  <c r="V473" i="1"/>
  <c r="V130" i="1"/>
  <c r="V608" i="1"/>
  <c r="V461" i="1"/>
  <c r="V379" i="1"/>
  <c r="V395" i="1"/>
  <c r="V529" i="1"/>
  <c r="V364" i="1"/>
  <c r="V263" i="1"/>
  <c r="V494" i="1"/>
  <c r="T585" i="1"/>
  <c r="V585" i="1" s="1"/>
  <c r="V430" i="1"/>
  <c r="V556" i="1"/>
  <c r="V411" i="1"/>
  <c r="V493" i="1"/>
  <c r="V304" i="1"/>
  <c r="V59" i="1"/>
  <c r="V619" i="1"/>
  <c r="V396" i="1"/>
  <c r="V343" i="1"/>
  <c r="V6" i="1"/>
  <c r="V77" i="1"/>
  <c r="T206" i="1"/>
  <c r="V206" i="1" s="1"/>
  <c r="V415" i="1"/>
  <c r="V14" i="1"/>
  <c r="V480" i="1"/>
  <c r="V549" i="1"/>
  <c r="V635" i="1"/>
  <c r="V428" i="1"/>
  <c r="V175" i="1"/>
  <c r="V540" i="1"/>
  <c r="V429" i="1"/>
  <c r="V565" i="1"/>
  <c r="V91" i="1"/>
  <c r="V609" i="1"/>
  <c r="T44" i="1"/>
  <c r="V101" i="1"/>
  <c r="V279" i="1"/>
  <c r="V581" i="1"/>
  <c r="V107" i="1"/>
  <c r="V374" i="1"/>
  <c r="T566" i="1"/>
  <c r="V350" i="1"/>
  <c r="T122" i="1"/>
  <c r="V122" i="1"/>
  <c r="T193" i="1"/>
  <c r="V193" i="1"/>
  <c r="T134" i="1"/>
  <c r="V134" i="1" s="1"/>
  <c r="T183" i="1"/>
  <c r="V183" i="1" s="1"/>
  <c r="T186" i="1"/>
  <c r="V186" i="1"/>
  <c r="T362" i="1"/>
  <c r="V362" i="1"/>
  <c r="T346" i="1"/>
  <c r="V346" i="1"/>
  <c r="T404" i="1"/>
  <c r="V404" i="1" s="1"/>
  <c r="T570" i="1"/>
  <c r="V570" i="1"/>
  <c r="T412" i="1"/>
  <c r="V412" i="1"/>
  <c r="T401" i="1"/>
  <c r="V401" i="1"/>
  <c r="T572" i="1"/>
  <c r="V572" i="1" s="1"/>
  <c r="T150" i="1"/>
  <c r="V150" i="1" s="1"/>
  <c r="T114" i="1"/>
  <c r="V114" i="1" s="1"/>
  <c r="T545" i="1"/>
  <c r="V545" i="1"/>
  <c r="V337" i="1"/>
  <c r="T184" i="1"/>
  <c r="V184" i="1"/>
  <c r="T538" i="1"/>
  <c r="V538" i="1"/>
  <c r="V485" i="1"/>
  <c r="V142" i="1"/>
  <c r="V544" i="1"/>
  <c r="V102" i="1"/>
  <c r="V536" i="1"/>
  <c r="V409" i="1"/>
  <c r="V272" i="1"/>
  <c r="V203" i="1"/>
  <c r="V385" i="1"/>
  <c r="V288" i="1"/>
  <c r="V560" i="1"/>
  <c r="V219" i="1"/>
  <c r="V207" i="1"/>
  <c r="V110" i="1"/>
  <c r="V7" i="1"/>
  <c r="V217" i="1"/>
  <c r="V413" i="1"/>
  <c r="T327" i="1"/>
  <c r="V327" i="1" s="1"/>
  <c r="V262" i="1"/>
  <c r="V94" i="1"/>
  <c r="V403" i="1"/>
  <c r="V201" i="1"/>
  <c r="V562" i="1"/>
  <c r="V319" i="1"/>
  <c r="V528" i="1"/>
  <c r="V28" i="1"/>
  <c r="V519" i="1"/>
  <c r="V307" i="1"/>
  <c r="T414" i="1"/>
  <c r="V414" i="1" s="1"/>
  <c r="V109" i="1"/>
  <c r="V596" i="1"/>
  <c r="T246" i="1"/>
  <c r="V246" i="1" s="1"/>
  <c r="V322" i="1"/>
  <c r="V433" i="1"/>
  <c r="V465" i="1"/>
  <c r="V567" i="1"/>
  <c r="T398" i="1"/>
  <c r="V398" i="1" s="1"/>
  <c r="V78" i="1"/>
  <c r="T612" i="1"/>
  <c r="V612" i="1" s="1"/>
  <c r="V280" i="1"/>
  <c r="V345" i="1"/>
  <c r="V311" i="1"/>
  <c r="T551" i="1"/>
  <c r="V551" i="1" s="1"/>
  <c r="V267" i="1"/>
  <c r="V11" i="1"/>
  <c r="V296" i="1"/>
  <c r="V306" i="1"/>
  <c r="V235" i="1"/>
  <c r="V437" i="1"/>
  <c r="V128" i="1"/>
  <c r="V27" i="1"/>
  <c r="V161" i="1"/>
  <c r="V599" i="1"/>
  <c r="T337" i="1"/>
  <c r="V153" i="1"/>
  <c r="T372" i="1"/>
  <c r="V372" i="1" s="1"/>
  <c r="T340" i="1"/>
  <c r="V340" i="1" s="1"/>
  <c r="V512" i="1"/>
  <c r="V449" i="1"/>
  <c r="V129" i="1"/>
  <c r="V145" i="1"/>
  <c r="V177" i="1"/>
  <c r="V366" i="1"/>
  <c r="V408" i="1"/>
  <c r="T166" i="1"/>
  <c r="V166" i="1" s="1"/>
  <c r="V578" i="1"/>
  <c r="V256" i="1"/>
  <c r="V417" i="1"/>
  <c r="V251" i="1"/>
  <c r="V112" i="1"/>
  <c r="V583" i="1"/>
  <c r="V453" i="1"/>
  <c r="V469" i="1"/>
  <c r="V416" i="1"/>
  <c r="V5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<sst xmlns="http://schemas.openxmlformats.org/spreadsheetml/2006/main" count="4259" uniqueCount="187">
  <si>
    <t>POWER Digital® — Arauco Express El Carmen de Huechuraba — Consumo por Local y Mes</t>
  </si>
  <si>
    <t>Strip Center 53 medidores | Año 2025 | Demanda Hora Punta: 18:00 – 22:00</t>
  </si>
  <si>
    <t>Mes</t>
  </si>
  <si>
    <t>N° Mes</t>
  </si>
  <si>
    <t>Ubicación</t>
  </si>
  <si>
    <t>ID Medidor</t>
  </si>
  <si>
    <t>Tipo Local</t>
  </si>
  <si>
    <t>Nombre Local</t>
  </si>
  <si>
    <t>Fase</t>
  </si>
  <si>
    <t>Consumo Mensual
(kWh)</t>
  </si>
  <si>
    <t>Peak Mensual
(kW)</t>
  </si>
  <si>
    <t>Demanda Hora
Punta (kWh)</t>
  </si>
  <si>
    <t>% Punta /
Consumo Total</t>
  </si>
  <si>
    <t>Promedio
Diario (kWh)</t>
  </si>
  <si>
    <t>Enero</t>
  </si>
  <si>
    <t>Arauco Express El Carmen de Huechuraba</t>
  </si>
  <si>
    <t>SC53-001</t>
  </si>
  <si>
    <t>SSCC</t>
  </si>
  <si>
    <t>Servicios comunes</t>
  </si>
  <si>
    <t>3P</t>
  </si>
  <si>
    <t>SC53-002</t>
  </si>
  <si>
    <t>Retail</t>
  </si>
  <si>
    <t>Supermercado</t>
  </si>
  <si>
    <t>SC53-003</t>
  </si>
  <si>
    <t>supermercado2</t>
  </si>
  <si>
    <t>SC53-004</t>
  </si>
  <si>
    <t>Ripley</t>
  </si>
  <si>
    <t>SC53-005</t>
  </si>
  <si>
    <t>Paris</t>
  </si>
  <si>
    <t>SC53-006</t>
  </si>
  <si>
    <t>La Polar</t>
  </si>
  <si>
    <t>SC53-007</t>
  </si>
  <si>
    <t>Tricot</t>
  </si>
  <si>
    <t>1P</t>
  </si>
  <si>
    <t>SC53-008</t>
  </si>
  <si>
    <t>Easy</t>
  </si>
  <si>
    <t>SC53-009</t>
  </si>
  <si>
    <t>Ropa</t>
  </si>
  <si>
    <t>H&amp;M</t>
  </si>
  <si>
    <t>SC53-010</t>
  </si>
  <si>
    <t>Adidas</t>
  </si>
  <si>
    <t>SC53-011</t>
  </si>
  <si>
    <t>Nike</t>
  </si>
  <si>
    <t>SC53-012</t>
  </si>
  <si>
    <t>Puma</t>
  </si>
  <si>
    <t>SC53-013</t>
  </si>
  <si>
    <t>Everlast</t>
  </si>
  <si>
    <t>SC53-014</t>
  </si>
  <si>
    <t>Arrow</t>
  </si>
  <si>
    <t>SC53-015</t>
  </si>
  <si>
    <t>Calzado</t>
  </si>
  <si>
    <t>Merrell</t>
  </si>
  <si>
    <t>SC53-016</t>
  </si>
  <si>
    <t>Skechers</t>
  </si>
  <si>
    <t>SC53-017</t>
  </si>
  <si>
    <t>Ropa interior</t>
  </si>
  <si>
    <t>Kayser</t>
  </si>
  <si>
    <t>SC53-018</t>
  </si>
  <si>
    <t>Cosmética</t>
  </si>
  <si>
    <t>Lush</t>
  </si>
  <si>
    <t>SC53-019</t>
  </si>
  <si>
    <t>Joyería</t>
  </si>
  <si>
    <t>Jewelry A</t>
  </si>
  <si>
    <t>SC53-020</t>
  </si>
  <si>
    <t>Accesorios</t>
  </si>
  <si>
    <t>Umbale</t>
  </si>
  <si>
    <t>SC53-021</t>
  </si>
  <si>
    <t>Wrangler</t>
  </si>
  <si>
    <t>SC53-022</t>
  </si>
  <si>
    <t>Tip Top</t>
  </si>
  <si>
    <t>SC53-023</t>
  </si>
  <si>
    <t>Lacoste</t>
  </si>
  <si>
    <t>SC53-024</t>
  </si>
  <si>
    <t>Hogar / decoración</t>
  </si>
  <si>
    <t>Casa Ideas</t>
  </si>
  <si>
    <t>SC53-025</t>
  </si>
  <si>
    <t>Café</t>
  </si>
  <si>
    <t>Starbucks</t>
  </si>
  <si>
    <t>SC53-026</t>
  </si>
  <si>
    <t>Juan Valdez</t>
  </si>
  <si>
    <t>SC53-027</t>
  </si>
  <si>
    <t>Comida rápida</t>
  </si>
  <si>
    <t>Pizza Hut</t>
  </si>
  <si>
    <t>SC53-028</t>
  </si>
  <si>
    <t>Pollo Stop</t>
  </si>
  <si>
    <t>SC53-029</t>
  </si>
  <si>
    <t>Chicken Love You</t>
  </si>
  <si>
    <t>SC53-030</t>
  </si>
  <si>
    <t>Doggis</t>
  </si>
  <si>
    <t>SC53-031</t>
  </si>
  <si>
    <t>Burger King</t>
  </si>
  <si>
    <t>SC53-032</t>
  </si>
  <si>
    <t>McDonald’s</t>
  </si>
  <si>
    <t>SC53-033</t>
  </si>
  <si>
    <t>Comida</t>
  </si>
  <si>
    <t>Juan Maestro</t>
  </si>
  <si>
    <t>SC53-034</t>
  </si>
  <si>
    <t>Heladería</t>
  </si>
  <si>
    <t>Emporio La Rosa</t>
  </si>
  <si>
    <t>SC53-035</t>
  </si>
  <si>
    <t>Savory</t>
  </si>
  <si>
    <t>SC53-036</t>
  </si>
  <si>
    <t>Cine / entretenimiento</t>
  </si>
  <si>
    <t>Cine Hoyts</t>
  </si>
  <si>
    <t>SC53-037</t>
  </si>
  <si>
    <t>Entretenimiento</t>
  </si>
  <si>
    <t>Happyland</t>
  </si>
  <si>
    <t>SC53-038</t>
  </si>
  <si>
    <t>Farmacia</t>
  </si>
  <si>
    <t>Salcobrand</t>
  </si>
  <si>
    <t>SC53-039</t>
  </si>
  <si>
    <t>Farmacias Ahumada</t>
  </si>
  <si>
    <t>SC53-040</t>
  </si>
  <si>
    <t>Óptica</t>
  </si>
  <si>
    <t>Óptica Schilling</t>
  </si>
  <si>
    <t>SC53-041</t>
  </si>
  <si>
    <t>Librería</t>
  </si>
  <si>
    <t>Antártica Libros</t>
  </si>
  <si>
    <t>SC53-042</t>
  </si>
  <si>
    <t>Banco</t>
  </si>
  <si>
    <t>Banco Bci</t>
  </si>
  <si>
    <t>SC53-043</t>
  </si>
  <si>
    <t>Banco BBVA</t>
  </si>
  <si>
    <t>SC53-044</t>
  </si>
  <si>
    <t>Local no sensado</t>
  </si>
  <si>
    <t>Local no sensado 1</t>
  </si>
  <si>
    <t>SC53-045</t>
  </si>
  <si>
    <t>Local no sensado 2</t>
  </si>
  <si>
    <t>SC53-046</t>
  </si>
  <si>
    <t>Local no sensado 3</t>
  </si>
  <si>
    <t>SC53-047</t>
  </si>
  <si>
    <t>Local no sensado 4</t>
  </si>
  <si>
    <t>SC53-048</t>
  </si>
  <si>
    <t>Local no sensado 5</t>
  </si>
  <si>
    <t>SC53-049</t>
  </si>
  <si>
    <t>Local no sensado 6</t>
  </si>
  <si>
    <t>SC53-050</t>
  </si>
  <si>
    <t>Local no sensado 7</t>
  </si>
  <si>
    <t>SC53-051</t>
  </si>
  <si>
    <t>Local no sensado 8</t>
  </si>
  <si>
    <t>SC53-052</t>
  </si>
  <si>
    <t>Local no sensado 9</t>
  </si>
  <si>
    <t>SC53-053</t>
  </si>
  <si>
    <t>Local no sensado 10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</si>
  <si>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</si>
  <si>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</si>
  <si>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</si>
  <si>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</si>
  <si>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</si>
  <si>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</si>
  <si>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</si>
  <si>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</si>
  <si>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</si>
  <si>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</si>
  <si>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</si>
  <si>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POWER Digital® — Arauco Express El Carmen de Huechuraba — Resumen Anual por Local 2025</t>
  </si>
  <si>
    <t>① CONSUMO MENSUAL POR LOCAL (kWh)</t>
  </si>
  <si>
    <t>TOTAL ANUAL</t>
  </si>
  <si>
    <t>TOTAL CENTRO</t>
  </si>
  <si>
    <t>Todos los locales</t>
  </si>
  <si>
    <t>② PEAK MENSUAL POR LOCAL (kW)</t>
  </si>
  <si>
    <t>③ DEMANDA HORA PUNTA 18:00–22:00 POR LOCAL (kWh)</t>
  </si>
  <si>
    <t>POWER Digital® — Resumen Ejecutivo Mensual — Strip Center 53</t>
  </si>
  <si>
    <t>Arauco Express El Carmen de Huechuraba  |  2025  |  53 medidores</t>
  </si>
  <si>
    <t>Consumo Total
Centro (kWh)</t>
  </si>
  <si>
    <t>Peak Máx
Centro (kW)</t>
  </si>
  <si>
    <t>Demanda Punta
Total (kWh)</t>
  </si>
  <si>
    <t>% Punta</t>
  </si>
  <si>
    <t>Promedio Diario
Centro (kWh)</t>
  </si>
  <si>
    <t>Local con Mayor
Consumo</t>
  </si>
  <si>
    <t>SC53-001 — Servicios comunes</t>
  </si>
  <si>
    <t>Consumo Energía (kWh)</t>
  </si>
  <si>
    <t>Dda. Máx. Suministrada(kW)</t>
  </si>
  <si>
    <t>Dda. Máx. Hora Punta(kW)</t>
  </si>
  <si>
    <t>KWH para Sistema Troncal</t>
  </si>
  <si>
    <t>Cargo Fijo ($)</t>
  </si>
  <si>
    <t>Consumo Energía ($kWh)</t>
  </si>
  <si>
    <t>KWH para Serv. Público IVA 1</t>
  </si>
  <si>
    <t>KWH para Serv. Público IVA 2</t>
  </si>
  <si>
    <t>KWH para Serv. Público IVA 3</t>
  </si>
  <si>
    <t>KWH para Serv. Público IVA 4</t>
  </si>
  <si>
    <t>KWH para Serv. Público IVA 5</t>
  </si>
  <si>
    <t>KWH para Serv. Público Neto</t>
  </si>
  <si>
    <t>Total Neto($)</t>
  </si>
  <si>
    <t>IVA ($)</t>
  </si>
  <si>
    <t>Monto Exento</t>
  </si>
  <si>
    <t>Total con IVA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</si>
</sst>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2" fontId="0" fillId="0" borderId="0" xfId="1" applyFont="1"/>
    <xf numFmtId="0" fontId="10" fillId="11" borderId="3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vertical="center" wrapText="1"/>
    </xf>
    <xf numFmtId="4" fontId="10" fillId="11" borderId="4" xfId="0" applyNumberFormat="1" applyFont="1" applyFill="1" applyBorder="1" applyAlignment="1">
      <alignment horizontal="center" vertical="center" wrapText="1"/>
    </xf>
    <xf numFmtId="10" fontId="10" fillId="11" borderId="4" xfId="0" applyNumberFormat="1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vertical="center" wrapText="1"/>
    </xf>
    <xf numFmtId="4" fontId="10" fillId="11" borderId="6" xfId="0" applyNumberFormat="1" applyFont="1" applyFill="1" applyBorder="1" applyAlignment="1">
      <alignment horizontal="center" vertical="center" wrapText="1"/>
    </xf>
    <xf numFmtId="10" fontId="10" fillId="11" borderId="6" xfId="0" applyNumberFormat="1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vertical="center" wrapText="1"/>
    </xf>
    <xf numFmtId="4" fontId="10" fillId="12" borderId="6" xfId="0" applyNumberFormat="1" applyFont="1" applyFill="1" applyBorder="1" applyAlignment="1">
      <alignment horizontal="center" vertical="center" wrapText="1"/>
    </xf>
    <xf numFmtId="10" fontId="10" fillId="12" borderId="6" xfId="0" applyNumberFormat="1" applyFont="1" applyFill="1" applyBorder="1" applyAlignment="1">
      <alignment horizontal="center" vertical="center" wrapText="1"/>
    </xf>
    <xf numFmtId="42" fontId="9" fillId="9" borderId="2" xfId="1" applyFont="1" applyFill="1" applyBorder="1" applyAlignment="1">
      <alignment horizontal="center" vertical="center" wrapText="1"/>
    </xf>
    <xf numFmtId="42" fontId="0" fillId="0" borderId="0" xfId="0" applyNumberFormat="1"/>
    <xf numFmtId="0" fontId="0" fillId="10" borderId="2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19B9B3-E05D-49DC-9877-228F08659F32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9"/>
  <sheetViews>
    <sheetView tabSelected="1" topLeftCell="C1" workbookViewId="0">
      <selection activeCell="F7" sqref="F7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32" customWidth="1"/>
    <col min="4" max="4" width="12" customWidth="1"/>
    <col min="5" max="5" width="14" customWidth="1"/>
    <col min="6" max="6" width="24" customWidth="1"/>
    <col min="7" max="7" width="7" customWidth="1"/>
    <col min="8" max="8" width="18" customWidth="1"/>
    <col min="9" max="9" width="15" customWidth="1"/>
    <col min="10" max="10" width="18" customWidth="1"/>
    <col min="11" max="11" width="15" customWidth="1"/>
    <col min="12" max="12" width="16" customWidth="1"/>
    <col min="13" max="13" width="14.109375" bestFit="1" customWidth="1"/>
    <col min="14" max="14" width="16.6640625" bestFit="1" customWidth="1"/>
    <col min="15" max="15" width="14" bestFit="1" customWidth="1"/>
    <col min="16" max="16" width="14.44140625" bestFit="1" customWidth="1"/>
    <col min="17" max="17" width="14.5546875" style="19" bestFit="1" customWidth="1"/>
    <col min="18" max="18" width="6.88671875" bestFit="1" customWidth="1"/>
    <col min="19" max="19" width="11" bestFit="1" customWidth="1"/>
    <col min="20" max="20" width="9.44140625" bestFit="1" customWidth="1"/>
    <col min="22" max="22" width="11" bestFit="1" customWidth="1"/>
  </cols>
  <sheetData>
    <row r="1" spans="1:22" ht="28.05" customHeight="1" x14ac:dyDescent="0.3">
      <c r="A1" s="40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22" ht="18" customHeight="1" x14ac:dyDescent="0.3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22" ht="36" customHeight="1" thickBo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7" t="s">
        <v>176</v>
      </c>
      <c r="N3" s="17" t="s">
        <v>172</v>
      </c>
      <c r="O3" s="17" t="s">
        <v>173</v>
      </c>
      <c r="P3" s="17" t="s">
        <v>174</v>
      </c>
      <c r="Q3" s="35" t="s">
        <v>182</v>
      </c>
      <c r="R3" s="18" t="s">
        <v>175</v>
      </c>
      <c r="S3" s="18" t="s">
        <v>183</v>
      </c>
      <c r="T3" s="37" t="s">
        <v>184</v>
      </c>
      <c r="U3" s="37" t="s">
        <v>185</v>
      </c>
      <c r="V3" s="18" t="s">
        <v>186</v>
      </c>
    </row>
    <row r="4" spans="1:22" ht="23.4" thickBot="1" x14ac:dyDescent="0.35">
      <c r="A4" s="20" t="s">
        <v>14</v>
      </c>
      <c r="B4" s="21">
        <v>1</v>
      </c>
      <c r="C4" s="22" t="s">
        <v>15</v>
      </c>
      <c r="D4" s="21" t="s">
        <v>16</v>
      </c>
      <c r="E4" s="21" t="s">
        <v>17</v>
      </c>
      <c r="F4" s="22" t="s">
        <v>18</v>
      </c>
      <c r="G4" s="21" t="s">
        <v>19</v>
      </c>
      <c r="H4" s="23">
        <v>8017.16</v>
      </c>
      <c r="I4" s="21">
        <v>21.11</v>
      </c>
      <c r="J4" s="21">
        <v>20.92</v>
      </c>
      <c r="K4" s="24">
        <v>0.99099999999999999</v>
      </c>
      <c r="L4" s="21">
        <v>258.62</v>
      </c>
      <c r="M4" s="19">
        <f>H4*INDEX('Pliegos Tarifarios (Huechuraba)'!$B:$B,MATCH($B4,'Pliegos Tarifarios (Huechuraba)'!$A:$A,0))</f>
        <v>952743.26007999992</v>
      </c>
      <c r="N4" s="19">
        <f>I4*INDEX('Pliegos Tarifarios (Huechuraba)'!$C:$C,MATCH($B4,'Pliegos Tarifarios (Huechuraba)'!$A:$A,0))</f>
        <v>72092.950989999998</v>
      </c>
      <c r="O4" s="19">
        <f>J4*INDEX('Pliegos Tarifarios (Huechuraba)'!$D:$D,MATCH($B4,'Pliegos Tarifarios (Huechuraba)'!$A:$A,0))</f>
        <v>295110.17660000001</v>
      </c>
      <c r="P4" s="19">
        <f>H4*INDEX('Pliegos Tarifarios (Huechuraba)'!$E:$E,MATCH($B4,'Pliegos Tarifarios (Huechuraba)'!$A:$A,0))</f>
        <v>103677.91312</v>
      </c>
      <c r="Q4" s="19" cm="1">
        <f t="array" ref="Q4">H4*_xlfn.IFS(H4&lt;=350,INDEX('Pliegos Tarifarios (Huechuraba)'!$F:$F,MATCH($B4,'Pliegos Tarifarios (Huechuraba)'!$A:$A,0)),H4&lt;=500,INDEX('Pliegos Tarifarios (Huechuraba)'!$G:$G,MATCH($B4,'Pliegos Tarifarios (Huechuraba)'!$A:$A,0)),H4&lt;=1000,INDEX('Pliegos Tarifarios (Huechuraba)'!$H:$H,MATCH($B4,'Pliegos Tarifarios (Huechuraba)'!$A:$A,0)),H4&lt;=5000,INDEX('Pliegos Tarifarios (Huechuraba)'!$I:$I,MATCH($B4,'Pliegos Tarifarios (Huechuraba)'!$A:$A,0)),H4&gt;5000,INDEX('Pliegos Tarifarios (Huechuraba)'!$J:$J,MATCH($B4,'Pliegos Tarifarios (Huechuraba)'!$A:$A,0)))/1.19</f>
        <v>26308.411596638656</v>
      </c>
      <c r="R4" s="19">
        <f>INDEX('Pliegos Tarifarios (Huechuraba)'!$K:$K,MATCH($B4,'Pliegos Tarifarios (Huechuraba)'!$A:$A,0))</f>
        <v>710.78200000000004</v>
      </c>
      <c r="S4" s="36">
        <f>SUM(M4:R4)</f>
        <v>1450643.4943866385</v>
      </c>
      <c r="T4" s="36">
        <f>S4*0.19</f>
        <v>275622.26393346133</v>
      </c>
      <c r="U4" s="19">
        <v>0</v>
      </c>
      <c r="V4" s="36">
        <f>SUM(S4:T4)</f>
        <v>1726265.7583200999</v>
      </c>
    </row>
    <row r="5" spans="1:22" ht="23.4" thickBot="1" x14ac:dyDescent="0.35">
      <c r="A5" s="25" t="s">
        <v>14</v>
      </c>
      <c r="B5" s="26">
        <v>1</v>
      </c>
      <c r="C5" s="27" t="s">
        <v>15</v>
      </c>
      <c r="D5" s="26" t="s">
        <v>20</v>
      </c>
      <c r="E5" s="26" t="s">
        <v>21</v>
      </c>
      <c r="F5" s="27" t="s">
        <v>22</v>
      </c>
      <c r="G5" s="26" t="s">
        <v>19</v>
      </c>
      <c r="H5" s="28">
        <v>4015.01</v>
      </c>
      <c r="I5" s="26">
        <v>10.69</v>
      </c>
      <c r="J5" s="26">
        <v>10.29</v>
      </c>
      <c r="K5" s="29">
        <v>0.96299999999999997</v>
      </c>
      <c r="L5" s="26">
        <v>129.52000000000001</v>
      </c>
      <c r="M5" s="19">
        <f>H5*INDEX('Pliegos Tarifarios (Huechuraba)'!$B:$B,MATCH($B5,'Pliegos Tarifarios (Huechuraba)'!$A:$A,0))</f>
        <v>477135.75838000001</v>
      </c>
      <c r="N5" s="19">
        <f>I5*INDEX('Pliegos Tarifarios (Huechuraba)'!$C:$C,MATCH($B5,'Pliegos Tarifarios (Huechuraba)'!$A:$A,0))</f>
        <v>36507.515209999998</v>
      </c>
      <c r="O5" s="19">
        <f>J5*INDEX('Pliegos Tarifarios (Huechuraba)'!$D:$D,MATCH($B5,'Pliegos Tarifarios (Huechuraba)'!$A:$A,0))</f>
        <v>145156.96544999999</v>
      </c>
      <c r="P5" s="19">
        <f>H5*INDEX('Pliegos Tarifarios (Huechuraba)'!$E:$E,MATCH($B5,'Pliegos Tarifarios (Huechuraba)'!$A:$A,0))</f>
        <v>51922.109320000003</v>
      </c>
      <c r="Q5" s="19" cm="1">
        <f t="array" ref="Q5">H5*_xlfn.IFS(H5&lt;=350,INDEX('Pliegos Tarifarios (Huechuraba)'!$F:$F,MATCH($B5,'Pliegos Tarifarios (Huechuraba)'!$A:$A,0)),H5&lt;=500,INDEX('Pliegos Tarifarios (Huechuraba)'!$G:$G,MATCH($B5,'Pliegos Tarifarios (Huechuraba)'!$A:$A,0)),H5&lt;=1000,INDEX('Pliegos Tarifarios (Huechuraba)'!$H:$H,MATCH($B5,'Pliegos Tarifarios (Huechuraba)'!$A:$A,0)),H5&lt;=5000,INDEX('Pliegos Tarifarios (Huechuraba)'!$I:$I,MATCH($B5,'Pliegos Tarifarios (Huechuraba)'!$A:$A,0)),H5&gt;5000,INDEX('Pliegos Tarifarios (Huechuraba)'!$J:$J,MATCH($B5,'Pliegos Tarifarios (Huechuraba)'!$A:$A,0)))/1.19</f>
        <v>12048.403957983193</v>
      </c>
      <c r="R5" s="19">
        <f>INDEX('Pliegos Tarifarios (Huechuraba)'!$K:$K,MATCH($B5,'Pliegos Tarifarios (Huechuraba)'!$A:$A,0))</f>
        <v>710.78200000000004</v>
      </c>
      <c r="S5" s="36">
        <f t="shared" ref="S5:S68" si="0">SUM(M5:R5)</f>
        <v>723481.53431798331</v>
      </c>
      <c r="T5" s="36">
        <f t="shared" ref="T5:T68" si="1">S5*0.19</f>
        <v>137461.49152041684</v>
      </c>
      <c r="U5" s="19">
        <v>0</v>
      </c>
      <c r="V5" s="36">
        <f t="shared" ref="V5:V68" si="2">SUM(S5:T5)</f>
        <v>860943.02583840012</v>
      </c>
    </row>
    <row r="6" spans="1:22" ht="23.4" thickBot="1" x14ac:dyDescent="0.35">
      <c r="A6" s="25" t="s">
        <v>14</v>
      </c>
      <c r="B6" s="26">
        <v>1</v>
      </c>
      <c r="C6" s="27" t="s">
        <v>15</v>
      </c>
      <c r="D6" s="26" t="s">
        <v>23</v>
      </c>
      <c r="E6" s="26" t="s">
        <v>21</v>
      </c>
      <c r="F6" s="27" t="s">
        <v>24</v>
      </c>
      <c r="G6" s="26" t="s">
        <v>19</v>
      </c>
      <c r="H6" s="28">
        <v>3215.04</v>
      </c>
      <c r="I6" s="26">
        <v>8.64</v>
      </c>
      <c r="J6" s="26">
        <v>8.5500000000000007</v>
      </c>
      <c r="K6" s="29">
        <v>0.99</v>
      </c>
      <c r="L6" s="26">
        <v>103.71</v>
      </c>
      <c r="M6" s="19">
        <f>H6*INDEX('Pliegos Tarifarios (Huechuraba)'!$B:$B,MATCH($B6,'Pliegos Tarifarios (Huechuraba)'!$A:$A,0))</f>
        <v>382068.92351999995</v>
      </c>
      <c r="N6" s="19">
        <f>I6*INDEX('Pliegos Tarifarios (Huechuraba)'!$C:$C,MATCH($B6,'Pliegos Tarifarios (Huechuraba)'!$A:$A,0))</f>
        <v>29506.54176</v>
      </c>
      <c r="O6" s="19">
        <f>J6*INDEX('Pliegos Tarifarios (Huechuraba)'!$D:$D,MATCH($B6,'Pliegos Tarifarios (Huechuraba)'!$A:$A,0))</f>
        <v>120611.47275</v>
      </c>
      <c r="P6" s="19">
        <f>H6*INDEX('Pliegos Tarifarios (Huechuraba)'!$E:$E,MATCH($B6,'Pliegos Tarifarios (Huechuraba)'!$A:$A,0))</f>
        <v>41576.897279999997</v>
      </c>
      <c r="Q6" s="19" cm="1">
        <f t="array" ref="Q6">H6*_xlfn.IFS(H6&lt;=350,INDEX('Pliegos Tarifarios (Huechuraba)'!$F:$F,MATCH($B6,'Pliegos Tarifarios (Huechuraba)'!$A:$A,0)),H6&lt;=500,INDEX('Pliegos Tarifarios (Huechuraba)'!$G:$G,MATCH($B6,'Pliegos Tarifarios (Huechuraba)'!$A:$A,0)),H6&lt;=1000,INDEX('Pliegos Tarifarios (Huechuraba)'!$H:$H,MATCH($B6,'Pliegos Tarifarios (Huechuraba)'!$A:$A,0)),H6&lt;=5000,INDEX('Pliegos Tarifarios (Huechuraba)'!$I:$I,MATCH($B6,'Pliegos Tarifarios (Huechuraba)'!$A:$A,0)),H6&gt;5000,INDEX('Pliegos Tarifarios (Huechuraba)'!$J:$J,MATCH($B6,'Pliegos Tarifarios (Huechuraba)'!$A:$A,0)))/1.19</f>
        <v>9647.8217142857138</v>
      </c>
      <c r="R6" s="19">
        <f>INDEX('Pliegos Tarifarios (Huechuraba)'!$K:$K,MATCH($B6,'Pliegos Tarifarios (Huechuraba)'!$A:$A,0))</f>
        <v>710.78200000000004</v>
      </c>
      <c r="S6" s="36">
        <f t="shared" si="0"/>
        <v>584122.43902428576</v>
      </c>
      <c r="T6" s="36">
        <f t="shared" si="1"/>
        <v>110983.2634146143</v>
      </c>
      <c r="U6" s="19">
        <v>0</v>
      </c>
      <c r="V6" s="36">
        <f t="shared" si="2"/>
        <v>695105.70243890001</v>
      </c>
    </row>
    <row r="7" spans="1:22" ht="23.4" thickBot="1" x14ac:dyDescent="0.35">
      <c r="A7" s="25" t="s">
        <v>14</v>
      </c>
      <c r="B7" s="26">
        <v>1</v>
      </c>
      <c r="C7" s="27" t="s">
        <v>15</v>
      </c>
      <c r="D7" s="26" t="s">
        <v>25</v>
      </c>
      <c r="E7" s="26" t="s">
        <v>21</v>
      </c>
      <c r="F7" s="27" t="s">
        <v>26</v>
      </c>
      <c r="G7" s="26" t="s">
        <v>19</v>
      </c>
      <c r="H7" s="28">
        <v>2672.15</v>
      </c>
      <c r="I7" s="26">
        <v>7.12</v>
      </c>
      <c r="J7" s="26">
        <v>7.12</v>
      </c>
      <c r="K7" s="29">
        <v>1</v>
      </c>
      <c r="L7" s="26">
        <v>86.2</v>
      </c>
      <c r="M7" s="19">
        <f>H7*INDEX('Pliegos Tarifarios (Huechuraba)'!$B:$B,MATCH($B7,'Pliegos Tarifarios (Huechuraba)'!$A:$A,0))</f>
        <v>317552.96169999999</v>
      </c>
      <c r="N7" s="19">
        <f>I7*INDEX('Pliegos Tarifarios (Huechuraba)'!$C:$C,MATCH($B7,'Pliegos Tarifarios (Huechuraba)'!$A:$A,0))</f>
        <v>24315.576079999999</v>
      </c>
      <c r="O7" s="19">
        <f>J7*INDEX('Pliegos Tarifarios (Huechuraba)'!$D:$D,MATCH($B7,'Pliegos Tarifarios (Huechuraba)'!$A:$A,0))</f>
        <v>100439.0276</v>
      </c>
      <c r="P7" s="19">
        <f>H7*INDEX('Pliegos Tarifarios (Huechuraba)'!$E:$E,MATCH($B7,'Pliegos Tarifarios (Huechuraba)'!$A:$A,0))</f>
        <v>34556.243800000004</v>
      </c>
      <c r="Q7" s="19" cm="1">
        <f t="array" ref="Q7">H7*_xlfn.IFS(H7&lt;=350,INDEX('Pliegos Tarifarios (Huechuraba)'!$F:$F,MATCH($B7,'Pliegos Tarifarios (Huechuraba)'!$A:$A,0)),H7&lt;=500,INDEX('Pliegos Tarifarios (Huechuraba)'!$G:$G,MATCH($B7,'Pliegos Tarifarios (Huechuraba)'!$A:$A,0)),H7&lt;=1000,INDEX('Pliegos Tarifarios (Huechuraba)'!$H:$H,MATCH($B7,'Pliegos Tarifarios (Huechuraba)'!$A:$A,0)),H7&lt;=5000,INDEX('Pliegos Tarifarios (Huechuraba)'!$I:$I,MATCH($B7,'Pliegos Tarifarios (Huechuraba)'!$A:$A,0)),H7&gt;5000,INDEX('Pliegos Tarifarios (Huechuraba)'!$J:$J,MATCH($B7,'Pliegos Tarifarios (Huechuraba)'!$A:$A,0)))/1.19</f>
        <v>8018.6955042016807</v>
      </c>
      <c r="R7" s="19">
        <f>INDEX('Pliegos Tarifarios (Huechuraba)'!$K:$K,MATCH($B7,'Pliegos Tarifarios (Huechuraba)'!$A:$A,0))</f>
        <v>710.78200000000004</v>
      </c>
      <c r="S7" s="36">
        <f t="shared" si="0"/>
        <v>485593.28668420174</v>
      </c>
      <c r="T7" s="36">
        <f t="shared" si="1"/>
        <v>92262.724469998328</v>
      </c>
      <c r="U7" s="19">
        <v>0</v>
      </c>
      <c r="V7" s="36">
        <f t="shared" si="2"/>
        <v>577856.01115420007</v>
      </c>
    </row>
    <row r="8" spans="1:22" ht="23.4" thickBot="1" x14ac:dyDescent="0.35">
      <c r="A8" s="25" t="s">
        <v>14</v>
      </c>
      <c r="B8" s="26">
        <v>1</v>
      </c>
      <c r="C8" s="27" t="s">
        <v>15</v>
      </c>
      <c r="D8" s="26" t="s">
        <v>27</v>
      </c>
      <c r="E8" s="26" t="s">
        <v>21</v>
      </c>
      <c r="F8" s="27" t="s">
        <v>28</v>
      </c>
      <c r="G8" s="26" t="s">
        <v>19</v>
      </c>
      <c r="H8" s="28">
        <v>2889.98</v>
      </c>
      <c r="I8" s="26">
        <v>7.81</v>
      </c>
      <c r="J8" s="26">
        <v>7.57</v>
      </c>
      <c r="K8" s="29">
        <v>0.96899999999999997</v>
      </c>
      <c r="L8" s="26">
        <v>93.23</v>
      </c>
      <c r="M8" s="19">
        <f>H8*INDEX('Pliegos Tarifarios (Huechuraba)'!$B:$B,MATCH($B8,'Pliegos Tarifarios (Huechuraba)'!$A:$A,0))</f>
        <v>343439.44323999999</v>
      </c>
      <c r="N8" s="19">
        <f>I8*INDEX('Pliegos Tarifarios (Huechuraba)'!$C:$C,MATCH($B8,'Pliegos Tarifarios (Huechuraba)'!$A:$A,0))</f>
        <v>26672.001289999997</v>
      </c>
      <c r="O8" s="19">
        <f>J8*INDEX('Pliegos Tarifarios (Huechuraba)'!$D:$D,MATCH($B8,'Pliegos Tarifarios (Huechuraba)'!$A:$A,0))</f>
        <v>106786.99985000001</v>
      </c>
      <c r="P8" s="19">
        <f>H8*INDEX('Pliegos Tarifarios (Huechuraba)'!$E:$E,MATCH($B8,'Pliegos Tarifarios (Huechuraba)'!$A:$A,0))</f>
        <v>37373.221360000003</v>
      </c>
      <c r="Q8" s="19" cm="1">
        <f t="array" ref="Q8">H8*_xlfn.IFS(H8&lt;=350,INDEX('Pliegos Tarifarios (Huechuraba)'!$F:$F,MATCH($B8,'Pliegos Tarifarios (Huechuraba)'!$A:$A,0)),H8&lt;=500,INDEX('Pliegos Tarifarios (Huechuraba)'!$G:$G,MATCH($B8,'Pliegos Tarifarios (Huechuraba)'!$A:$A,0)),H8&lt;=1000,INDEX('Pliegos Tarifarios (Huechuraba)'!$H:$H,MATCH($B8,'Pliegos Tarifarios (Huechuraba)'!$A:$A,0)),H8&lt;=5000,INDEX('Pliegos Tarifarios (Huechuraba)'!$I:$I,MATCH($B8,'Pliegos Tarifarios (Huechuraba)'!$A:$A,0)),H8&gt;5000,INDEX('Pliegos Tarifarios (Huechuraba)'!$J:$J,MATCH($B8,'Pliegos Tarifarios (Huechuraba)'!$A:$A,0)))/1.19</f>
        <v>8672.3685546218476</v>
      </c>
      <c r="R8" s="19">
        <f>INDEX('Pliegos Tarifarios (Huechuraba)'!$K:$K,MATCH($B8,'Pliegos Tarifarios (Huechuraba)'!$A:$A,0))</f>
        <v>710.78200000000004</v>
      </c>
      <c r="S8" s="36">
        <f t="shared" si="0"/>
        <v>523654.81629462191</v>
      </c>
      <c r="T8" s="36">
        <f t="shared" si="1"/>
        <v>99494.415095978169</v>
      </c>
      <c r="U8" s="19">
        <v>0</v>
      </c>
      <c r="V8" s="36">
        <f t="shared" si="2"/>
        <v>623149.23139060009</v>
      </c>
    </row>
    <row r="9" spans="1:22" ht="23.4" thickBot="1" x14ac:dyDescent="0.35">
      <c r="A9" s="25" t="s">
        <v>14</v>
      </c>
      <c r="B9" s="26">
        <v>1</v>
      </c>
      <c r="C9" s="27" t="s">
        <v>15</v>
      </c>
      <c r="D9" s="26" t="s">
        <v>29</v>
      </c>
      <c r="E9" s="26" t="s">
        <v>21</v>
      </c>
      <c r="F9" s="27" t="s">
        <v>30</v>
      </c>
      <c r="G9" s="26" t="s">
        <v>19</v>
      </c>
      <c r="H9" s="28">
        <v>1922.78</v>
      </c>
      <c r="I9" s="26">
        <v>5.0999999999999996</v>
      </c>
      <c r="J9" s="26">
        <v>5.0999999999999996</v>
      </c>
      <c r="K9" s="29">
        <v>1</v>
      </c>
      <c r="L9" s="26">
        <v>62.03</v>
      </c>
      <c r="M9" s="19">
        <f>H9*INDEX('Pliegos Tarifarios (Huechuraba)'!$B:$B,MATCH($B9,'Pliegos Tarifarios (Huechuraba)'!$A:$A,0))</f>
        <v>228499.32963999998</v>
      </c>
      <c r="N9" s="19">
        <f>I9*INDEX('Pliegos Tarifarios (Huechuraba)'!$C:$C,MATCH($B9,'Pliegos Tarifarios (Huechuraba)'!$A:$A,0))</f>
        <v>17417.055899999999</v>
      </c>
      <c r="O9" s="19">
        <f>J9*INDEX('Pliegos Tarifarios (Huechuraba)'!$D:$D,MATCH($B9,'Pliegos Tarifarios (Huechuraba)'!$A:$A,0))</f>
        <v>71943.685499999992</v>
      </c>
      <c r="P9" s="19">
        <f>H9*INDEX('Pliegos Tarifarios (Huechuraba)'!$E:$E,MATCH($B9,'Pliegos Tarifarios (Huechuraba)'!$A:$A,0))</f>
        <v>24865.390960000001</v>
      </c>
      <c r="Q9" s="19" cm="1">
        <f t="array" ref="Q9">H9*_xlfn.IFS(H9&lt;=350,INDEX('Pliegos Tarifarios (Huechuraba)'!$F:$F,MATCH($B9,'Pliegos Tarifarios (Huechuraba)'!$A:$A,0)),H9&lt;=500,INDEX('Pliegos Tarifarios (Huechuraba)'!$G:$G,MATCH($B9,'Pliegos Tarifarios (Huechuraba)'!$A:$A,0)),H9&lt;=1000,INDEX('Pliegos Tarifarios (Huechuraba)'!$H:$H,MATCH($B9,'Pliegos Tarifarios (Huechuraba)'!$A:$A,0)),H9&lt;=5000,INDEX('Pliegos Tarifarios (Huechuraba)'!$I:$I,MATCH($B9,'Pliegos Tarifarios (Huechuraba)'!$A:$A,0)),H9&gt;5000,INDEX('Pliegos Tarifarios (Huechuraba)'!$J:$J,MATCH($B9,'Pliegos Tarifarios (Huechuraba)'!$A:$A,0)))/1.19</f>
        <v>5769.9557815126054</v>
      </c>
      <c r="R9" s="19">
        <f>INDEX('Pliegos Tarifarios (Huechuraba)'!$K:$K,MATCH($B9,'Pliegos Tarifarios (Huechuraba)'!$A:$A,0))</f>
        <v>710.78200000000004</v>
      </c>
      <c r="S9" s="36">
        <f t="shared" si="0"/>
        <v>349206.19978151255</v>
      </c>
      <c r="T9" s="36">
        <f t="shared" si="1"/>
        <v>66349.177958487388</v>
      </c>
      <c r="U9" s="19">
        <v>0</v>
      </c>
      <c r="V9" s="36">
        <f t="shared" si="2"/>
        <v>415555.37773999991</v>
      </c>
    </row>
    <row r="10" spans="1:22" ht="23.4" thickBot="1" x14ac:dyDescent="0.35">
      <c r="A10" s="25" t="s">
        <v>14</v>
      </c>
      <c r="B10" s="26">
        <v>1</v>
      </c>
      <c r="C10" s="27" t="s">
        <v>15</v>
      </c>
      <c r="D10" s="26" t="s">
        <v>31</v>
      </c>
      <c r="E10" s="26" t="s">
        <v>21</v>
      </c>
      <c r="F10" s="27" t="s">
        <v>32</v>
      </c>
      <c r="G10" s="26" t="s">
        <v>33</v>
      </c>
      <c r="H10" s="26">
        <v>641.89</v>
      </c>
      <c r="I10" s="26">
        <v>1.72</v>
      </c>
      <c r="J10" s="26">
        <v>1.68</v>
      </c>
      <c r="K10" s="29">
        <v>0.97799999999999998</v>
      </c>
      <c r="L10" s="26">
        <v>20.71</v>
      </c>
      <c r="M10" s="19">
        <f>H10*INDEX('Pliegos Tarifarios (Huechuraba)'!$B:$B,MATCH($B10,'Pliegos Tarifarios (Huechuraba)'!$A:$A,0))</f>
        <v>76280.923819999996</v>
      </c>
      <c r="N10" s="19">
        <f>I10*INDEX('Pliegos Tarifarios (Huechuraba)'!$C:$C,MATCH($B10,'Pliegos Tarifarios (Huechuraba)'!$A:$A,0))</f>
        <v>5873.9874799999998</v>
      </c>
      <c r="O10" s="19">
        <f>J10*INDEX('Pliegos Tarifarios (Huechuraba)'!$D:$D,MATCH($B10,'Pliegos Tarifarios (Huechuraba)'!$A:$A,0))</f>
        <v>23699.096399999999</v>
      </c>
      <c r="P10" s="19">
        <f>H10*INDEX('Pliegos Tarifarios (Huechuraba)'!$E:$E,MATCH($B10,'Pliegos Tarifarios (Huechuraba)'!$A:$A,0))</f>
        <v>8300.9214800000009</v>
      </c>
      <c r="Q10" s="19" cm="1">
        <f t="array" ref="Q10">H10*_xlfn.IFS(H10&lt;=350,INDEX('Pliegos Tarifarios (Huechuraba)'!$F:$F,MATCH($B10,'Pliegos Tarifarios (Huechuraba)'!$A:$A,0)),H10&lt;=500,INDEX('Pliegos Tarifarios (Huechuraba)'!$G:$G,MATCH($B10,'Pliegos Tarifarios (Huechuraba)'!$A:$A,0)),H10&lt;=1000,INDEX('Pliegos Tarifarios (Huechuraba)'!$H:$H,MATCH($B10,'Pliegos Tarifarios (Huechuraba)'!$A:$A,0)),H10&lt;=5000,INDEX('Pliegos Tarifarios (Huechuraba)'!$I:$I,MATCH($B10,'Pliegos Tarifarios (Huechuraba)'!$A:$A,0)),H10&gt;5000,INDEX('Pliegos Tarifarios (Huechuraba)'!$J:$J,MATCH($B10,'Pliegos Tarifarios (Huechuraba)'!$A:$A,0)))/1.19</f>
        <v>1505.4747815126052</v>
      </c>
      <c r="R10" s="19">
        <f>INDEX('Pliegos Tarifarios (Huechuraba)'!$K:$K,MATCH($B10,'Pliegos Tarifarios (Huechuraba)'!$A:$A,0))</f>
        <v>710.78200000000004</v>
      </c>
      <c r="S10" s="36">
        <f t="shared" si="0"/>
        <v>116371.1859615126</v>
      </c>
      <c r="T10" s="36">
        <f t="shared" si="1"/>
        <v>22110.525332687394</v>
      </c>
      <c r="U10" s="19">
        <v>0</v>
      </c>
      <c r="V10" s="36">
        <f t="shared" si="2"/>
        <v>138481.71129419998</v>
      </c>
    </row>
    <row r="11" spans="1:22" ht="23.4" thickBot="1" x14ac:dyDescent="0.35">
      <c r="A11" s="25" t="s">
        <v>14</v>
      </c>
      <c r="B11" s="26">
        <v>1</v>
      </c>
      <c r="C11" s="27" t="s">
        <v>15</v>
      </c>
      <c r="D11" s="26" t="s">
        <v>34</v>
      </c>
      <c r="E11" s="26" t="s">
        <v>21</v>
      </c>
      <c r="F11" s="27" t="s">
        <v>35</v>
      </c>
      <c r="G11" s="26" t="s">
        <v>19</v>
      </c>
      <c r="H11" s="28">
        <v>1931</v>
      </c>
      <c r="I11" s="26">
        <v>5.26</v>
      </c>
      <c r="J11" s="26">
        <v>5.07</v>
      </c>
      <c r="K11" s="29">
        <v>0.96499999999999997</v>
      </c>
      <c r="L11" s="26">
        <v>62.29</v>
      </c>
      <c r="M11" s="19">
        <f>H11*INDEX('Pliegos Tarifarios (Huechuraba)'!$B:$B,MATCH($B11,'Pliegos Tarifarios (Huechuraba)'!$A:$A,0))</f>
        <v>229476.17799999999</v>
      </c>
      <c r="N11" s="19">
        <f>I11*INDEX('Pliegos Tarifarios (Huechuraba)'!$C:$C,MATCH($B11,'Pliegos Tarifarios (Huechuraba)'!$A:$A,0))</f>
        <v>17963.47334</v>
      </c>
      <c r="O11" s="19">
        <f>J11*INDEX('Pliegos Tarifarios (Huechuraba)'!$D:$D,MATCH($B11,'Pliegos Tarifarios (Huechuraba)'!$A:$A,0))</f>
        <v>71520.487349999996</v>
      </c>
      <c r="P11" s="19">
        <f>H11*INDEX('Pliegos Tarifarios (Huechuraba)'!$E:$E,MATCH($B11,'Pliegos Tarifarios (Huechuraba)'!$A:$A,0))</f>
        <v>24971.691999999999</v>
      </c>
      <c r="Q11" s="19" cm="1">
        <f t="array" ref="Q11">H11*_xlfn.IFS(H11&lt;=350,INDEX('Pliegos Tarifarios (Huechuraba)'!$F:$F,MATCH($B11,'Pliegos Tarifarios (Huechuraba)'!$A:$A,0)),H11&lt;=500,INDEX('Pliegos Tarifarios (Huechuraba)'!$G:$G,MATCH($B11,'Pliegos Tarifarios (Huechuraba)'!$A:$A,0)),H11&lt;=1000,INDEX('Pliegos Tarifarios (Huechuraba)'!$H:$H,MATCH($B11,'Pliegos Tarifarios (Huechuraba)'!$A:$A,0)),H11&lt;=5000,INDEX('Pliegos Tarifarios (Huechuraba)'!$I:$I,MATCH($B11,'Pliegos Tarifarios (Huechuraba)'!$A:$A,0)),H11&gt;5000,INDEX('Pliegos Tarifarios (Huechuraba)'!$J:$J,MATCH($B11,'Pliegos Tarifarios (Huechuraba)'!$A:$A,0)))/1.19</f>
        <v>5794.6226890756307</v>
      </c>
      <c r="R11" s="19">
        <f>INDEX('Pliegos Tarifarios (Huechuraba)'!$K:$K,MATCH($B11,'Pliegos Tarifarios (Huechuraba)'!$A:$A,0))</f>
        <v>710.78200000000004</v>
      </c>
      <c r="S11" s="36">
        <f t="shared" si="0"/>
        <v>350437.23537907563</v>
      </c>
      <c r="T11" s="36">
        <f t="shared" si="1"/>
        <v>66583.074722024365</v>
      </c>
      <c r="U11" s="19">
        <v>0</v>
      </c>
      <c r="V11" s="36">
        <f t="shared" si="2"/>
        <v>417020.31010110001</v>
      </c>
    </row>
    <row r="12" spans="1:22" ht="23.4" thickBot="1" x14ac:dyDescent="0.35">
      <c r="A12" s="25" t="s">
        <v>14</v>
      </c>
      <c r="B12" s="26">
        <v>1</v>
      </c>
      <c r="C12" s="27" t="s">
        <v>15</v>
      </c>
      <c r="D12" s="26" t="s">
        <v>36</v>
      </c>
      <c r="E12" s="26" t="s">
        <v>37</v>
      </c>
      <c r="F12" s="27" t="s">
        <v>38</v>
      </c>
      <c r="G12" s="26" t="s">
        <v>33</v>
      </c>
      <c r="H12" s="26">
        <v>801.95</v>
      </c>
      <c r="I12" s="26">
        <v>2.13</v>
      </c>
      <c r="J12" s="26">
        <v>2.0699999999999998</v>
      </c>
      <c r="K12" s="29">
        <v>0.97</v>
      </c>
      <c r="L12" s="26">
        <v>25.87</v>
      </c>
      <c r="M12" s="19">
        <f>H12*INDEX('Pliegos Tarifarios (Huechuraba)'!$B:$B,MATCH($B12,'Pliegos Tarifarios (Huechuraba)'!$A:$A,0))</f>
        <v>95302.134099999996</v>
      </c>
      <c r="N12" s="19">
        <f>I12*INDEX('Pliegos Tarifarios (Huechuraba)'!$C:$C,MATCH($B12,'Pliegos Tarifarios (Huechuraba)'!$A:$A,0))</f>
        <v>7274.1821699999991</v>
      </c>
      <c r="O12" s="19">
        <f>J12*INDEX('Pliegos Tarifarios (Huechuraba)'!$D:$D,MATCH($B12,'Pliegos Tarifarios (Huechuraba)'!$A:$A,0))</f>
        <v>29200.672349999997</v>
      </c>
      <c r="P12" s="19">
        <f>H12*INDEX('Pliegos Tarifarios (Huechuraba)'!$E:$E,MATCH($B12,'Pliegos Tarifarios (Huechuraba)'!$A:$A,0))</f>
        <v>10370.817400000002</v>
      </c>
      <c r="Q12" s="19" cm="1">
        <f t="array" ref="Q12">H12*_xlfn.IFS(H12&lt;=350,INDEX('Pliegos Tarifarios (Huechuraba)'!$F:$F,MATCH($B12,'Pliegos Tarifarios (Huechuraba)'!$A:$A,0)),H12&lt;=500,INDEX('Pliegos Tarifarios (Huechuraba)'!$G:$G,MATCH($B12,'Pliegos Tarifarios (Huechuraba)'!$A:$A,0)),H12&lt;=1000,INDEX('Pliegos Tarifarios (Huechuraba)'!$H:$H,MATCH($B12,'Pliegos Tarifarios (Huechuraba)'!$A:$A,0)),H12&lt;=5000,INDEX('Pliegos Tarifarios (Huechuraba)'!$I:$I,MATCH($B12,'Pliegos Tarifarios (Huechuraba)'!$A:$A,0)),H12&gt;5000,INDEX('Pliegos Tarifarios (Huechuraba)'!$J:$J,MATCH($B12,'Pliegos Tarifarios (Huechuraba)'!$A:$A,0)))/1.19</f>
        <v>1880.876008403362</v>
      </c>
      <c r="R12" s="19">
        <f>INDEX('Pliegos Tarifarios (Huechuraba)'!$K:$K,MATCH($B12,'Pliegos Tarifarios (Huechuraba)'!$A:$A,0))</f>
        <v>710.78200000000004</v>
      </c>
      <c r="S12" s="36">
        <f t="shared" si="0"/>
        <v>144739.46402840337</v>
      </c>
      <c r="T12" s="36">
        <f t="shared" si="1"/>
        <v>27500.498165396639</v>
      </c>
      <c r="U12" s="19">
        <v>0</v>
      </c>
      <c r="V12" s="36">
        <f t="shared" si="2"/>
        <v>172239.96219380002</v>
      </c>
    </row>
    <row r="13" spans="1:22" ht="23.4" thickBot="1" x14ac:dyDescent="0.35">
      <c r="A13" s="25" t="s">
        <v>14</v>
      </c>
      <c r="B13" s="26">
        <v>1</v>
      </c>
      <c r="C13" s="27" t="s">
        <v>15</v>
      </c>
      <c r="D13" s="26" t="s">
        <v>39</v>
      </c>
      <c r="E13" s="26" t="s">
        <v>37</v>
      </c>
      <c r="F13" s="27" t="s">
        <v>40</v>
      </c>
      <c r="G13" s="26" t="s">
        <v>33</v>
      </c>
      <c r="H13" s="26">
        <v>642.98</v>
      </c>
      <c r="I13" s="26">
        <v>1.68</v>
      </c>
      <c r="J13" s="26">
        <v>1.68</v>
      </c>
      <c r="K13" s="29">
        <v>1</v>
      </c>
      <c r="L13" s="26">
        <v>20.74</v>
      </c>
      <c r="M13" s="19">
        <f>H13*INDEX('Pliegos Tarifarios (Huechuraba)'!$B:$B,MATCH($B13,'Pliegos Tarifarios (Huechuraba)'!$A:$A,0))</f>
        <v>76410.457240000003</v>
      </c>
      <c r="N13" s="19">
        <f>I13*INDEX('Pliegos Tarifarios (Huechuraba)'!$C:$C,MATCH($B13,'Pliegos Tarifarios (Huechuraba)'!$A:$A,0))</f>
        <v>5737.3831199999995</v>
      </c>
      <c r="O13" s="19">
        <f>J13*INDEX('Pliegos Tarifarios (Huechuraba)'!$D:$D,MATCH($B13,'Pliegos Tarifarios (Huechuraba)'!$A:$A,0))</f>
        <v>23699.096399999999</v>
      </c>
      <c r="P13" s="19">
        <f>H13*INDEX('Pliegos Tarifarios (Huechuraba)'!$E:$E,MATCH($B13,'Pliegos Tarifarios (Huechuraba)'!$A:$A,0))</f>
        <v>8315.0173599999998</v>
      </c>
      <c r="Q13" s="19" cm="1">
        <f t="array" ref="Q13">H13*_xlfn.IFS(H13&lt;=350,INDEX('Pliegos Tarifarios (Huechuraba)'!$F:$F,MATCH($B13,'Pliegos Tarifarios (Huechuraba)'!$A:$A,0)),H13&lt;=500,INDEX('Pliegos Tarifarios (Huechuraba)'!$G:$G,MATCH($B13,'Pliegos Tarifarios (Huechuraba)'!$A:$A,0)),H13&lt;=1000,INDEX('Pliegos Tarifarios (Huechuraba)'!$H:$H,MATCH($B13,'Pliegos Tarifarios (Huechuraba)'!$A:$A,0)),H13&lt;=5000,INDEX('Pliegos Tarifarios (Huechuraba)'!$I:$I,MATCH($B13,'Pliegos Tarifarios (Huechuraba)'!$A:$A,0)),H13&gt;5000,INDEX('Pliegos Tarifarios (Huechuraba)'!$J:$J,MATCH($B13,'Pliegos Tarifarios (Huechuraba)'!$A:$A,0)))/1.19</f>
        <v>1508.0312436974793</v>
      </c>
      <c r="R13" s="19">
        <f>INDEX('Pliegos Tarifarios (Huechuraba)'!$K:$K,MATCH($B13,'Pliegos Tarifarios (Huechuraba)'!$A:$A,0))</f>
        <v>710.78200000000004</v>
      </c>
      <c r="S13" s="36">
        <f t="shared" si="0"/>
        <v>116380.76736369748</v>
      </c>
      <c r="T13" s="36">
        <f t="shared" si="1"/>
        <v>22112.345799102521</v>
      </c>
      <c r="U13" s="19">
        <v>0</v>
      </c>
      <c r="V13" s="36">
        <f t="shared" si="2"/>
        <v>138493.1131628</v>
      </c>
    </row>
    <row r="14" spans="1:22" ht="23.4" thickBot="1" x14ac:dyDescent="0.35">
      <c r="A14" s="25" t="s">
        <v>14</v>
      </c>
      <c r="B14" s="26">
        <v>1</v>
      </c>
      <c r="C14" s="27" t="s">
        <v>15</v>
      </c>
      <c r="D14" s="26" t="s">
        <v>41</v>
      </c>
      <c r="E14" s="26" t="s">
        <v>37</v>
      </c>
      <c r="F14" s="27" t="s">
        <v>42</v>
      </c>
      <c r="G14" s="26" t="s">
        <v>33</v>
      </c>
      <c r="H14" s="28">
        <v>1283.44</v>
      </c>
      <c r="I14" s="26">
        <v>3.47</v>
      </c>
      <c r="J14" s="26">
        <v>3.35</v>
      </c>
      <c r="K14" s="29">
        <v>0.96799999999999997</v>
      </c>
      <c r="L14" s="26">
        <v>41.4</v>
      </c>
      <c r="M14" s="19">
        <f>H14*INDEX('Pliegos Tarifarios (Huechuraba)'!$B:$B,MATCH($B14,'Pliegos Tarifarios (Huechuraba)'!$A:$A,0))</f>
        <v>152521.44271999999</v>
      </c>
      <c r="N14" s="19">
        <f>I14*INDEX('Pliegos Tarifarios (Huechuraba)'!$C:$C,MATCH($B14,'Pliegos Tarifarios (Huechuraba)'!$A:$A,0))</f>
        <v>11850.42823</v>
      </c>
      <c r="O14" s="19">
        <f>J14*INDEX('Pliegos Tarifarios (Huechuraba)'!$D:$D,MATCH($B14,'Pliegos Tarifarios (Huechuraba)'!$A:$A,0))</f>
        <v>47257.126750000003</v>
      </c>
      <c r="P14" s="19">
        <f>H14*INDEX('Pliegos Tarifarios (Huechuraba)'!$E:$E,MATCH($B14,'Pliegos Tarifarios (Huechuraba)'!$A:$A,0))</f>
        <v>16597.446080000002</v>
      </c>
      <c r="Q14" s="19" cm="1">
        <f t="array" ref="Q14">H14*_xlfn.IFS(H14&lt;=350,INDEX('Pliegos Tarifarios (Huechuraba)'!$F:$F,MATCH($B14,'Pliegos Tarifarios (Huechuraba)'!$A:$A,0)),H14&lt;=500,INDEX('Pliegos Tarifarios (Huechuraba)'!$G:$G,MATCH($B14,'Pliegos Tarifarios (Huechuraba)'!$A:$A,0)),H14&lt;=1000,INDEX('Pliegos Tarifarios (Huechuraba)'!$H:$H,MATCH($B14,'Pliegos Tarifarios (Huechuraba)'!$A:$A,0)),H14&lt;=5000,INDEX('Pliegos Tarifarios (Huechuraba)'!$I:$I,MATCH($B14,'Pliegos Tarifarios (Huechuraba)'!$A:$A,0)),H14&gt;5000,INDEX('Pliegos Tarifarios (Huechuraba)'!$J:$J,MATCH($B14,'Pliegos Tarifarios (Huechuraba)'!$A:$A,0)))/1.19</f>
        <v>3851.3985210084038</v>
      </c>
      <c r="R14" s="19">
        <f>INDEX('Pliegos Tarifarios (Huechuraba)'!$K:$K,MATCH($B14,'Pliegos Tarifarios (Huechuraba)'!$A:$A,0))</f>
        <v>710.78200000000004</v>
      </c>
      <c r="S14" s="36">
        <f t="shared" si="0"/>
        <v>232788.62430100839</v>
      </c>
      <c r="T14" s="36">
        <f t="shared" si="1"/>
        <v>44229.838617191592</v>
      </c>
      <c r="U14" s="19">
        <v>0</v>
      </c>
      <c r="V14" s="36">
        <f t="shared" si="2"/>
        <v>277018.46291819995</v>
      </c>
    </row>
    <row r="15" spans="1:22" ht="23.4" thickBot="1" x14ac:dyDescent="0.35">
      <c r="A15" s="25" t="s">
        <v>14</v>
      </c>
      <c r="B15" s="26">
        <v>1</v>
      </c>
      <c r="C15" s="27" t="s">
        <v>15</v>
      </c>
      <c r="D15" s="26" t="s">
        <v>43</v>
      </c>
      <c r="E15" s="26" t="s">
        <v>37</v>
      </c>
      <c r="F15" s="27" t="s">
        <v>44</v>
      </c>
      <c r="G15" s="26" t="s">
        <v>33</v>
      </c>
      <c r="H15" s="26">
        <v>483.17</v>
      </c>
      <c r="I15" s="26">
        <v>1.27</v>
      </c>
      <c r="J15" s="26">
        <v>1.26</v>
      </c>
      <c r="K15" s="29">
        <v>0.99299999999999999</v>
      </c>
      <c r="L15" s="26">
        <v>15.59</v>
      </c>
      <c r="M15" s="19">
        <f>H15*INDEX('Pliegos Tarifarios (Huechuraba)'!$B:$B,MATCH($B15,'Pliegos Tarifarios (Huechuraba)'!$A:$A,0))</f>
        <v>57418.956460000001</v>
      </c>
      <c r="N15" s="19">
        <f>I15*INDEX('Pliegos Tarifarios (Huechuraba)'!$C:$C,MATCH($B15,'Pliegos Tarifarios (Huechuraba)'!$A:$A,0))</f>
        <v>4337.1884300000002</v>
      </c>
      <c r="O15" s="19">
        <f>J15*INDEX('Pliegos Tarifarios (Huechuraba)'!$D:$D,MATCH($B15,'Pliegos Tarifarios (Huechuraba)'!$A:$A,0))</f>
        <v>17774.3223</v>
      </c>
      <c r="P15" s="19">
        <f>H15*INDEX('Pliegos Tarifarios (Huechuraba)'!$E:$E,MATCH($B15,'Pliegos Tarifarios (Huechuraba)'!$A:$A,0))</f>
        <v>6248.3544400000001</v>
      </c>
      <c r="Q15" s="19" cm="1">
        <f t="array" ref="Q15">H15*_xlfn.IFS(H15&lt;=350,INDEX('Pliegos Tarifarios (Huechuraba)'!$F:$F,MATCH($B15,'Pliegos Tarifarios (Huechuraba)'!$A:$A,0)),H15&lt;=500,INDEX('Pliegos Tarifarios (Huechuraba)'!$G:$G,MATCH($B15,'Pliegos Tarifarios (Huechuraba)'!$A:$A,0)),H15&lt;=1000,INDEX('Pliegos Tarifarios (Huechuraba)'!$H:$H,MATCH($B15,'Pliegos Tarifarios (Huechuraba)'!$A:$A,0)),H15&lt;=5000,INDEX('Pliegos Tarifarios (Huechuraba)'!$I:$I,MATCH($B15,'Pliegos Tarifarios (Huechuraba)'!$A:$A,0)),H15&gt;5000,INDEX('Pliegos Tarifarios (Huechuraba)'!$J:$J,MATCH($B15,'Pliegos Tarifarios (Huechuraba)'!$A:$A,0)))/1.19</f>
        <v>680.49825210084043</v>
      </c>
      <c r="R15" s="19">
        <f>INDEX('Pliegos Tarifarios (Huechuraba)'!$K:$K,MATCH($B15,'Pliegos Tarifarios (Huechuraba)'!$A:$A,0))</f>
        <v>710.78200000000004</v>
      </c>
      <c r="S15" s="36">
        <f t="shared" si="0"/>
        <v>87170.101882100833</v>
      </c>
      <c r="T15" s="36">
        <f t="shared" si="1"/>
        <v>16562.319357599157</v>
      </c>
      <c r="U15" s="19">
        <v>0</v>
      </c>
      <c r="V15" s="36">
        <f t="shared" si="2"/>
        <v>103732.42123969999</v>
      </c>
    </row>
    <row r="16" spans="1:22" ht="23.4" thickBot="1" x14ac:dyDescent="0.35">
      <c r="A16" s="25" t="s">
        <v>14</v>
      </c>
      <c r="B16" s="26">
        <v>1</v>
      </c>
      <c r="C16" s="27" t="s">
        <v>15</v>
      </c>
      <c r="D16" s="26" t="s">
        <v>45</v>
      </c>
      <c r="E16" s="26" t="s">
        <v>37</v>
      </c>
      <c r="F16" s="27" t="s">
        <v>46</v>
      </c>
      <c r="G16" s="26" t="s">
        <v>33</v>
      </c>
      <c r="H16" s="26">
        <v>481.62</v>
      </c>
      <c r="I16" s="26">
        <v>1.28</v>
      </c>
      <c r="J16" s="26">
        <v>1.28</v>
      </c>
      <c r="K16" s="29">
        <v>1</v>
      </c>
      <c r="L16" s="26">
        <v>15.54</v>
      </c>
      <c r="M16" s="19">
        <f>H16*INDEX('Pliegos Tarifarios (Huechuraba)'!$B:$B,MATCH($B16,'Pliegos Tarifarios (Huechuraba)'!$A:$A,0))</f>
        <v>57234.757559999998</v>
      </c>
      <c r="N16" s="19">
        <f>I16*INDEX('Pliegos Tarifarios (Huechuraba)'!$C:$C,MATCH($B16,'Pliegos Tarifarios (Huechuraba)'!$A:$A,0))</f>
        <v>4371.3395199999995</v>
      </c>
      <c r="O16" s="19">
        <f>J16*INDEX('Pliegos Tarifarios (Huechuraba)'!$D:$D,MATCH($B16,'Pliegos Tarifarios (Huechuraba)'!$A:$A,0))</f>
        <v>18056.454399999999</v>
      </c>
      <c r="P16" s="19">
        <f>H16*INDEX('Pliegos Tarifarios (Huechuraba)'!$E:$E,MATCH($B16,'Pliegos Tarifarios (Huechuraba)'!$A:$A,0))</f>
        <v>6228.3098399999999</v>
      </c>
      <c r="Q16" s="19" cm="1">
        <f t="array" ref="Q16">H16*_xlfn.IFS(H16&lt;=350,INDEX('Pliegos Tarifarios (Huechuraba)'!$F:$F,MATCH($B16,'Pliegos Tarifarios (Huechuraba)'!$A:$A,0)),H16&lt;=500,INDEX('Pliegos Tarifarios (Huechuraba)'!$G:$G,MATCH($B16,'Pliegos Tarifarios (Huechuraba)'!$A:$A,0)),H16&lt;=1000,INDEX('Pliegos Tarifarios (Huechuraba)'!$H:$H,MATCH($B16,'Pliegos Tarifarios (Huechuraba)'!$A:$A,0)),H16&lt;=5000,INDEX('Pliegos Tarifarios (Huechuraba)'!$I:$I,MATCH($B16,'Pliegos Tarifarios (Huechuraba)'!$A:$A,0)),H16&gt;5000,INDEX('Pliegos Tarifarios (Huechuraba)'!$J:$J,MATCH($B16,'Pliegos Tarifarios (Huechuraba)'!$A:$A,0)))/1.19</f>
        <v>678.31522689075643</v>
      </c>
      <c r="R16" s="19">
        <f>INDEX('Pliegos Tarifarios (Huechuraba)'!$K:$K,MATCH($B16,'Pliegos Tarifarios (Huechuraba)'!$A:$A,0))</f>
        <v>710.78200000000004</v>
      </c>
      <c r="S16" s="36">
        <f t="shared" si="0"/>
        <v>87279.958546890761</v>
      </c>
      <c r="T16" s="36">
        <f t="shared" si="1"/>
        <v>16583.192123909244</v>
      </c>
      <c r="U16" s="19">
        <v>0</v>
      </c>
      <c r="V16" s="36">
        <f t="shared" si="2"/>
        <v>103863.15067080001</v>
      </c>
    </row>
    <row r="17" spans="1:22" ht="23.4" thickBot="1" x14ac:dyDescent="0.35">
      <c r="A17" s="25" t="s">
        <v>14</v>
      </c>
      <c r="B17" s="26">
        <v>1</v>
      </c>
      <c r="C17" s="27" t="s">
        <v>15</v>
      </c>
      <c r="D17" s="26" t="s">
        <v>47</v>
      </c>
      <c r="E17" s="26" t="s">
        <v>37</v>
      </c>
      <c r="F17" s="27" t="s">
        <v>48</v>
      </c>
      <c r="G17" s="26" t="s">
        <v>33</v>
      </c>
      <c r="H17" s="26">
        <v>963.47</v>
      </c>
      <c r="I17" s="26">
        <v>2.54</v>
      </c>
      <c r="J17" s="26">
        <v>2.5</v>
      </c>
      <c r="K17" s="29">
        <v>0.98399999999999999</v>
      </c>
      <c r="L17" s="26">
        <v>31.08</v>
      </c>
      <c r="M17" s="19">
        <f>H17*INDEX('Pliegos Tarifarios (Huechuraba)'!$B:$B,MATCH($B17,'Pliegos Tarifarios (Huechuraba)'!$A:$A,0))</f>
        <v>114496.84785999999</v>
      </c>
      <c r="N17" s="19">
        <f>I17*INDEX('Pliegos Tarifarios (Huechuraba)'!$C:$C,MATCH($B17,'Pliegos Tarifarios (Huechuraba)'!$A:$A,0))</f>
        <v>8674.3768600000003</v>
      </c>
      <c r="O17" s="19">
        <f>J17*INDEX('Pliegos Tarifarios (Huechuraba)'!$D:$D,MATCH($B17,'Pliegos Tarifarios (Huechuraba)'!$A:$A,0))</f>
        <v>35266.512499999997</v>
      </c>
      <c r="P17" s="19">
        <f>H17*INDEX('Pliegos Tarifarios (Huechuraba)'!$E:$E,MATCH($B17,'Pliegos Tarifarios (Huechuraba)'!$A:$A,0))</f>
        <v>12459.59404</v>
      </c>
      <c r="Q17" s="19" cm="1">
        <f t="array" ref="Q17">H17*_xlfn.IFS(H17&lt;=350,INDEX('Pliegos Tarifarios (Huechuraba)'!$F:$F,MATCH($B17,'Pliegos Tarifarios (Huechuraba)'!$A:$A,0)),H17&lt;=500,INDEX('Pliegos Tarifarios (Huechuraba)'!$G:$G,MATCH($B17,'Pliegos Tarifarios (Huechuraba)'!$A:$A,0)),H17&lt;=1000,INDEX('Pliegos Tarifarios (Huechuraba)'!$H:$H,MATCH($B17,'Pliegos Tarifarios (Huechuraba)'!$A:$A,0)),H17&lt;=5000,INDEX('Pliegos Tarifarios (Huechuraba)'!$I:$I,MATCH($B17,'Pliegos Tarifarios (Huechuraba)'!$A:$A,0)),H17&gt;5000,INDEX('Pliegos Tarifarios (Huechuraba)'!$J:$J,MATCH($B17,'Pliegos Tarifarios (Huechuraba)'!$A:$A,0)))/1.19</f>
        <v>2259.7014873949583</v>
      </c>
      <c r="R17" s="19">
        <f>INDEX('Pliegos Tarifarios (Huechuraba)'!$K:$K,MATCH($B17,'Pliegos Tarifarios (Huechuraba)'!$A:$A,0))</f>
        <v>710.78200000000004</v>
      </c>
      <c r="S17" s="36">
        <f t="shared" si="0"/>
        <v>173867.81474739496</v>
      </c>
      <c r="T17" s="36">
        <f t="shared" si="1"/>
        <v>33034.884802005043</v>
      </c>
      <c r="U17" s="19">
        <v>0</v>
      </c>
      <c r="V17" s="36">
        <f t="shared" si="2"/>
        <v>206902.69954940001</v>
      </c>
    </row>
    <row r="18" spans="1:22" ht="23.4" thickBot="1" x14ac:dyDescent="0.35">
      <c r="A18" s="25" t="s">
        <v>14</v>
      </c>
      <c r="B18" s="26">
        <v>1</v>
      </c>
      <c r="C18" s="27" t="s">
        <v>15</v>
      </c>
      <c r="D18" s="26" t="s">
        <v>49</v>
      </c>
      <c r="E18" s="26" t="s">
        <v>50</v>
      </c>
      <c r="F18" s="27" t="s">
        <v>51</v>
      </c>
      <c r="G18" s="26" t="s">
        <v>33</v>
      </c>
      <c r="H18" s="26">
        <v>962.09</v>
      </c>
      <c r="I18" s="26">
        <v>2.59</v>
      </c>
      <c r="J18" s="26">
        <v>2.52</v>
      </c>
      <c r="K18" s="29">
        <v>0.97199999999999998</v>
      </c>
      <c r="L18" s="26">
        <v>31.04</v>
      </c>
      <c r="M18" s="19">
        <f>H18*INDEX('Pliegos Tarifarios (Huechuraba)'!$B:$B,MATCH($B18,'Pliegos Tarifarios (Huechuraba)'!$A:$A,0))</f>
        <v>114332.85141999999</v>
      </c>
      <c r="N18" s="19">
        <f>I18*INDEX('Pliegos Tarifarios (Huechuraba)'!$C:$C,MATCH($B18,'Pliegos Tarifarios (Huechuraba)'!$A:$A,0))</f>
        <v>8845.1323099999991</v>
      </c>
      <c r="O18" s="19">
        <f>J18*INDEX('Pliegos Tarifarios (Huechuraba)'!$D:$D,MATCH($B18,'Pliegos Tarifarios (Huechuraba)'!$A:$A,0))</f>
        <v>35548.6446</v>
      </c>
      <c r="P18" s="19">
        <f>H18*INDEX('Pliegos Tarifarios (Huechuraba)'!$E:$E,MATCH($B18,'Pliegos Tarifarios (Huechuraba)'!$A:$A,0))</f>
        <v>12441.747880000001</v>
      </c>
      <c r="Q18" s="19" cm="1">
        <f t="array" ref="Q18">H18*_xlfn.IFS(H18&lt;=350,INDEX('Pliegos Tarifarios (Huechuraba)'!$F:$F,MATCH($B18,'Pliegos Tarifarios (Huechuraba)'!$A:$A,0)),H18&lt;=500,INDEX('Pliegos Tarifarios (Huechuraba)'!$G:$G,MATCH($B18,'Pliegos Tarifarios (Huechuraba)'!$A:$A,0)),H18&lt;=1000,INDEX('Pliegos Tarifarios (Huechuraba)'!$H:$H,MATCH($B18,'Pliegos Tarifarios (Huechuraba)'!$A:$A,0)),H18&lt;=5000,INDEX('Pliegos Tarifarios (Huechuraba)'!$I:$I,MATCH($B18,'Pliegos Tarifarios (Huechuraba)'!$A:$A,0)),H18&gt;5000,INDEX('Pliegos Tarifarios (Huechuraba)'!$J:$J,MATCH($B18,'Pliegos Tarifarios (Huechuraba)'!$A:$A,0)))/1.19</f>
        <v>2256.4648655462188</v>
      </c>
      <c r="R18" s="19">
        <f>INDEX('Pliegos Tarifarios (Huechuraba)'!$K:$K,MATCH($B18,'Pliegos Tarifarios (Huechuraba)'!$A:$A,0))</f>
        <v>710.78200000000004</v>
      </c>
      <c r="S18" s="36">
        <f t="shared" si="0"/>
        <v>174135.6230755462</v>
      </c>
      <c r="T18" s="36">
        <f t="shared" si="1"/>
        <v>33085.768384353782</v>
      </c>
      <c r="U18" s="19">
        <v>0</v>
      </c>
      <c r="V18" s="36">
        <f t="shared" si="2"/>
        <v>207221.39145989998</v>
      </c>
    </row>
    <row r="19" spans="1:22" ht="23.4" thickBot="1" x14ac:dyDescent="0.35">
      <c r="A19" s="25" t="s">
        <v>14</v>
      </c>
      <c r="B19" s="26">
        <v>1</v>
      </c>
      <c r="C19" s="27" t="s">
        <v>15</v>
      </c>
      <c r="D19" s="26" t="s">
        <v>52</v>
      </c>
      <c r="E19" s="26" t="s">
        <v>50</v>
      </c>
      <c r="F19" s="27" t="s">
        <v>53</v>
      </c>
      <c r="G19" s="26" t="s">
        <v>33</v>
      </c>
      <c r="H19" s="26">
        <v>967.3</v>
      </c>
      <c r="I19" s="26">
        <v>2.67</v>
      </c>
      <c r="J19" s="26">
        <v>2.57</v>
      </c>
      <c r="K19" s="29">
        <v>0.96599999999999997</v>
      </c>
      <c r="L19" s="26">
        <v>31.2</v>
      </c>
      <c r="M19" s="19">
        <f>H19*INDEX('Pliegos Tarifarios (Huechuraba)'!$B:$B,MATCH($B19,'Pliegos Tarifarios (Huechuraba)'!$A:$A,0))</f>
        <v>114951.99739999999</v>
      </c>
      <c r="N19" s="19">
        <f>I19*INDEX('Pliegos Tarifarios (Huechuraba)'!$C:$C,MATCH($B19,'Pliegos Tarifarios (Huechuraba)'!$A:$A,0))</f>
        <v>9118.3410299999996</v>
      </c>
      <c r="O19" s="19">
        <f>J19*INDEX('Pliegos Tarifarios (Huechuraba)'!$D:$D,MATCH($B19,'Pliegos Tarifarios (Huechuraba)'!$A:$A,0))</f>
        <v>36253.974849999999</v>
      </c>
      <c r="P19" s="19">
        <f>H19*INDEX('Pliegos Tarifarios (Huechuraba)'!$E:$E,MATCH($B19,'Pliegos Tarifarios (Huechuraba)'!$A:$A,0))</f>
        <v>12509.123599999999</v>
      </c>
      <c r="Q19" s="19" cm="1">
        <f t="array" ref="Q19">H19*_xlfn.IFS(H19&lt;=350,INDEX('Pliegos Tarifarios (Huechuraba)'!$F:$F,MATCH($B19,'Pliegos Tarifarios (Huechuraba)'!$A:$A,0)),H19&lt;=500,INDEX('Pliegos Tarifarios (Huechuraba)'!$G:$G,MATCH($B19,'Pliegos Tarifarios (Huechuraba)'!$A:$A,0)),H19&lt;=1000,INDEX('Pliegos Tarifarios (Huechuraba)'!$H:$H,MATCH($B19,'Pliegos Tarifarios (Huechuraba)'!$A:$A,0)),H19&lt;=5000,INDEX('Pliegos Tarifarios (Huechuraba)'!$I:$I,MATCH($B19,'Pliegos Tarifarios (Huechuraba)'!$A:$A,0)),H19&gt;5000,INDEX('Pliegos Tarifarios (Huechuraba)'!$J:$J,MATCH($B19,'Pliegos Tarifarios (Huechuraba)'!$A:$A,0)))/1.19</f>
        <v>2268.684285714286</v>
      </c>
      <c r="R19" s="19">
        <f>INDEX('Pliegos Tarifarios (Huechuraba)'!$K:$K,MATCH($B19,'Pliegos Tarifarios (Huechuraba)'!$A:$A,0))</f>
        <v>710.78200000000004</v>
      </c>
      <c r="S19" s="36">
        <f t="shared" si="0"/>
        <v>175812.90316571429</v>
      </c>
      <c r="T19" s="36">
        <f t="shared" si="1"/>
        <v>33404.451601485714</v>
      </c>
      <c r="U19" s="19">
        <v>0</v>
      </c>
      <c r="V19" s="36">
        <f t="shared" si="2"/>
        <v>209217.35476720001</v>
      </c>
    </row>
    <row r="20" spans="1:22" ht="23.4" thickBot="1" x14ac:dyDescent="0.35">
      <c r="A20" s="25" t="s">
        <v>14</v>
      </c>
      <c r="B20" s="26">
        <v>1</v>
      </c>
      <c r="C20" s="27" t="s">
        <v>15</v>
      </c>
      <c r="D20" s="26" t="s">
        <v>54</v>
      </c>
      <c r="E20" s="26" t="s">
        <v>55</v>
      </c>
      <c r="F20" s="27" t="s">
        <v>56</v>
      </c>
      <c r="G20" s="26" t="s">
        <v>33</v>
      </c>
      <c r="H20" s="26">
        <v>482.54</v>
      </c>
      <c r="I20" s="26">
        <v>1.32</v>
      </c>
      <c r="J20" s="26">
        <v>1.29</v>
      </c>
      <c r="K20" s="29">
        <v>0.98099999999999998</v>
      </c>
      <c r="L20" s="26">
        <v>15.57</v>
      </c>
      <c r="M20" s="19">
        <f>H20*INDEX('Pliegos Tarifarios (Huechuraba)'!$B:$B,MATCH($B20,'Pliegos Tarifarios (Huechuraba)'!$A:$A,0))</f>
        <v>57344.088519999998</v>
      </c>
      <c r="N20" s="19">
        <f>I20*INDEX('Pliegos Tarifarios (Huechuraba)'!$C:$C,MATCH($B20,'Pliegos Tarifarios (Huechuraba)'!$A:$A,0))</f>
        <v>4507.9438799999998</v>
      </c>
      <c r="O20" s="19">
        <f>J20*INDEX('Pliegos Tarifarios (Huechuraba)'!$D:$D,MATCH($B20,'Pliegos Tarifarios (Huechuraba)'!$A:$A,0))</f>
        <v>18197.52045</v>
      </c>
      <c r="P20" s="19">
        <f>H20*INDEX('Pliegos Tarifarios (Huechuraba)'!$E:$E,MATCH($B20,'Pliegos Tarifarios (Huechuraba)'!$A:$A,0))</f>
        <v>6240.2072800000005</v>
      </c>
      <c r="Q20" s="19" cm="1">
        <f t="array" ref="Q20">H20*_xlfn.IFS(H20&lt;=350,INDEX('Pliegos Tarifarios (Huechuraba)'!$F:$F,MATCH($B20,'Pliegos Tarifarios (Huechuraba)'!$A:$A,0)),H20&lt;=500,INDEX('Pliegos Tarifarios (Huechuraba)'!$G:$G,MATCH($B20,'Pliegos Tarifarios (Huechuraba)'!$A:$A,0)),H20&lt;=1000,INDEX('Pliegos Tarifarios (Huechuraba)'!$H:$H,MATCH($B20,'Pliegos Tarifarios (Huechuraba)'!$A:$A,0)),H20&lt;=5000,INDEX('Pliegos Tarifarios (Huechuraba)'!$I:$I,MATCH($B20,'Pliegos Tarifarios (Huechuraba)'!$A:$A,0)),H20&gt;5000,INDEX('Pliegos Tarifarios (Huechuraba)'!$J:$J,MATCH($B20,'Pliegos Tarifarios (Huechuraba)'!$A:$A,0)))/1.19</f>
        <v>679.61095798319343</v>
      </c>
      <c r="R20" s="19">
        <f>INDEX('Pliegos Tarifarios (Huechuraba)'!$K:$K,MATCH($B20,'Pliegos Tarifarios (Huechuraba)'!$A:$A,0))</f>
        <v>710.78200000000004</v>
      </c>
      <c r="S20" s="36">
        <f t="shared" si="0"/>
        <v>87680.153087983199</v>
      </c>
      <c r="T20" s="36">
        <f t="shared" si="1"/>
        <v>16659.229086716809</v>
      </c>
      <c r="U20" s="19">
        <v>0</v>
      </c>
      <c r="V20" s="36">
        <f t="shared" si="2"/>
        <v>104339.3821747</v>
      </c>
    </row>
    <row r="21" spans="1:22" ht="23.4" thickBot="1" x14ac:dyDescent="0.35">
      <c r="A21" s="25" t="s">
        <v>14</v>
      </c>
      <c r="B21" s="26">
        <v>1</v>
      </c>
      <c r="C21" s="27" t="s">
        <v>15</v>
      </c>
      <c r="D21" s="26" t="s">
        <v>57</v>
      </c>
      <c r="E21" s="26" t="s">
        <v>58</v>
      </c>
      <c r="F21" s="27" t="s">
        <v>59</v>
      </c>
      <c r="G21" s="26" t="s">
        <v>33</v>
      </c>
      <c r="H21" s="26">
        <v>320.92</v>
      </c>
      <c r="I21" s="26">
        <v>0.87</v>
      </c>
      <c r="J21" s="26">
        <v>0.85</v>
      </c>
      <c r="K21" s="29">
        <v>0.96799999999999997</v>
      </c>
      <c r="L21" s="26">
        <v>10.35</v>
      </c>
      <c r="M21" s="19">
        <f>H21*INDEX('Pliegos Tarifarios (Huechuraba)'!$B:$B,MATCH($B21,'Pliegos Tarifarios (Huechuraba)'!$A:$A,0))</f>
        <v>38137.490960000003</v>
      </c>
      <c r="N21" s="19">
        <f>I21*INDEX('Pliegos Tarifarios (Huechuraba)'!$C:$C,MATCH($B21,'Pliegos Tarifarios (Huechuraba)'!$A:$A,0))</f>
        <v>2971.1448299999997</v>
      </c>
      <c r="O21" s="19">
        <f>J21*INDEX('Pliegos Tarifarios (Huechuraba)'!$D:$D,MATCH($B21,'Pliegos Tarifarios (Huechuraba)'!$A:$A,0))</f>
        <v>11990.614249999999</v>
      </c>
      <c r="P21" s="19">
        <f>H21*INDEX('Pliegos Tarifarios (Huechuraba)'!$E:$E,MATCH($B21,'Pliegos Tarifarios (Huechuraba)'!$A:$A,0))</f>
        <v>4150.1374400000004</v>
      </c>
      <c r="Q21" s="19" cm="1">
        <f t="array" ref="Q21">H21*_xlfn.IFS(H21&lt;=350,INDEX('Pliegos Tarifarios (Huechuraba)'!$F:$F,MATCH($B21,'Pliegos Tarifarios (Huechuraba)'!$A:$A,0)),H21&lt;=500,INDEX('Pliegos Tarifarios (Huechuraba)'!$G:$G,MATCH($B21,'Pliegos Tarifarios (Huechuraba)'!$A:$A,0)),H21&lt;=1000,INDEX('Pliegos Tarifarios (Huechuraba)'!$H:$H,MATCH($B21,'Pliegos Tarifarios (Huechuraba)'!$A:$A,0)),H21&lt;=5000,INDEX('Pliegos Tarifarios (Huechuraba)'!$I:$I,MATCH($B21,'Pliegos Tarifarios (Huechuraba)'!$A:$A,0)),H21&gt;5000,INDEX('Pliegos Tarifarios (Huechuraba)'!$J:$J,MATCH($B21,'Pliegos Tarifarios (Huechuraba)'!$A:$A,0)))/1.19</f>
        <v>211.42964705882358</v>
      </c>
      <c r="R21" s="19">
        <f>INDEX('Pliegos Tarifarios (Huechuraba)'!$K:$K,MATCH($B21,'Pliegos Tarifarios (Huechuraba)'!$A:$A,0))</f>
        <v>710.78200000000004</v>
      </c>
      <c r="S21" s="36">
        <f t="shared" si="0"/>
        <v>58171.59912705882</v>
      </c>
      <c r="T21" s="36">
        <f t="shared" si="1"/>
        <v>11052.603834141177</v>
      </c>
      <c r="U21" s="19">
        <v>0</v>
      </c>
      <c r="V21" s="36">
        <f t="shared" si="2"/>
        <v>69224.202961200004</v>
      </c>
    </row>
    <row r="22" spans="1:22" ht="23.4" thickBot="1" x14ac:dyDescent="0.35">
      <c r="A22" s="25" t="s">
        <v>14</v>
      </c>
      <c r="B22" s="26">
        <v>1</v>
      </c>
      <c r="C22" s="27" t="s">
        <v>15</v>
      </c>
      <c r="D22" s="26" t="s">
        <v>60</v>
      </c>
      <c r="E22" s="26" t="s">
        <v>61</v>
      </c>
      <c r="F22" s="27" t="s">
        <v>62</v>
      </c>
      <c r="G22" s="26" t="s">
        <v>33</v>
      </c>
      <c r="H22" s="26">
        <v>322.01</v>
      </c>
      <c r="I22" s="26">
        <v>0.86</v>
      </c>
      <c r="J22" s="26">
        <v>0.86</v>
      </c>
      <c r="K22" s="29">
        <v>0.99299999999999999</v>
      </c>
      <c r="L22" s="26">
        <v>10.39</v>
      </c>
      <c r="M22" s="19">
        <f>H22*INDEX('Pliegos Tarifarios (Huechuraba)'!$B:$B,MATCH($B22,'Pliegos Tarifarios (Huechuraba)'!$A:$A,0))</f>
        <v>38267.024379999995</v>
      </c>
      <c r="N22" s="19">
        <f>I22*INDEX('Pliegos Tarifarios (Huechuraba)'!$C:$C,MATCH($B22,'Pliegos Tarifarios (Huechuraba)'!$A:$A,0))</f>
        <v>2936.9937399999999</v>
      </c>
      <c r="O22" s="19">
        <f>J22*INDEX('Pliegos Tarifarios (Huechuraba)'!$D:$D,MATCH($B22,'Pliegos Tarifarios (Huechuraba)'!$A:$A,0))</f>
        <v>12131.6803</v>
      </c>
      <c r="P22" s="19">
        <f>H22*INDEX('Pliegos Tarifarios (Huechuraba)'!$E:$E,MATCH($B22,'Pliegos Tarifarios (Huechuraba)'!$A:$A,0))</f>
        <v>4164.2333200000003</v>
      </c>
      <c r="Q22" s="19" cm="1">
        <f t="array" ref="Q22">H22*_xlfn.IFS(H22&lt;=350,INDEX('Pliegos Tarifarios (Huechuraba)'!$F:$F,MATCH($B22,'Pliegos Tarifarios (Huechuraba)'!$A:$A,0)),H22&lt;=500,INDEX('Pliegos Tarifarios (Huechuraba)'!$G:$G,MATCH($B22,'Pliegos Tarifarios (Huechuraba)'!$A:$A,0)),H22&lt;=1000,INDEX('Pliegos Tarifarios (Huechuraba)'!$H:$H,MATCH($B22,'Pliegos Tarifarios (Huechuraba)'!$A:$A,0)),H22&lt;=5000,INDEX('Pliegos Tarifarios (Huechuraba)'!$I:$I,MATCH($B22,'Pliegos Tarifarios (Huechuraba)'!$A:$A,0)),H22&gt;5000,INDEX('Pliegos Tarifarios (Huechuraba)'!$J:$J,MATCH($B22,'Pliegos Tarifarios (Huechuraba)'!$A:$A,0)))/1.19</f>
        <v>212.14776470588237</v>
      </c>
      <c r="R22" s="19">
        <f>INDEX('Pliegos Tarifarios (Huechuraba)'!$K:$K,MATCH($B22,'Pliegos Tarifarios (Huechuraba)'!$A:$A,0))</f>
        <v>710.78200000000004</v>
      </c>
      <c r="S22" s="36">
        <f t="shared" si="0"/>
        <v>58422.861504705877</v>
      </c>
      <c r="T22" s="36">
        <f t="shared" si="1"/>
        <v>11100.343685894117</v>
      </c>
      <c r="U22" s="19">
        <v>0</v>
      </c>
      <c r="V22" s="36">
        <f t="shared" si="2"/>
        <v>69523.205190599998</v>
      </c>
    </row>
    <row r="23" spans="1:22" ht="23.4" thickBot="1" x14ac:dyDescent="0.35">
      <c r="A23" s="25" t="s">
        <v>14</v>
      </c>
      <c r="B23" s="26">
        <v>1</v>
      </c>
      <c r="C23" s="27" t="s">
        <v>15</v>
      </c>
      <c r="D23" s="26" t="s">
        <v>63</v>
      </c>
      <c r="E23" s="26" t="s">
        <v>64</v>
      </c>
      <c r="F23" s="27" t="s">
        <v>65</v>
      </c>
      <c r="G23" s="26" t="s">
        <v>33</v>
      </c>
      <c r="H23" s="26">
        <v>321.25</v>
      </c>
      <c r="I23" s="26">
        <v>0.86</v>
      </c>
      <c r="J23" s="26">
        <v>0.86</v>
      </c>
      <c r="K23" s="29">
        <v>0.996</v>
      </c>
      <c r="L23" s="26">
        <v>10.36</v>
      </c>
      <c r="M23" s="19">
        <f>H23*INDEX('Pliegos Tarifarios (Huechuraba)'!$B:$B,MATCH($B23,'Pliegos Tarifarios (Huechuraba)'!$A:$A,0))</f>
        <v>38176.707499999997</v>
      </c>
      <c r="N23" s="19">
        <f>I23*INDEX('Pliegos Tarifarios (Huechuraba)'!$C:$C,MATCH($B23,'Pliegos Tarifarios (Huechuraba)'!$A:$A,0))</f>
        <v>2936.9937399999999</v>
      </c>
      <c r="O23" s="19">
        <f>J23*INDEX('Pliegos Tarifarios (Huechuraba)'!$D:$D,MATCH($B23,'Pliegos Tarifarios (Huechuraba)'!$A:$A,0))</f>
        <v>12131.6803</v>
      </c>
      <c r="P23" s="19">
        <f>H23*INDEX('Pliegos Tarifarios (Huechuraba)'!$E:$E,MATCH($B23,'Pliegos Tarifarios (Huechuraba)'!$A:$A,0))</f>
        <v>4154.4049999999997</v>
      </c>
      <c r="Q23" s="19" cm="1">
        <f t="array" ref="Q23">H23*_xlfn.IFS(H23&lt;=350,INDEX('Pliegos Tarifarios (Huechuraba)'!$F:$F,MATCH($B23,'Pliegos Tarifarios (Huechuraba)'!$A:$A,0)),H23&lt;=500,INDEX('Pliegos Tarifarios (Huechuraba)'!$G:$G,MATCH($B23,'Pliegos Tarifarios (Huechuraba)'!$A:$A,0)),H23&lt;=1000,INDEX('Pliegos Tarifarios (Huechuraba)'!$H:$H,MATCH($B23,'Pliegos Tarifarios (Huechuraba)'!$A:$A,0)),H23&lt;=5000,INDEX('Pliegos Tarifarios (Huechuraba)'!$I:$I,MATCH($B23,'Pliegos Tarifarios (Huechuraba)'!$A:$A,0)),H23&gt;5000,INDEX('Pliegos Tarifarios (Huechuraba)'!$J:$J,MATCH($B23,'Pliegos Tarifarios (Huechuraba)'!$A:$A,0)))/1.19</f>
        <v>211.64705882352942</v>
      </c>
      <c r="R23" s="19">
        <f>INDEX('Pliegos Tarifarios (Huechuraba)'!$K:$K,MATCH($B23,'Pliegos Tarifarios (Huechuraba)'!$A:$A,0))</f>
        <v>710.78200000000004</v>
      </c>
      <c r="S23" s="36">
        <f t="shared" si="0"/>
        <v>58322.215598823524</v>
      </c>
      <c r="T23" s="36">
        <f t="shared" si="1"/>
        <v>11081.22096377647</v>
      </c>
      <c r="U23" s="19">
        <v>0</v>
      </c>
      <c r="V23" s="36">
        <f t="shared" si="2"/>
        <v>69403.436562599993</v>
      </c>
    </row>
    <row r="24" spans="1:22" ht="23.4" thickBot="1" x14ac:dyDescent="0.35">
      <c r="A24" s="25" t="s">
        <v>14</v>
      </c>
      <c r="B24" s="26">
        <v>1</v>
      </c>
      <c r="C24" s="27" t="s">
        <v>15</v>
      </c>
      <c r="D24" s="26" t="s">
        <v>66</v>
      </c>
      <c r="E24" s="26" t="s">
        <v>37</v>
      </c>
      <c r="F24" s="27" t="s">
        <v>67</v>
      </c>
      <c r="G24" s="26" t="s">
        <v>33</v>
      </c>
      <c r="H24" s="26">
        <v>640.72</v>
      </c>
      <c r="I24" s="26">
        <v>1.7</v>
      </c>
      <c r="J24" s="26">
        <v>1.67</v>
      </c>
      <c r="K24" s="29">
        <v>0.97899999999999998</v>
      </c>
      <c r="L24" s="26">
        <v>20.67</v>
      </c>
      <c r="M24" s="19">
        <f>H24*INDEX('Pliegos Tarifarios (Huechuraba)'!$B:$B,MATCH($B24,'Pliegos Tarifarios (Huechuraba)'!$A:$A,0))</f>
        <v>76141.883359999993</v>
      </c>
      <c r="N24" s="19">
        <f>I24*INDEX('Pliegos Tarifarios (Huechuraba)'!$C:$C,MATCH($B24,'Pliegos Tarifarios (Huechuraba)'!$A:$A,0))</f>
        <v>5805.6853000000001</v>
      </c>
      <c r="O24" s="19">
        <f>J24*INDEX('Pliegos Tarifarios (Huechuraba)'!$D:$D,MATCH($B24,'Pliegos Tarifarios (Huechuraba)'!$A:$A,0))</f>
        <v>23558.030349999997</v>
      </c>
      <c r="P24" s="19">
        <f>H24*INDEX('Pliegos Tarifarios (Huechuraba)'!$E:$E,MATCH($B24,'Pliegos Tarifarios (Huechuraba)'!$A:$A,0))</f>
        <v>8285.7910400000001</v>
      </c>
      <c r="Q24" s="19" cm="1">
        <f t="array" ref="Q24">H24*_xlfn.IFS(H24&lt;=350,INDEX('Pliegos Tarifarios (Huechuraba)'!$F:$F,MATCH($B24,'Pliegos Tarifarios (Huechuraba)'!$A:$A,0)),H24&lt;=500,INDEX('Pliegos Tarifarios (Huechuraba)'!$G:$G,MATCH($B24,'Pliegos Tarifarios (Huechuraba)'!$A:$A,0)),H24&lt;=1000,INDEX('Pliegos Tarifarios (Huechuraba)'!$H:$H,MATCH($B24,'Pliegos Tarifarios (Huechuraba)'!$A:$A,0)),H24&lt;=5000,INDEX('Pliegos Tarifarios (Huechuraba)'!$I:$I,MATCH($B24,'Pliegos Tarifarios (Huechuraba)'!$A:$A,0)),H24&gt;5000,INDEX('Pliegos Tarifarios (Huechuraba)'!$J:$J,MATCH($B24,'Pliegos Tarifarios (Huechuraba)'!$A:$A,0)))/1.19</f>
        <v>1502.7306890756306</v>
      </c>
      <c r="R24" s="19">
        <f>INDEX('Pliegos Tarifarios (Huechuraba)'!$K:$K,MATCH($B24,'Pliegos Tarifarios (Huechuraba)'!$A:$A,0))</f>
        <v>710.78200000000004</v>
      </c>
      <c r="S24" s="36">
        <f t="shared" si="0"/>
        <v>116004.90273907562</v>
      </c>
      <c r="T24" s="36">
        <f t="shared" si="1"/>
        <v>22040.931520424369</v>
      </c>
      <c r="U24" s="19">
        <v>0</v>
      </c>
      <c r="V24" s="36">
        <f t="shared" si="2"/>
        <v>138045.8342595</v>
      </c>
    </row>
    <row r="25" spans="1:22" ht="23.4" thickBot="1" x14ac:dyDescent="0.35">
      <c r="A25" s="25" t="s">
        <v>14</v>
      </c>
      <c r="B25" s="26">
        <v>1</v>
      </c>
      <c r="C25" s="27" t="s">
        <v>15</v>
      </c>
      <c r="D25" s="26" t="s">
        <v>68</v>
      </c>
      <c r="E25" s="26" t="s">
        <v>37</v>
      </c>
      <c r="F25" s="27" t="s">
        <v>69</v>
      </c>
      <c r="G25" s="26" t="s">
        <v>33</v>
      </c>
      <c r="H25" s="26">
        <v>641.23</v>
      </c>
      <c r="I25" s="26">
        <v>1.69</v>
      </c>
      <c r="J25" s="26">
        <v>1.69</v>
      </c>
      <c r="K25" s="29">
        <v>0.999</v>
      </c>
      <c r="L25" s="26">
        <v>20.68</v>
      </c>
      <c r="M25" s="19">
        <f>H25*INDEX('Pliegos Tarifarios (Huechuraba)'!$B:$B,MATCH($B25,'Pliegos Tarifarios (Huechuraba)'!$A:$A,0))</f>
        <v>76202.490739999994</v>
      </c>
      <c r="N25" s="19">
        <f>I25*INDEX('Pliegos Tarifarios (Huechuraba)'!$C:$C,MATCH($B25,'Pliegos Tarifarios (Huechuraba)'!$A:$A,0))</f>
        <v>5771.5342099999998</v>
      </c>
      <c r="O25" s="19">
        <f>J25*INDEX('Pliegos Tarifarios (Huechuraba)'!$D:$D,MATCH($B25,'Pliegos Tarifarios (Huechuraba)'!$A:$A,0))</f>
        <v>23840.16245</v>
      </c>
      <c r="P25" s="19">
        <f>H25*INDEX('Pliegos Tarifarios (Huechuraba)'!$E:$E,MATCH($B25,'Pliegos Tarifarios (Huechuraba)'!$A:$A,0))</f>
        <v>8292.3863600000004</v>
      </c>
      <c r="Q25" s="19" cm="1">
        <f t="array" ref="Q25">H25*_xlfn.IFS(H25&lt;=350,INDEX('Pliegos Tarifarios (Huechuraba)'!$F:$F,MATCH($B25,'Pliegos Tarifarios (Huechuraba)'!$A:$A,0)),H25&lt;=500,INDEX('Pliegos Tarifarios (Huechuraba)'!$G:$G,MATCH($B25,'Pliegos Tarifarios (Huechuraba)'!$A:$A,0)),H25&lt;=1000,INDEX('Pliegos Tarifarios (Huechuraba)'!$H:$H,MATCH($B25,'Pliegos Tarifarios (Huechuraba)'!$A:$A,0)),H25&lt;=5000,INDEX('Pliegos Tarifarios (Huechuraba)'!$I:$I,MATCH($B25,'Pliegos Tarifarios (Huechuraba)'!$A:$A,0)),H25&gt;5000,INDEX('Pliegos Tarifarios (Huechuraba)'!$J:$J,MATCH($B25,'Pliegos Tarifarios (Huechuraba)'!$A:$A,0)))/1.19</f>
        <v>1503.9268319327734</v>
      </c>
      <c r="R25" s="19">
        <f>INDEX('Pliegos Tarifarios (Huechuraba)'!$K:$K,MATCH($B25,'Pliegos Tarifarios (Huechuraba)'!$A:$A,0))</f>
        <v>710.78200000000004</v>
      </c>
      <c r="S25" s="36">
        <f t="shared" si="0"/>
        <v>116321.28259193277</v>
      </c>
      <c r="T25" s="36">
        <f t="shared" si="1"/>
        <v>22101.043692467229</v>
      </c>
      <c r="U25" s="19">
        <v>0</v>
      </c>
      <c r="V25" s="36">
        <f t="shared" si="2"/>
        <v>138422.32628440001</v>
      </c>
    </row>
    <row r="26" spans="1:22" ht="23.4" thickBot="1" x14ac:dyDescent="0.35">
      <c r="A26" s="25" t="s">
        <v>14</v>
      </c>
      <c r="B26" s="26">
        <v>1</v>
      </c>
      <c r="C26" s="27" t="s">
        <v>15</v>
      </c>
      <c r="D26" s="26" t="s">
        <v>70</v>
      </c>
      <c r="E26" s="26" t="s">
        <v>37</v>
      </c>
      <c r="F26" s="27" t="s">
        <v>71</v>
      </c>
      <c r="G26" s="26" t="s">
        <v>33</v>
      </c>
      <c r="H26" s="26">
        <v>642.28</v>
      </c>
      <c r="I26" s="26">
        <v>1.69</v>
      </c>
      <c r="J26" s="26">
        <v>1.69</v>
      </c>
      <c r="K26" s="29">
        <v>0.997</v>
      </c>
      <c r="L26" s="26">
        <v>20.72</v>
      </c>
      <c r="M26" s="19">
        <f>H26*INDEX('Pliegos Tarifarios (Huechuraba)'!$B:$B,MATCH($B26,'Pliegos Tarifarios (Huechuraba)'!$A:$A,0))</f>
        <v>76327.270639999988</v>
      </c>
      <c r="N26" s="19">
        <f>I26*INDEX('Pliegos Tarifarios (Huechuraba)'!$C:$C,MATCH($B26,'Pliegos Tarifarios (Huechuraba)'!$A:$A,0))</f>
        <v>5771.5342099999998</v>
      </c>
      <c r="O26" s="19">
        <f>J26*INDEX('Pliegos Tarifarios (Huechuraba)'!$D:$D,MATCH($B26,'Pliegos Tarifarios (Huechuraba)'!$A:$A,0))</f>
        <v>23840.16245</v>
      </c>
      <c r="P26" s="19">
        <f>H26*INDEX('Pliegos Tarifarios (Huechuraba)'!$E:$E,MATCH($B26,'Pliegos Tarifarios (Huechuraba)'!$A:$A,0))</f>
        <v>8305.9649599999993</v>
      </c>
      <c r="Q26" s="19" cm="1">
        <f t="array" ref="Q26">H26*_xlfn.IFS(H26&lt;=350,INDEX('Pliegos Tarifarios (Huechuraba)'!$F:$F,MATCH($B26,'Pliegos Tarifarios (Huechuraba)'!$A:$A,0)),H26&lt;=500,INDEX('Pliegos Tarifarios (Huechuraba)'!$G:$G,MATCH($B26,'Pliegos Tarifarios (Huechuraba)'!$A:$A,0)),H26&lt;=1000,INDEX('Pliegos Tarifarios (Huechuraba)'!$H:$H,MATCH($B26,'Pliegos Tarifarios (Huechuraba)'!$A:$A,0)),H26&lt;=5000,INDEX('Pliegos Tarifarios (Huechuraba)'!$I:$I,MATCH($B26,'Pliegos Tarifarios (Huechuraba)'!$A:$A,0)),H26&gt;5000,INDEX('Pliegos Tarifarios (Huechuraba)'!$J:$J,MATCH($B26,'Pliegos Tarifarios (Huechuraba)'!$A:$A,0)))/1.19</f>
        <v>1506.3894789915969</v>
      </c>
      <c r="R26" s="19">
        <f>INDEX('Pliegos Tarifarios (Huechuraba)'!$K:$K,MATCH($B26,'Pliegos Tarifarios (Huechuraba)'!$A:$A,0))</f>
        <v>710.78200000000004</v>
      </c>
      <c r="S26" s="36">
        <f t="shared" si="0"/>
        <v>116462.10373899159</v>
      </c>
      <c r="T26" s="36">
        <f t="shared" si="1"/>
        <v>22127.799710408402</v>
      </c>
      <c r="U26" s="19">
        <v>0</v>
      </c>
      <c r="V26" s="36">
        <f t="shared" si="2"/>
        <v>138589.90344939998</v>
      </c>
    </row>
    <row r="27" spans="1:22" ht="23.4" thickBot="1" x14ac:dyDescent="0.35">
      <c r="A27" s="25" t="s">
        <v>14</v>
      </c>
      <c r="B27" s="26">
        <v>1</v>
      </c>
      <c r="C27" s="27" t="s">
        <v>15</v>
      </c>
      <c r="D27" s="26" t="s">
        <v>72</v>
      </c>
      <c r="E27" s="26" t="s">
        <v>73</v>
      </c>
      <c r="F27" s="27" t="s">
        <v>74</v>
      </c>
      <c r="G27" s="26" t="s">
        <v>33</v>
      </c>
      <c r="H27" s="26">
        <v>802.9</v>
      </c>
      <c r="I27" s="26">
        <v>2.13</v>
      </c>
      <c r="J27" s="26">
        <v>2.11</v>
      </c>
      <c r="K27" s="29">
        <v>0.99</v>
      </c>
      <c r="L27" s="26">
        <v>25.9</v>
      </c>
      <c r="M27" s="19">
        <f>H27*INDEX('Pliegos Tarifarios (Huechuraba)'!$B:$B,MATCH($B27,'Pliegos Tarifarios (Huechuraba)'!$A:$A,0))</f>
        <v>95415.030199999994</v>
      </c>
      <c r="N27" s="19">
        <f>I27*INDEX('Pliegos Tarifarios (Huechuraba)'!$C:$C,MATCH($B27,'Pliegos Tarifarios (Huechuraba)'!$A:$A,0))</f>
        <v>7274.1821699999991</v>
      </c>
      <c r="O27" s="19">
        <f>J27*INDEX('Pliegos Tarifarios (Huechuraba)'!$D:$D,MATCH($B27,'Pliegos Tarifarios (Huechuraba)'!$A:$A,0))</f>
        <v>29764.936549999999</v>
      </c>
      <c r="P27" s="19">
        <f>H27*INDEX('Pliegos Tarifarios (Huechuraba)'!$E:$E,MATCH($B27,'Pliegos Tarifarios (Huechuraba)'!$A:$A,0))</f>
        <v>10383.102800000001</v>
      </c>
      <c r="Q27" s="19" cm="1">
        <f t="array" ref="Q27">H27*_xlfn.IFS(H27&lt;=350,INDEX('Pliegos Tarifarios (Huechuraba)'!$F:$F,MATCH($B27,'Pliegos Tarifarios (Huechuraba)'!$A:$A,0)),H27&lt;=500,INDEX('Pliegos Tarifarios (Huechuraba)'!$G:$G,MATCH($B27,'Pliegos Tarifarios (Huechuraba)'!$A:$A,0)),H27&lt;=1000,INDEX('Pliegos Tarifarios (Huechuraba)'!$H:$H,MATCH($B27,'Pliegos Tarifarios (Huechuraba)'!$A:$A,0)),H27&lt;=5000,INDEX('Pliegos Tarifarios (Huechuraba)'!$I:$I,MATCH($B27,'Pliegos Tarifarios (Huechuraba)'!$A:$A,0)),H27&gt;5000,INDEX('Pliegos Tarifarios (Huechuraba)'!$J:$J,MATCH($B27,'Pliegos Tarifarios (Huechuraba)'!$A:$A,0)))/1.19</f>
        <v>1883.104117647059</v>
      </c>
      <c r="R27" s="19">
        <f>INDEX('Pliegos Tarifarios (Huechuraba)'!$K:$K,MATCH($B27,'Pliegos Tarifarios (Huechuraba)'!$A:$A,0))</f>
        <v>710.78200000000004</v>
      </c>
      <c r="S27" s="36">
        <f t="shared" si="0"/>
        <v>145431.13783764705</v>
      </c>
      <c r="T27" s="36">
        <f t="shared" si="1"/>
        <v>27631.91618915294</v>
      </c>
      <c r="U27" s="19">
        <v>0</v>
      </c>
      <c r="V27" s="36">
        <f t="shared" si="2"/>
        <v>173063.0540268</v>
      </c>
    </row>
    <row r="28" spans="1:22" ht="23.4" thickBot="1" x14ac:dyDescent="0.35">
      <c r="A28" s="25" t="s">
        <v>14</v>
      </c>
      <c r="B28" s="26">
        <v>1</v>
      </c>
      <c r="C28" s="27" t="s">
        <v>15</v>
      </c>
      <c r="D28" s="26" t="s">
        <v>75</v>
      </c>
      <c r="E28" s="26" t="s">
        <v>76</v>
      </c>
      <c r="F28" s="27" t="s">
        <v>77</v>
      </c>
      <c r="G28" s="26" t="s">
        <v>19</v>
      </c>
      <c r="H28" s="28">
        <v>1286.46</v>
      </c>
      <c r="I28" s="26">
        <v>3.45</v>
      </c>
      <c r="J28" s="26">
        <v>3.38</v>
      </c>
      <c r="K28" s="29">
        <v>0.98199999999999998</v>
      </c>
      <c r="L28" s="26">
        <v>41.5</v>
      </c>
      <c r="M28" s="19">
        <f>H28*INDEX('Pliegos Tarifarios (Huechuraba)'!$B:$B,MATCH($B28,'Pliegos Tarifarios (Huechuraba)'!$A:$A,0))</f>
        <v>152880.33348</v>
      </c>
      <c r="N28" s="19">
        <f>I28*INDEX('Pliegos Tarifarios (Huechuraba)'!$C:$C,MATCH($B28,'Pliegos Tarifarios (Huechuraba)'!$A:$A,0))</f>
        <v>11782.126050000001</v>
      </c>
      <c r="O28" s="19">
        <f>J28*INDEX('Pliegos Tarifarios (Huechuraba)'!$D:$D,MATCH($B28,'Pliegos Tarifarios (Huechuraba)'!$A:$A,0))</f>
        <v>47680.3249</v>
      </c>
      <c r="P28" s="19">
        <f>H28*INDEX('Pliegos Tarifarios (Huechuraba)'!$E:$E,MATCH($B28,'Pliegos Tarifarios (Huechuraba)'!$A:$A,0))</f>
        <v>16636.50072</v>
      </c>
      <c r="Q28" s="19" cm="1">
        <f t="array" ref="Q28">H28*_xlfn.IFS(H28&lt;=350,INDEX('Pliegos Tarifarios (Huechuraba)'!$F:$F,MATCH($B28,'Pliegos Tarifarios (Huechuraba)'!$A:$A,0)),H28&lt;=500,INDEX('Pliegos Tarifarios (Huechuraba)'!$G:$G,MATCH($B28,'Pliegos Tarifarios (Huechuraba)'!$A:$A,0)),H28&lt;=1000,INDEX('Pliegos Tarifarios (Huechuraba)'!$H:$H,MATCH($B28,'Pliegos Tarifarios (Huechuraba)'!$A:$A,0)),H28&lt;=5000,INDEX('Pliegos Tarifarios (Huechuraba)'!$I:$I,MATCH($B28,'Pliegos Tarifarios (Huechuraba)'!$A:$A,0)),H28&gt;5000,INDEX('Pliegos Tarifarios (Huechuraba)'!$J:$J,MATCH($B28,'Pliegos Tarifarios (Huechuraba)'!$A:$A,0)))/1.19</f>
        <v>3860.4610588235296</v>
      </c>
      <c r="R28" s="19">
        <f>INDEX('Pliegos Tarifarios (Huechuraba)'!$K:$K,MATCH($B28,'Pliegos Tarifarios (Huechuraba)'!$A:$A,0))</f>
        <v>710.78200000000004</v>
      </c>
      <c r="S28" s="36">
        <f t="shared" si="0"/>
        <v>233550.52820882355</v>
      </c>
      <c r="T28" s="36">
        <f t="shared" si="1"/>
        <v>44374.600359676479</v>
      </c>
      <c r="U28" s="19">
        <v>0</v>
      </c>
      <c r="V28" s="36">
        <f t="shared" si="2"/>
        <v>277925.12856850005</v>
      </c>
    </row>
    <row r="29" spans="1:22" ht="23.4" thickBot="1" x14ac:dyDescent="0.35">
      <c r="A29" s="25" t="s">
        <v>14</v>
      </c>
      <c r="B29" s="26">
        <v>1</v>
      </c>
      <c r="C29" s="27" t="s">
        <v>15</v>
      </c>
      <c r="D29" s="26" t="s">
        <v>78</v>
      </c>
      <c r="E29" s="26" t="s">
        <v>76</v>
      </c>
      <c r="F29" s="27" t="s">
        <v>79</v>
      </c>
      <c r="G29" s="26" t="s">
        <v>19</v>
      </c>
      <c r="H29" s="26">
        <v>966.94</v>
      </c>
      <c r="I29" s="26">
        <v>2.57</v>
      </c>
      <c r="J29" s="26">
        <v>2.57</v>
      </c>
      <c r="K29" s="29">
        <v>1</v>
      </c>
      <c r="L29" s="26">
        <v>31.19</v>
      </c>
      <c r="M29" s="19">
        <f>H29*INDEX('Pliegos Tarifarios (Huechuraba)'!$B:$B,MATCH($B29,'Pliegos Tarifarios (Huechuraba)'!$A:$A,0))</f>
        <v>114909.21572000001</v>
      </c>
      <c r="N29" s="19">
        <f>I29*INDEX('Pliegos Tarifarios (Huechuraba)'!$C:$C,MATCH($B29,'Pliegos Tarifarios (Huechuraba)'!$A:$A,0))</f>
        <v>8776.8301299999985</v>
      </c>
      <c r="O29" s="19">
        <f>J29*INDEX('Pliegos Tarifarios (Huechuraba)'!$D:$D,MATCH($B29,'Pliegos Tarifarios (Huechuraba)'!$A:$A,0))</f>
        <v>36253.974849999999</v>
      </c>
      <c r="P29" s="19">
        <f>H29*INDEX('Pliegos Tarifarios (Huechuraba)'!$E:$E,MATCH($B29,'Pliegos Tarifarios (Huechuraba)'!$A:$A,0))</f>
        <v>12504.468080000001</v>
      </c>
      <c r="Q29" s="19" cm="1">
        <f t="array" ref="Q29">H29*_xlfn.IFS(H29&lt;=350,INDEX('Pliegos Tarifarios (Huechuraba)'!$F:$F,MATCH($B29,'Pliegos Tarifarios (Huechuraba)'!$A:$A,0)),H29&lt;=500,INDEX('Pliegos Tarifarios (Huechuraba)'!$G:$G,MATCH($B29,'Pliegos Tarifarios (Huechuraba)'!$A:$A,0)),H29&lt;=1000,INDEX('Pliegos Tarifarios (Huechuraba)'!$H:$H,MATCH($B29,'Pliegos Tarifarios (Huechuraba)'!$A:$A,0)),H29&lt;=5000,INDEX('Pliegos Tarifarios (Huechuraba)'!$I:$I,MATCH($B29,'Pliegos Tarifarios (Huechuraba)'!$A:$A,0)),H29&gt;5000,INDEX('Pliegos Tarifarios (Huechuraba)'!$J:$J,MATCH($B29,'Pliegos Tarifarios (Huechuraba)'!$A:$A,0)))/1.19</f>
        <v>2267.8399495798326</v>
      </c>
      <c r="R29" s="19">
        <f>INDEX('Pliegos Tarifarios (Huechuraba)'!$K:$K,MATCH($B29,'Pliegos Tarifarios (Huechuraba)'!$A:$A,0))</f>
        <v>710.78200000000004</v>
      </c>
      <c r="S29" s="36">
        <f t="shared" si="0"/>
        <v>175423.11072957981</v>
      </c>
      <c r="T29" s="36">
        <f t="shared" si="1"/>
        <v>33330.391038620168</v>
      </c>
      <c r="U29" s="19">
        <v>0</v>
      </c>
      <c r="V29" s="36">
        <f t="shared" si="2"/>
        <v>208753.50176819999</v>
      </c>
    </row>
    <row r="30" spans="1:22" ht="23.4" thickBot="1" x14ac:dyDescent="0.35">
      <c r="A30" s="25" t="s">
        <v>14</v>
      </c>
      <c r="B30" s="26">
        <v>1</v>
      </c>
      <c r="C30" s="27" t="s">
        <v>15</v>
      </c>
      <c r="D30" s="26" t="s">
        <v>80</v>
      </c>
      <c r="E30" s="26" t="s">
        <v>81</v>
      </c>
      <c r="F30" s="27" t="s">
        <v>82</v>
      </c>
      <c r="G30" s="26" t="s">
        <v>19</v>
      </c>
      <c r="H30" s="26">
        <v>802.61</v>
      </c>
      <c r="I30" s="26">
        <v>2.13</v>
      </c>
      <c r="J30" s="26">
        <v>2.13</v>
      </c>
      <c r="K30" s="29">
        <v>1</v>
      </c>
      <c r="L30" s="26">
        <v>25.89</v>
      </c>
      <c r="M30" s="19">
        <f>H30*INDEX('Pliegos Tarifarios (Huechuraba)'!$B:$B,MATCH($B30,'Pliegos Tarifarios (Huechuraba)'!$A:$A,0))</f>
        <v>95380.567179999998</v>
      </c>
      <c r="N30" s="19">
        <f>I30*INDEX('Pliegos Tarifarios (Huechuraba)'!$C:$C,MATCH($B30,'Pliegos Tarifarios (Huechuraba)'!$A:$A,0))</f>
        <v>7274.1821699999991</v>
      </c>
      <c r="O30" s="19">
        <f>J30*INDEX('Pliegos Tarifarios (Huechuraba)'!$D:$D,MATCH($B30,'Pliegos Tarifarios (Huechuraba)'!$A:$A,0))</f>
        <v>30047.068649999997</v>
      </c>
      <c r="P30" s="19">
        <f>H30*INDEX('Pliegos Tarifarios (Huechuraba)'!$E:$E,MATCH($B30,'Pliegos Tarifarios (Huechuraba)'!$A:$A,0))</f>
        <v>10379.35252</v>
      </c>
      <c r="Q30" s="19" cm="1">
        <f t="array" ref="Q30">H30*_xlfn.IFS(H30&lt;=350,INDEX('Pliegos Tarifarios (Huechuraba)'!$F:$F,MATCH($B30,'Pliegos Tarifarios (Huechuraba)'!$A:$A,0)),H30&lt;=500,INDEX('Pliegos Tarifarios (Huechuraba)'!$G:$G,MATCH($B30,'Pliegos Tarifarios (Huechuraba)'!$A:$A,0)),H30&lt;=1000,INDEX('Pliegos Tarifarios (Huechuraba)'!$H:$H,MATCH($B30,'Pliegos Tarifarios (Huechuraba)'!$A:$A,0)),H30&lt;=5000,INDEX('Pliegos Tarifarios (Huechuraba)'!$I:$I,MATCH($B30,'Pliegos Tarifarios (Huechuraba)'!$A:$A,0)),H30&gt;5000,INDEX('Pliegos Tarifarios (Huechuraba)'!$J:$J,MATCH($B30,'Pliegos Tarifarios (Huechuraba)'!$A:$A,0)))/1.19</f>
        <v>1882.4239579831935</v>
      </c>
      <c r="R30" s="19">
        <f>INDEX('Pliegos Tarifarios (Huechuraba)'!$K:$K,MATCH($B30,'Pliegos Tarifarios (Huechuraba)'!$A:$A,0))</f>
        <v>710.78200000000004</v>
      </c>
      <c r="S30" s="36">
        <f t="shared" si="0"/>
        <v>145674.3764779832</v>
      </c>
      <c r="T30" s="36">
        <f t="shared" si="1"/>
        <v>27678.131530816809</v>
      </c>
      <c r="U30" s="19">
        <v>0</v>
      </c>
      <c r="V30" s="36">
        <f t="shared" si="2"/>
        <v>173352.50800880001</v>
      </c>
    </row>
    <row r="31" spans="1:22" ht="23.4" thickBot="1" x14ac:dyDescent="0.35">
      <c r="A31" s="25" t="s">
        <v>14</v>
      </c>
      <c r="B31" s="26">
        <v>1</v>
      </c>
      <c r="C31" s="27" t="s">
        <v>15</v>
      </c>
      <c r="D31" s="26" t="s">
        <v>83</v>
      </c>
      <c r="E31" s="26" t="s">
        <v>81</v>
      </c>
      <c r="F31" s="27" t="s">
        <v>84</v>
      </c>
      <c r="G31" s="26" t="s">
        <v>19</v>
      </c>
      <c r="H31" s="26">
        <v>534.32000000000005</v>
      </c>
      <c r="I31" s="26">
        <v>1.4</v>
      </c>
      <c r="J31" s="26">
        <v>1.4</v>
      </c>
      <c r="K31" s="29">
        <v>0.99399999999999999</v>
      </c>
      <c r="L31" s="26">
        <v>17.239999999999998</v>
      </c>
      <c r="M31" s="19">
        <f>H31*INDEX('Pliegos Tarifarios (Huechuraba)'!$B:$B,MATCH($B31,'Pliegos Tarifarios (Huechuraba)'!$A:$A,0))</f>
        <v>63497.52016</v>
      </c>
      <c r="N31" s="19">
        <f>I31*INDEX('Pliegos Tarifarios (Huechuraba)'!$C:$C,MATCH($B31,'Pliegos Tarifarios (Huechuraba)'!$A:$A,0))</f>
        <v>4781.1525999999994</v>
      </c>
      <c r="O31" s="19">
        <f>J31*INDEX('Pliegos Tarifarios (Huechuraba)'!$D:$D,MATCH($B31,'Pliegos Tarifarios (Huechuraba)'!$A:$A,0))</f>
        <v>19749.246999999999</v>
      </c>
      <c r="P31" s="19">
        <f>H31*INDEX('Pliegos Tarifarios (Huechuraba)'!$E:$E,MATCH($B31,'Pliegos Tarifarios (Huechuraba)'!$A:$A,0))</f>
        <v>6909.8262400000012</v>
      </c>
      <c r="Q31" s="19" cm="1">
        <f t="array" ref="Q31">H31*_xlfn.IFS(H31&lt;=350,INDEX('Pliegos Tarifarios (Huechuraba)'!$F:$F,MATCH($B31,'Pliegos Tarifarios (Huechuraba)'!$A:$A,0)),H31&lt;=500,INDEX('Pliegos Tarifarios (Huechuraba)'!$G:$G,MATCH($B31,'Pliegos Tarifarios (Huechuraba)'!$A:$A,0)),H31&lt;=1000,INDEX('Pliegos Tarifarios (Huechuraba)'!$H:$H,MATCH($B31,'Pliegos Tarifarios (Huechuraba)'!$A:$A,0)),H31&lt;=5000,INDEX('Pliegos Tarifarios (Huechuraba)'!$I:$I,MATCH($B31,'Pliegos Tarifarios (Huechuraba)'!$A:$A,0)),H31&gt;5000,INDEX('Pliegos Tarifarios (Huechuraba)'!$J:$J,MATCH($B31,'Pliegos Tarifarios (Huechuraba)'!$A:$A,0)))/1.19</f>
        <v>1253.182453781513</v>
      </c>
      <c r="R31" s="19">
        <f>INDEX('Pliegos Tarifarios (Huechuraba)'!$K:$K,MATCH($B31,'Pliegos Tarifarios (Huechuraba)'!$A:$A,0))</f>
        <v>710.78200000000004</v>
      </c>
      <c r="S31" s="36">
        <f t="shared" si="0"/>
        <v>96901.710453781518</v>
      </c>
      <c r="T31" s="36">
        <f t="shared" si="1"/>
        <v>18411.324986218489</v>
      </c>
      <c r="U31" s="19">
        <v>0</v>
      </c>
      <c r="V31" s="36">
        <f t="shared" si="2"/>
        <v>115313.03544000001</v>
      </c>
    </row>
    <row r="32" spans="1:22" ht="23.4" thickBot="1" x14ac:dyDescent="0.35">
      <c r="A32" s="25" t="s">
        <v>14</v>
      </c>
      <c r="B32" s="26">
        <v>1</v>
      </c>
      <c r="C32" s="27" t="s">
        <v>15</v>
      </c>
      <c r="D32" s="26" t="s">
        <v>85</v>
      </c>
      <c r="E32" s="26" t="s">
        <v>81</v>
      </c>
      <c r="F32" s="27" t="s">
        <v>86</v>
      </c>
      <c r="G32" s="26" t="s">
        <v>19</v>
      </c>
      <c r="H32" s="26">
        <v>642.42999999999995</v>
      </c>
      <c r="I32" s="26">
        <v>1.74</v>
      </c>
      <c r="J32" s="26">
        <v>1.68</v>
      </c>
      <c r="K32" s="29">
        <v>0.96899999999999997</v>
      </c>
      <c r="L32" s="26">
        <v>20.72</v>
      </c>
      <c r="M32" s="19">
        <f>H32*INDEX('Pliegos Tarifarios (Huechuraba)'!$B:$B,MATCH($B32,'Pliegos Tarifarios (Huechuraba)'!$A:$A,0))</f>
        <v>76345.096339999989</v>
      </c>
      <c r="N32" s="19">
        <f>I32*INDEX('Pliegos Tarifarios (Huechuraba)'!$C:$C,MATCH($B32,'Pliegos Tarifarios (Huechuraba)'!$A:$A,0))</f>
        <v>5942.2896599999995</v>
      </c>
      <c r="O32" s="19">
        <f>J32*INDEX('Pliegos Tarifarios (Huechuraba)'!$D:$D,MATCH($B32,'Pliegos Tarifarios (Huechuraba)'!$A:$A,0))</f>
        <v>23699.096399999999</v>
      </c>
      <c r="P32" s="19">
        <f>H32*INDEX('Pliegos Tarifarios (Huechuraba)'!$E:$E,MATCH($B32,'Pliegos Tarifarios (Huechuraba)'!$A:$A,0))</f>
        <v>8307.9047599999994</v>
      </c>
      <c r="Q32" s="19" cm="1">
        <f t="array" ref="Q32">H32*_xlfn.IFS(H32&lt;=350,INDEX('Pliegos Tarifarios (Huechuraba)'!$F:$F,MATCH($B32,'Pliegos Tarifarios (Huechuraba)'!$A:$A,0)),H32&lt;=500,INDEX('Pliegos Tarifarios (Huechuraba)'!$G:$G,MATCH($B32,'Pliegos Tarifarios (Huechuraba)'!$A:$A,0)),H32&lt;=1000,INDEX('Pliegos Tarifarios (Huechuraba)'!$H:$H,MATCH($B32,'Pliegos Tarifarios (Huechuraba)'!$A:$A,0)),H32&lt;=5000,INDEX('Pliegos Tarifarios (Huechuraba)'!$I:$I,MATCH($B32,'Pliegos Tarifarios (Huechuraba)'!$A:$A,0)),H32&gt;5000,INDEX('Pliegos Tarifarios (Huechuraba)'!$J:$J,MATCH($B32,'Pliegos Tarifarios (Huechuraba)'!$A:$A,0)))/1.19</f>
        <v>1506.7412857142858</v>
      </c>
      <c r="R32" s="19">
        <f>INDEX('Pliegos Tarifarios (Huechuraba)'!$K:$K,MATCH($B32,'Pliegos Tarifarios (Huechuraba)'!$A:$A,0))</f>
        <v>710.78200000000004</v>
      </c>
      <c r="S32" s="36">
        <f t="shared" si="0"/>
        <v>116511.91044571428</v>
      </c>
      <c r="T32" s="36">
        <f t="shared" si="1"/>
        <v>22137.262984685713</v>
      </c>
      <c r="U32" s="19">
        <v>0</v>
      </c>
      <c r="V32" s="36">
        <f t="shared" si="2"/>
        <v>138649.1734304</v>
      </c>
    </row>
    <row r="33" spans="1:22" ht="23.4" thickBot="1" x14ac:dyDescent="0.35">
      <c r="A33" s="25" t="s">
        <v>14</v>
      </c>
      <c r="B33" s="26">
        <v>1</v>
      </c>
      <c r="C33" s="27" t="s">
        <v>15</v>
      </c>
      <c r="D33" s="26" t="s">
        <v>87</v>
      </c>
      <c r="E33" s="26" t="s">
        <v>81</v>
      </c>
      <c r="F33" s="27" t="s">
        <v>88</v>
      </c>
      <c r="G33" s="26" t="s">
        <v>19</v>
      </c>
      <c r="H33" s="26">
        <v>642.16</v>
      </c>
      <c r="I33" s="26">
        <v>1.71</v>
      </c>
      <c r="J33" s="26">
        <v>1.67</v>
      </c>
      <c r="K33" s="29">
        <v>0.97299999999999998</v>
      </c>
      <c r="L33" s="26">
        <v>20.71</v>
      </c>
      <c r="M33" s="19">
        <f>H33*INDEX('Pliegos Tarifarios (Huechuraba)'!$B:$B,MATCH($B33,'Pliegos Tarifarios (Huechuraba)'!$A:$A,0))</f>
        <v>76313.010079999993</v>
      </c>
      <c r="N33" s="19">
        <f>I33*INDEX('Pliegos Tarifarios (Huechuraba)'!$C:$C,MATCH($B33,'Pliegos Tarifarios (Huechuraba)'!$A:$A,0))</f>
        <v>5839.8363899999995</v>
      </c>
      <c r="O33" s="19">
        <f>J33*INDEX('Pliegos Tarifarios (Huechuraba)'!$D:$D,MATCH($B33,'Pliegos Tarifarios (Huechuraba)'!$A:$A,0))</f>
        <v>23558.030349999997</v>
      </c>
      <c r="P33" s="19">
        <f>H33*INDEX('Pliegos Tarifarios (Huechuraba)'!$E:$E,MATCH($B33,'Pliegos Tarifarios (Huechuraba)'!$A:$A,0))</f>
        <v>8304.4131199999993</v>
      </c>
      <c r="Q33" s="19" cm="1">
        <f t="array" ref="Q33">H33*_xlfn.IFS(H33&lt;=350,INDEX('Pliegos Tarifarios (Huechuraba)'!$F:$F,MATCH($B33,'Pliegos Tarifarios (Huechuraba)'!$A:$A,0)),H33&lt;=500,INDEX('Pliegos Tarifarios (Huechuraba)'!$G:$G,MATCH($B33,'Pliegos Tarifarios (Huechuraba)'!$A:$A,0)),H33&lt;=1000,INDEX('Pliegos Tarifarios (Huechuraba)'!$H:$H,MATCH($B33,'Pliegos Tarifarios (Huechuraba)'!$A:$A,0)),H33&lt;=5000,INDEX('Pliegos Tarifarios (Huechuraba)'!$I:$I,MATCH($B33,'Pliegos Tarifarios (Huechuraba)'!$A:$A,0)),H33&gt;5000,INDEX('Pliegos Tarifarios (Huechuraba)'!$J:$J,MATCH($B33,'Pliegos Tarifarios (Huechuraba)'!$A:$A,0)))/1.19</f>
        <v>1506.1080336134455</v>
      </c>
      <c r="R33" s="19">
        <f>INDEX('Pliegos Tarifarios (Huechuraba)'!$K:$K,MATCH($B33,'Pliegos Tarifarios (Huechuraba)'!$A:$A,0))</f>
        <v>710.78200000000004</v>
      </c>
      <c r="S33" s="36">
        <f t="shared" si="0"/>
        <v>116232.17997361344</v>
      </c>
      <c r="T33" s="36">
        <f t="shared" si="1"/>
        <v>22084.114194986556</v>
      </c>
      <c r="U33" s="19">
        <v>0</v>
      </c>
      <c r="V33" s="36">
        <f t="shared" si="2"/>
        <v>138316.2941686</v>
      </c>
    </row>
    <row r="34" spans="1:22" ht="23.4" thickBot="1" x14ac:dyDescent="0.35">
      <c r="A34" s="25" t="s">
        <v>14</v>
      </c>
      <c r="B34" s="26">
        <v>1</v>
      </c>
      <c r="C34" s="27" t="s">
        <v>15</v>
      </c>
      <c r="D34" s="26" t="s">
        <v>89</v>
      </c>
      <c r="E34" s="26" t="s">
        <v>81</v>
      </c>
      <c r="F34" s="27" t="s">
        <v>90</v>
      </c>
      <c r="G34" s="26" t="s">
        <v>19</v>
      </c>
      <c r="H34" s="26">
        <v>643.97</v>
      </c>
      <c r="I34" s="26">
        <v>1.71</v>
      </c>
      <c r="J34" s="26">
        <v>1.68</v>
      </c>
      <c r="K34" s="29">
        <v>0.97799999999999998</v>
      </c>
      <c r="L34" s="26">
        <v>20.77</v>
      </c>
      <c r="M34" s="19">
        <f>H34*INDEX('Pliegos Tarifarios (Huechuraba)'!$B:$B,MATCH($B34,'Pliegos Tarifarios (Huechuraba)'!$A:$A,0))</f>
        <v>76528.10686</v>
      </c>
      <c r="N34" s="19">
        <f>I34*INDEX('Pliegos Tarifarios (Huechuraba)'!$C:$C,MATCH($B34,'Pliegos Tarifarios (Huechuraba)'!$A:$A,0))</f>
        <v>5839.8363899999995</v>
      </c>
      <c r="O34" s="19">
        <f>J34*INDEX('Pliegos Tarifarios (Huechuraba)'!$D:$D,MATCH($B34,'Pliegos Tarifarios (Huechuraba)'!$A:$A,0))</f>
        <v>23699.096399999999</v>
      </c>
      <c r="P34" s="19">
        <f>H34*INDEX('Pliegos Tarifarios (Huechuraba)'!$E:$E,MATCH($B34,'Pliegos Tarifarios (Huechuraba)'!$A:$A,0))</f>
        <v>8327.8200400000005</v>
      </c>
      <c r="Q34" s="19" cm="1">
        <f t="array" ref="Q34">H34*_xlfn.IFS(H34&lt;=350,INDEX('Pliegos Tarifarios (Huechuraba)'!$F:$F,MATCH($B34,'Pliegos Tarifarios (Huechuraba)'!$A:$A,0)),H34&lt;=500,INDEX('Pliegos Tarifarios (Huechuraba)'!$G:$G,MATCH($B34,'Pliegos Tarifarios (Huechuraba)'!$A:$A,0)),H34&lt;=1000,INDEX('Pliegos Tarifarios (Huechuraba)'!$H:$H,MATCH($B34,'Pliegos Tarifarios (Huechuraba)'!$A:$A,0)),H34&lt;=5000,INDEX('Pliegos Tarifarios (Huechuraba)'!$I:$I,MATCH($B34,'Pliegos Tarifarios (Huechuraba)'!$A:$A,0)),H34&gt;5000,INDEX('Pliegos Tarifarios (Huechuraba)'!$J:$J,MATCH($B34,'Pliegos Tarifarios (Huechuraba)'!$A:$A,0)))/1.19</f>
        <v>1510.3531680672272</v>
      </c>
      <c r="R34" s="19">
        <f>INDEX('Pliegos Tarifarios (Huechuraba)'!$K:$K,MATCH($B34,'Pliegos Tarifarios (Huechuraba)'!$A:$A,0))</f>
        <v>710.78200000000004</v>
      </c>
      <c r="S34" s="36">
        <f t="shared" si="0"/>
        <v>116615.99485806724</v>
      </c>
      <c r="T34" s="36">
        <f t="shared" si="1"/>
        <v>22157.039023032776</v>
      </c>
      <c r="U34" s="19">
        <v>0</v>
      </c>
      <c r="V34" s="36">
        <f t="shared" si="2"/>
        <v>138773.03388110001</v>
      </c>
    </row>
    <row r="35" spans="1:22" ht="23.4" thickBot="1" x14ac:dyDescent="0.35">
      <c r="A35" s="25" t="s">
        <v>14</v>
      </c>
      <c r="B35" s="26">
        <v>1</v>
      </c>
      <c r="C35" s="27" t="s">
        <v>15</v>
      </c>
      <c r="D35" s="26" t="s">
        <v>91</v>
      </c>
      <c r="E35" s="26" t="s">
        <v>81</v>
      </c>
      <c r="F35" s="27" t="s">
        <v>92</v>
      </c>
      <c r="G35" s="26" t="s">
        <v>19</v>
      </c>
      <c r="H35" s="26">
        <v>801.8</v>
      </c>
      <c r="I35" s="26">
        <v>2.12</v>
      </c>
      <c r="J35" s="26">
        <v>2.11</v>
      </c>
      <c r="K35" s="29">
        <v>0.997</v>
      </c>
      <c r="L35" s="26">
        <v>25.86</v>
      </c>
      <c r="M35" s="19">
        <f>H35*INDEX('Pliegos Tarifarios (Huechuraba)'!$B:$B,MATCH($B35,'Pliegos Tarifarios (Huechuraba)'!$A:$A,0))</f>
        <v>95284.308399999994</v>
      </c>
      <c r="N35" s="19">
        <f>I35*INDEX('Pliegos Tarifarios (Huechuraba)'!$C:$C,MATCH($B35,'Pliegos Tarifarios (Huechuraba)'!$A:$A,0))</f>
        <v>7240.0310800000007</v>
      </c>
      <c r="O35" s="19">
        <f>J35*INDEX('Pliegos Tarifarios (Huechuraba)'!$D:$D,MATCH($B35,'Pliegos Tarifarios (Huechuraba)'!$A:$A,0))</f>
        <v>29764.936549999999</v>
      </c>
      <c r="P35" s="19">
        <f>H35*INDEX('Pliegos Tarifarios (Huechuraba)'!$E:$E,MATCH($B35,'Pliegos Tarifarios (Huechuraba)'!$A:$A,0))</f>
        <v>10368.8776</v>
      </c>
      <c r="Q35" s="19" cm="1">
        <f t="array" ref="Q35">H35*_xlfn.IFS(H35&lt;=350,INDEX('Pliegos Tarifarios (Huechuraba)'!$F:$F,MATCH($B35,'Pliegos Tarifarios (Huechuraba)'!$A:$A,0)),H35&lt;=500,INDEX('Pliegos Tarifarios (Huechuraba)'!$G:$G,MATCH($B35,'Pliegos Tarifarios (Huechuraba)'!$A:$A,0)),H35&lt;=1000,INDEX('Pliegos Tarifarios (Huechuraba)'!$H:$H,MATCH($B35,'Pliegos Tarifarios (Huechuraba)'!$A:$A,0)),H35&lt;=5000,INDEX('Pliegos Tarifarios (Huechuraba)'!$I:$I,MATCH($B35,'Pliegos Tarifarios (Huechuraba)'!$A:$A,0)),H35&gt;5000,INDEX('Pliegos Tarifarios (Huechuraba)'!$J:$J,MATCH($B35,'Pliegos Tarifarios (Huechuraba)'!$A:$A,0)))/1.19</f>
        <v>1880.5242016806724</v>
      </c>
      <c r="R35" s="19">
        <f>INDEX('Pliegos Tarifarios (Huechuraba)'!$K:$K,MATCH($B35,'Pliegos Tarifarios (Huechuraba)'!$A:$A,0))</f>
        <v>710.78200000000004</v>
      </c>
      <c r="S35" s="36">
        <f t="shared" si="0"/>
        <v>145249.4598316807</v>
      </c>
      <c r="T35" s="36">
        <f t="shared" si="1"/>
        <v>27597.397368019334</v>
      </c>
      <c r="U35" s="19">
        <v>0</v>
      </c>
      <c r="V35" s="36">
        <f t="shared" si="2"/>
        <v>172846.85719970003</v>
      </c>
    </row>
    <row r="36" spans="1:22" ht="23.4" thickBot="1" x14ac:dyDescent="0.35">
      <c r="A36" s="25" t="s">
        <v>14</v>
      </c>
      <c r="B36" s="26">
        <v>1</v>
      </c>
      <c r="C36" s="27" t="s">
        <v>15</v>
      </c>
      <c r="D36" s="26" t="s">
        <v>93</v>
      </c>
      <c r="E36" s="26" t="s">
        <v>94</v>
      </c>
      <c r="F36" s="27" t="s">
        <v>95</v>
      </c>
      <c r="G36" s="26" t="s">
        <v>19</v>
      </c>
      <c r="H36" s="26">
        <v>642.64</v>
      </c>
      <c r="I36" s="26">
        <v>1.69</v>
      </c>
      <c r="J36" s="26">
        <v>1.66</v>
      </c>
      <c r="K36" s="29">
        <v>0.98599999999999999</v>
      </c>
      <c r="L36" s="26">
        <v>20.73</v>
      </c>
      <c r="M36" s="19">
        <f>H36*INDEX('Pliegos Tarifarios (Huechuraba)'!$B:$B,MATCH($B36,'Pliegos Tarifarios (Huechuraba)'!$A:$A,0))</f>
        <v>76370.052319999988</v>
      </c>
      <c r="N36" s="19">
        <f>I36*INDEX('Pliegos Tarifarios (Huechuraba)'!$C:$C,MATCH($B36,'Pliegos Tarifarios (Huechuraba)'!$A:$A,0))</f>
        <v>5771.5342099999998</v>
      </c>
      <c r="O36" s="19">
        <f>J36*INDEX('Pliegos Tarifarios (Huechuraba)'!$D:$D,MATCH($B36,'Pliegos Tarifarios (Huechuraba)'!$A:$A,0))</f>
        <v>23416.9643</v>
      </c>
      <c r="P36" s="19">
        <f>H36*INDEX('Pliegos Tarifarios (Huechuraba)'!$E:$E,MATCH($B36,'Pliegos Tarifarios (Huechuraba)'!$A:$A,0))</f>
        <v>8310.6204799999996</v>
      </c>
      <c r="Q36" s="19" cm="1">
        <f t="array" ref="Q36">H36*_xlfn.IFS(H36&lt;=350,INDEX('Pliegos Tarifarios (Huechuraba)'!$F:$F,MATCH($B36,'Pliegos Tarifarios (Huechuraba)'!$A:$A,0)),H36&lt;=500,INDEX('Pliegos Tarifarios (Huechuraba)'!$G:$G,MATCH($B36,'Pliegos Tarifarios (Huechuraba)'!$A:$A,0)),H36&lt;=1000,INDEX('Pliegos Tarifarios (Huechuraba)'!$H:$H,MATCH($B36,'Pliegos Tarifarios (Huechuraba)'!$A:$A,0)),H36&lt;=5000,INDEX('Pliegos Tarifarios (Huechuraba)'!$I:$I,MATCH($B36,'Pliegos Tarifarios (Huechuraba)'!$A:$A,0)),H36&gt;5000,INDEX('Pliegos Tarifarios (Huechuraba)'!$J:$J,MATCH($B36,'Pliegos Tarifarios (Huechuraba)'!$A:$A,0)))/1.19</f>
        <v>1507.2338151260508</v>
      </c>
      <c r="R36" s="19">
        <f>INDEX('Pliegos Tarifarios (Huechuraba)'!$K:$K,MATCH($B36,'Pliegos Tarifarios (Huechuraba)'!$A:$A,0))</f>
        <v>710.78200000000004</v>
      </c>
      <c r="S36" s="36">
        <f t="shared" si="0"/>
        <v>116087.18712512605</v>
      </c>
      <c r="T36" s="36">
        <f t="shared" si="1"/>
        <v>22056.565553773948</v>
      </c>
      <c r="U36" s="19">
        <v>0</v>
      </c>
      <c r="V36" s="36">
        <f t="shared" si="2"/>
        <v>138143.7526789</v>
      </c>
    </row>
    <row r="37" spans="1:22" ht="23.4" thickBot="1" x14ac:dyDescent="0.35">
      <c r="A37" s="25" t="s">
        <v>14</v>
      </c>
      <c r="B37" s="26">
        <v>1</v>
      </c>
      <c r="C37" s="27" t="s">
        <v>15</v>
      </c>
      <c r="D37" s="26" t="s">
        <v>96</v>
      </c>
      <c r="E37" s="26" t="s">
        <v>97</v>
      </c>
      <c r="F37" s="27" t="s">
        <v>98</v>
      </c>
      <c r="G37" s="26" t="s">
        <v>19</v>
      </c>
      <c r="H37" s="26">
        <v>963.64</v>
      </c>
      <c r="I37" s="26">
        <v>2.58</v>
      </c>
      <c r="J37" s="26">
        <v>2.5499999999999998</v>
      </c>
      <c r="K37" s="29">
        <v>0.98599999999999999</v>
      </c>
      <c r="L37" s="26">
        <v>31.09</v>
      </c>
      <c r="M37" s="19">
        <f>H37*INDEX('Pliegos Tarifarios (Huechuraba)'!$B:$B,MATCH($B37,'Pliegos Tarifarios (Huechuraba)'!$A:$A,0))</f>
        <v>114517.05031999999</v>
      </c>
      <c r="N37" s="19">
        <f>I37*INDEX('Pliegos Tarifarios (Huechuraba)'!$C:$C,MATCH($B37,'Pliegos Tarifarios (Huechuraba)'!$A:$A,0))</f>
        <v>8810.9812199999997</v>
      </c>
      <c r="O37" s="19">
        <f>J37*INDEX('Pliegos Tarifarios (Huechuraba)'!$D:$D,MATCH($B37,'Pliegos Tarifarios (Huechuraba)'!$A:$A,0))</f>
        <v>35971.842749999996</v>
      </c>
      <c r="P37" s="19">
        <f>H37*INDEX('Pliegos Tarifarios (Huechuraba)'!$E:$E,MATCH($B37,'Pliegos Tarifarios (Huechuraba)'!$A:$A,0))</f>
        <v>12461.79248</v>
      </c>
      <c r="Q37" s="19" cm="1">
        <f t="array" ref="Q37">H37*_xlfn.IFS(H37&lt;=350,INDEX('Pliegos Tarifarios (Huechuraba)'!$F:$F,MATCH($B37,'Pliegos Tarifarios (Huechuraba)'!$A:$A,0)),H37&lt;=500,INDEX('Pliegos Tarifarios (Huechuraba)'!$G:$G,MATCH($B37,'Pliegos Tarifarios (Huechuraba)'!$A:$A,0)),H37&lt;=1000,INDEX('Pliegos Tarifarios (Huechuraba)'!$H:$H,MATCH($B37,'Pliegos Tarifarios (Huechuraba)'!$A:$A,0)),H37&lt;=5000,INDEX('Pliegos Tarifarios (Huechuraba)'!$I:$I,MATCH($B37,'Pliegos Tarifarios (Huechuraba)'!$A:$A,0)),H37&gt;5000,INDEX('Pliegos Tarifarios (Huechuraba)'!$J:$J,MATCH($B37,'Pliegos Tarifarios (Huechuraba)'!$A:$A,0)))/1.19</f>
        <v>2260.1002016806729</v>
      </c>
      <c r="R37" s="19">
        <f>INDEX('Pliegos Tarifarios (Huechuraba)'!$K:$K,MATCH($B37,'Pliegos Tarifarios (Huechuraba)'!$A:$A,0))</f>
        <v>710.78200000000004</v>
      </c>
      <c r="S37" s="36">
        <f t="shared" si="0"/>
        <v>174732.54897168069</v>
      </c>
      <c r="T37" s="36">
        <f t="shared" si="1"/>
        <v>33199.184304619332</v>
      </c>
      <c r="U37" s="19">
        <v>0</v>
      </c>
      <c r="V37" s="36">
        <f t="shared" si="2"/>
        <v>207931.73327630002</v>
      </c>
    </row>
    <row r="38" spans="1:22" ht="23.4" thickBot="1" x14ac:dyDescent="0.35">
      <c r="A38" s="25" t="s">
        <v>14</v>
      </c>
      <c r="B38" s="26">
        <v>1</v>
      </c>
      <c r="C38" s="27" t="s">
        <v>15</v>
      </c>
      <c r="D38" s="26" t="s">
        <v>99</v>
      </c>
      <c r="E38" s="26" t="s">
        <v>94</v>
      </c>
      <c r="F38" s="27" t="s">
        <v>100</v>
      </c>
      <c r="G38" s="26" t="s">
        <v>19</v>
      </c>
      <c r="H38" s="26">
        <v>962.8</v>
      </c>
      <c r="I38" s="26">
        <v>2.5499999999999998</v>
      </c>
      <c r="J38" s="26">
        <v>2.5499999999999998</v>
      </c>
      <c r="K38" s="29">
        <v>1</v>
      </c>
      <c r="L38" s="26">
        <v>31.06</v>
      </c>
      <c r="M38" s="19">
        <f>H38*INDEX('Pliegos Tarifarios (Huechuraba)'!$B:$B,MATCH($B38,'Pliegos Tarifarios (Huechuraba)'!$A:$A,0))</f>
        <v>114417.22639999999</v>
      </c>
      <c r="N38" s="19">
        <f>I38*INDEX('Pliegos Tarifarios (Huechuraba)'!$C:$C,MATCH($B38,'Pliegos Tarifarios (Huechuraba)'!$A:$A,0))</f>
        <v>8708.5279499999997</v>
      </c>
      <c r="O38" s="19">
        <f>J38*INDEX('Pliegos Tarifarios (Huechuraba)'!$D:$D,MATCH($B38,'Pliegos Tarifarios (Huechuraba)'!$A:$A,0))</f>
        <v>35971.842749999996</v>
      </c>
      <c r="P38" s="19">
        <f>H38*INDEX('Pliegos Tarifarios (Huechuraba)'!$E:$E,MATCH($B38,'Pliegos Tarifarios (Huechuraba)'!$A:$A,0))</f>
        <v>12450.929599999999</v>
      </c>
      <c r="Q38" s="19" cm="1">
        <f t="array" ref="Q38">H38*_xlfn.IFS(H38&lt;=350,INDEX('Pliegos Tarifarios (Huechuraba)'!$F:$F,MATCH($B38,'Pliegos Tarifarios (Huechuraba)'!$A:$A,0)),H38&lt;=500,INDEX('Pliegos Tarifarios (Huechuraba)'!$G:$G,MATCH($B38,'Pliegos Tarifarios (Huechuraba)'!$A:$A,0)),H38&lt;=1000,INDEX('Pliegos Tarifarios (Huechuraba)'!$H:$H,MATCH($B38,'Pliegos Tarifarios (Huechuraba)'!$A:$A,0)),H38&lt;=5000,INDEX('Pliegos Tarifarios (Huechuraba)'!$I:$I,MATCH($B38,'Pliegos Tarifarios (Huechuraba)'!$A:$A,0)),H38&gt;5000,INDEX('Pliegos Tarifarios (Huechuraba)'!$J:$J,MATCH($B38,'Pliegos Tarifarios (Huechuraba)'!$A:$A,0)))/1.19</f>
        <v>2258.1300840336139</v>
      </c>
      <c r="R38" s="19">
        <f>INDEX('Pliegos Tarifarios (Huechuraba)'!$K:$K,MATCH($B38,'Pliegos Tarifarios (Huechuraba)'!$A:$A,0))</f>
        <v>710.78200000000004</v>
      </c>
      <c r="S38" s="36">
        <f t="shared" si="0"/>
        <v>174517.43878403361</v>
      </c>
      <c r="T38" s="36">
        <f t="shared" si="1"/>
        <v>33158.313368966388</v>
      </c>
      <c r="U38" s="19">
        <v>0</v>
      </c>
      <c r="V38" s="36">
        <f t="shared" si="2"/>
        <v>207675.75215300001</v>
      </c>
    </row>
    <row r="39" spans="1:22" ht="23.4" thickBot="1" x14ac:dyDescent="0.35">
      <c r="A39" s="25" t="s">
        <v>14</v>
      </c>
      <c r="B39" s="26">
        <v>1</v>
      </c>
      <c r="C39" s="27" t="s">
        <v>15</v>
      </c>
      <c r="D39" s="26" t="s">
        <v>101</v>
      </c>
      <c r="E39" s="26" t="s">
        <v>102</v>
      </c>
      <c r="F39" s="27" t="s">
        <v>103</v>
      </c>
      <c r="G39" s="26" t="s">
        <v>19</v>
      </c>
      <c r="H39" s="28">
        <v>2567.86</v>
      </c>
      <c r="I39" s="26">
        <v>6.85</v>
      </c>
      <c r="J39" s="26">
        <v>6.71</v>
      </c>
      <c r="K39" s="29">
        <v>0.97899999999999998</v>
      </c>
      <c r="L39" s="26">
        <v>82.83</v>
      </c>
      <c r="M39" s="19">
        <f>H39*INDEX('Pliegos Tarifarios (Huechuraba)'!$B:$B,MATCH($B39,'Pliegos Tarifarios (Huechuraba)'!$A:$A,0))</f>
        <v>305159.34668000002</v>
      </c>
      <c r="N39" s="19">
        <f>I39*INDEX('Pliegos Tarifarios (Huechuraba)'!$C:$C,MATCH($B39,'Pliegos Tarifarios (Huechuraba)'!$A:$A,0))</f>
        <v>23393.496649999997</v>
      </c>
      <c r="O39" s="19">
        <f>J39*INDEX('Pliegos Tarifarios (Huechuraba)'!$D:$D,MATCH($B39,'Pliegos Tarifarios (Huechuraba)'!$A:$A,0))</f>
        <v>94655.31955</v>
      </c>
      <c r="P39" s="19">
        <f>H39*INDEX('Pliegos Tarifarios (Huechuraba)'!$E:$E,MATCH($B39,'Pliegos Tarifarios (Huechuraba)'!$A:$A,0))</f>
        <v>33207.565520000004</v>
      </c>
      <c r="Q39" s="19" cm="1">
        <f t="array" ref="Q39">H39*_xlfn.IFS(H39&lt;=350,INDEX('Pliegos Tarifarios (Huechuraba)'!$F:$F,MATCH($B39,'Pliegos Tarifarios (Huechuraba)'!$A:$A,0)),H39&lt;=500,INDEX('Pliegos Tarifarios (Huechuraba)'!$G:$G,MATCH($B39,'Pliegos Tarifarios (Huechuraba)'!$A:$A,0)),H39&lt;=1000,INDEX('Pliegos Tarifarios (Huechuraba)'!$H:$H,MATCH($B39,'Pliegos Tarifarios (Huechuraba)'!$A:$A,0)),H39&lt;=5000,INDEX('Pliegos Tarifarios (Huechuraba)'!$I:$I,MATCH($B39,'Pliegos Tarifarios (Huechuraba)'!$A:$A,0)),H39&gt;5000,INDEX('Pliegos Tarifarios (Huechuraba)'!$J:$J,MATCH($B39,'Pliegos Tarifarios (Huechuraba)'!$A:$A,0)))/1.19</f>
        <v>7705.7378655462189</v>
      </c>
      <c r="R39" s="19">
        <f>INDEX('Pliegos Tarifarios (Huechuraba)'!$K:$K,MATCH($B39,'Pliegos Tarifarios (Huechuraba)'!$A:$A,0))</f>
        <v>710.78200000000004</v>
      </c>
      <c r="S39" s="36">
        <f t="shared" si="0"/>
        <v>464832.24826554622</v>
      </c>
      <c r="T39" s="36">
        <f t="shared" si="1"/>
        <v>88318.127170453779</v>
      </c>
      <c r="U39" s="19">
        <v>0</v>
      </c>
      <c r="V39" s="36">
        <f t="shared" si="2"/>
        <v>553150.37543600006</v>
      </c>
    </row>
    <row r="40" spans="1:22" ht="23.4" thickBot="1" x14ac:dyDescent="0.35">
      <c r="A40" s="25" t="s">
        <v>14</v>
      </c>
      <c r="B40" s="26">
        <v>1</v>
      </c>
      <c r="C40" s="27" t="s">
        <v>15</v>
      </c>
      <c r="D40" s="26" t="s">
        <v>104</v>
      </c>
      <c r="E40" s="26" t="s">
        <v>105</v>
      </c>
      <c r="F40" s="27" t="s">
        <v>106</v>
      </c>
      <c r="G40" s="26" t="s">
        <v>19</v>
      </c>
      <c r="H40" s="28">
        <v>1931.25</v>
      </c>
      <c r="I40" s="26">
        <v>5.18</v>
      </c>
      <c r="J40" s="26">
        <v>5.18</v>
      </c>
      <c r="K40" s="29">
        <v>1</v>
      </c>
      <c r="L40" s="26">
        <v>62.3</v>
      </c>
      <c r="M40" s="19">
        <f>H40*INDEX('Pliegos Tarifarios (Huechuraba)'!$B:$B,MATCH($B40,'Pliegos Tarifarios (Huechuraba)'!$A:$A,0))</f>
        <v>229505.88749999998</v>
      </c>
      <c r="N40" s="19">
        <f>I40*INDEX('Pliegos Tarifarios (Huechuraba)'!$C:$C,MATCH($B40,'Pliegos Tarifarios (Huechuraba)'!$A:$A,0))</f>
        <v>17690.264619999998</v>
      </c>
      <c r="O40" s="19">
        <f>J40*INDEX('Pliegos Tarifarios (Huechuraba)'!$D:$D,MATCH($B40,'Pliegos Tarifarios (Huechuraba)'!$A:$A,0))</f>
        <v>73072.213899999988</v>
      </c>
      <c r="P40" s="19">
        <f>H40*INDEX('Pliegos Tarifarios (Huechuraba)'!$E:$E,MATCH($B40,'Pliegos Tarifarios (Huechuraba)'!$A:$A,0))</f>
        <v>24974.924999999999</v>
      </c>
      <c r="Q40" s="19" cm="1">
        <f t="array" ref="Q40">H40*_xlfn.IFS(H40&lt;=350,INDEX('Pliegos Tarifarios (Huechuraba)'!$F:$F,MATCH($B40,'Pliegos Tarifarios (Huechuraba)'!$A:$A,0)),H40&lt;=500,INDEX('Pliegos Tarifarios (Huechuraba)'!$G:$G,MATCH($B40,'Pliegos Tarifarios (Huechuraba)'!$A:$A,0)),H40&lt;=1000,INDEX('Pliegos Tarifarios (Huechuraba)'!$H:$H,MATCH($B40,'Pliegos Tarifarios (Huechuraba)'!$A:$A,0)),H40&lt;=5000,INDEX('Pliegos Tarifarios (Huechuraba)'!$I:$I,MATCH($B40,'Pliegos Tarifarios (Huechuraba)'!$A:$A,0)),H40&gt;5000,INDEX('Pliegos Tarifarios (Huechuraba)'!$J:$J,MATCH($B40,'Pliegos Tarifarios (Huechuraba)'!$A:$A,0)))/1.19</f>
        <v>5795.3728991596636</v>
      </c>
      <c r="R40" s="19">
        <f>INDEX('Pliegos Tarifarios (Huechuraba)'!$K:$K,MATCH($B40,'Pliegos Tarifarios (Huechuraba)'!$A:$A,0))</f>
        <v>710.78200000000004</v>
      </c>
      <c r="S40" s="36">
        <f t="shared" si="0"/>
        <v>351749.44591915963</v>
      </c>
      <c r="T40" s="36">
        <f t="shared" si="1"/>
        <v>66832.394724640326</v>
      </c>
      <c r="U40" s="19">
        <v>0</v>
      </c>
      <c r="V40" s="36">
        <f t="shared" si="2"/>
        <v>418581.84064379998</v>
      </c>
    </row>
    <row r="41" spans="1:22" ht="23.4" thickBot="1" x14ac:dyDescent="0.35">
      <c r="A41" s="25" t="s">
        <v>14</v>
      </c>
      <c r="B41" s="26">
        <v>1</v>
      </c>
      <c r="C41" s="27" t="s">
        <v>15</v>
      </c>
      <c r="D41" s="26" t="s">
        <v>107</v>
      </c>
      <c r="E41" s="26" t="s">
        <v>108</v>
      </c>
      <c r="F41" s="27" t="s">
        <v>109</v>
      </c>
      <c r="G41" s="26" t="s">
        <v>33</v>
      </c>
      <c r="H41" s="26">
        <v>641.25</v>
      </c>
      <c r="I41" s="26">
        <v>1.72</v>
      </c>
      <c r="J41" s="26">
        <v>1.69</v>
      </c>
      <c r="K41" s="29">
        <v>0.98299999999999998</v>
      </c>
      <c r="L41" s="26">
        <v>20.69</v>
      </c>
      <c r="M41" s="19">
        <f>H41*INDEX('Pliegos Tarifarios (Huechuraba)'!$B:$B,MATCH($B41,'Pliegos Tarifarios (Huechuraba)'!$A:$A,0))</f>
        <v>76204.867499999993</v>
      </c>
      <c r="N41" s="19">
        <f>I41*INDEX('Pliegos Tarifarios (Huechuraba)'!$C:$C,MATCH($B41,'Pliegos Tarifarios (Huechuraba)'!$A:$A,0))</f>
        <v>5873.9874799999998</v>
      </c>
      <c r="O41" s="19">
        <f>J41*INDEX('Pliegos Tarifarios (Huechuraba)'!$D:$D,MATCH($B41,'Pliegos Tarifarios (Huechuraba)'!$A:$A,0))</f>
        <v>23840.16245</v>
      </c>
      <c r="P41" s="19">
        <f>H41*INDEX('Pliegos Tarifarios (Huechuraba)'!$E:$E,MATCH($B41,'Pliegos Tarifarios (Huechuraba)'!$A:$A,0))</f>
        <v>8292.6450000000004</v>
      </c>
      <c r="Q41" s="19" cm="1">
        <f t="array" ref="Q41">H41*_xlfn.IFS(H41&lt;=350,INDEX('Pliegos Tarifarios (Huechuraba)'!$F:$F,MATCH($B41,'Pliegos Tarifarios (Huechuraba)'!$A:$A,0)),H41&lt;=500,INDEX('Pliegos Tarifarios (Huechuraba)'!$G:$G,MATCH($B41,'Pliegos Tarifarios (Huechuraba)'!$A:$A,0)),H41&lt;=1000,INDEX('Pliegos Tarifarios (Huechuraba)'!$H:$H,MATCH($B41,'Pliegos Tarifarios (Huechuraba)'!$A:$A,0)),H41&lt;=5000,INDEX('Pliegos Tarifarios (Huechuraba)'!$I:$I,MATCH($B41,'Pliegos Tarifarios (Huechuraba)'!$A:$A,0)),H41&gt;5000,INDEX('Pliegos Tarifarios (Huechuraba)'!$J:$J,MATCH($B41,'Pliegos Tarifarios (Huechuraba)'!$A:$A,0)))/1.19</f>
        <v>1503.9737394957986</v>
      </c>
      <c r="R41" s="19">
        <f>INDEX('Pliegos Tarifarios (Huechuraba)'!$K:$K,MATCH($B41,'Pliegos Tarifarios (Huechuraba)'!$A:$A,0))</f>
        <v>710.78200000000004</v>
      </c>
      <c r="S41" s="36">
        <f t="shared" si="0"/>
        <v>116426.4181694958</v>
      </c>
      <c r="T41" s="36">
        <f t="shared" si="1"/>
        <v>22121.0194522042</v>
      </c>
      <c r="U41" s="19">
        <v>0</v>
      </c>
      <c r="V41" s="36">
        <f t="shared" si="2"/>
        <v>138547.4376217</v>
      </c>
    </row>
    <row r="42" spans="1:22" ht="23.4" thickBot="1" x14ac:dyDescent="0.35">
      <c r="A42" s="25" t="s">
        <v>14</v>
      </c>
      <c r="B42" s="26">
        <v>1</v>
      </c>
      <c r="C42" s="27" t="s">
        <v>15</v>
      </c>
      <c r="D42" s="26" t="s">
        <v>110</v>
      </c>
      <c r="E42" s="26" t="s">
        <v>108</v>
      </c>
      <c r="F42" s="27" t="s">
        <v>111</v>
      </c>
      <c r="G42" s="26" t="s">
        <v>33</v>
      </c>
      <c r="H42" s="28">
        <v>1175.05</v>
      </c>
      <c r="I42" s="26">
        <v>3.14</v>
      </c>
      <c r="J42" s="26">
        <v>3.11</v>
      </c>
      <c r="K42" s="29">
        <v>0.98899999999999999</v>
      </c>
      <c r="L42" s="26">
        <v>37.9</v>
      </c>
      <c r="M42" s="19">
        <f>H42*INDEX('Pliegos Tarifarios (Huechuraba)'!$B:$B,MATCH($B42,'Pliegos Tarifarios (Huechuraba)'!$A:$A,0))</f>
        <v>139640.5919</v>
      </c>
      <c r="N42" s="19">
        <f>I42*INDEX('Pliegos Tarifarios (Huechuraba)'!$C:$C,MATCH($B42,'Pliegos Tarifarios (Huechuraba)'!$A:$A,0))</f>
        <v>10723.44226</v>
      </c>
      <c r="O42" s="19">
        <f>J42*INDEX('Pliegos Tarifarios (Huechuraba)'!$D:$D,MATCH($B42,'Pliegos Tarifarios (Huechuraba)'!$A:$A,0))</f>
        <v>43871.541549999994</v>
      </c>
      <c r="P42" s="19">
        <f>H42*INDEX('Pliegos Tarifarios (Huechuraba)'!$E:$E,MATCH($B42,'Pliegos Tarifarios (Huechuraba)'!$A:$A,0))</f>
        <v>15195.7466</v>
      </c>
      <c r="Q42" s="19" cm="1">
        <f t="array" ref="Q42">H42*_xlfn.IFS(H42&lt;=350,INDEX('Pliegos Tarifarios (Huechuraba)'!$F:$F,MATCH($B42,'Pliegos Tarifarios (Huechuraba)'!$A:$A,0)),H42&lt;=500,INDEX('Pliegos Tarifarios (Huechuraba)'!$G:$G,MATCH($B42,'Pliegos Tarifarios (Huechuraba)'!$A:$A,0)),H42&lt;=1000,INDEX('Pliegos Tarifarios (Huechuraba)'!$H:$H,MATCH($B42,'Pliegos Tarifarios (Huechuraba)'!$A:$A,0)),H42&lt;=5000,INDEX('Pliegos Tarifarios (Huechuraba)'!$I:$I,MATCH($B42,'Pliegos Tarifarios (Huechuraba)'!$A:$A,0)),H42&gt;5000,INDEX('Pliegos Tarifarios (Huechuraba)'!$J:$J,MATCH($B42,'Pliegos Tarifarios (Huechuraba)'!$A:$A,0)))/1.19</f>
        <v>3526.13743697479</v>
      </c>
      <c r="R42" s="19">
        <f>INDEX('Pliegos Tarifarios (Huechuraba)'!$K:$K,MATCH($B42,'Pliegos Tarifarios (Huechuraba)'!$A:$A,0))</f>
        <v>710.78200000000004</v>
      </c>
      <c r="S42" s="36">
        <f t="shared" si="0"/>
        <v>213668.24174697482</v>
      </c>
      <c r="T42" s="36">
        <f t="shared" si="1"/>
        <v>40596.965931925217</v>
      </c>
      <c r="U42" s="19">
        <v>0</v>
      </c>
      <c r="V42" s="36">
        <f t="shared" si="2"/>
        <v>254265.20767890004</v>
      </c>
    </row>
    <row r="43" spans="1:22" ht="23.4" thickBot="1" x14ac:dyDescent="0.35">
      <c r="A43" s="25" t="s">
        <v>14</v>
      </c>
      <c r="B43" s="26">
        <v>1</v>
      </c>
      <c r="C43" s="27" t="s">
        <v>15</v>
      </c>
      <c r="D43" s="26" t="s">
        <v>112</v>
      </c>
      <c r="E43" s="26" t="s">
        <v>113</v>
      </c>
      <c r="F43" s="27" t="s">
        <v>114</v>
      </c>
      <c r="G43" s="26" t="s">
        <v>33</v>
      </c>
      <c r="H43" s="26">
        <v>428.2</v>
      </c>
      <c r="I43" s="26">
        <v>1.1399999999999999</v>
      </c>
      <c r="J43" s="26">
        <v>1.1399999999999999</v>
      </c>
      <c r="K43" s="29">
        <v>1</v>
      </c>
      <c r="L43" s="26">
        <v>13.81</v>
      </c>
      <c r="M43" s="19">
        <f>H43*INDEX('Pliegos Tarifarios (Huechuraba)'!$B:$B,MATCH($B43,'Pliegos Tarifarios (Huechuraba)'!$A:$A,0))</f>
        <v>50886.431599999996</v>
      </c>
      <c r="N43" s="19">
        <f>I43*INDEX('Pliegos Tarifarios (Huechuraba)'!$C:$C,MATCH($B43,'Pliegos Tarifarios (Huechuraba)'!$A:$A,0))</f>
        <v>3893.2242599999995</v>
      </c>
      <c r="O43" s="19">
        <f>J43*INDEX('Pliegos Tarifarios (Huechuraba)'!$D:$D,MATCH($B43,'Pliegos Tarifarios (Huechuraba)'!$A:$A,0))</f>
        <v>16081.529699999997</v>
      </c>
      <c r="P43" s="19">
        <f>H43*INDEX('Pliegos Tarifarios (Huechuraba)'!$E:$E,MATCH($B43,'Pliegos Tarifarios (Huechuraba)'!$A:$A,0))</f>
        <v>5537.4823999999999</v>
      </c>
      <c r="Q43" s="19" cm="1">
        <f t="array" ref="Q43">H43*_xlfn.IFS(H43&lt;=350,INDEX('Pliegos Tarifarios (Huechuraba)'!$F:$F,MATCH($B43,'Pliegos Tarifarios (Huechuraba)'!$A:$A,0)),H43&lt;=500,INDEX('Pliegos Tarifarios (Huechuraba)'!$G:$G,MATCH($B43,'Pliegos Tarifarios (Huechuraba)'!$A:$A,0)),H43&lt;=1000,INDEX('Pliegos Tarifarios (Huechuraba)'!$H:$H,MATCH($B43,'Pliegos Tarifarios (Huechuraba)'!$A:$A,0)),H43&lt;=5000,INDEX('Pliegos Tarifarios (Huechuraba)'!$I:$I,MATCH($B43,'Pliegos Tarifarios (Huechuraba)'!$A:$A,0)),H43&gt;5000,INDEX('Pliegos Tarifarios (Huechuraba)'!$J:$J,MATCH($B43,'Pliegos Tarifarios (Huechuraba)'!$A:$A,0)))/1.19</f>
        <v>603.07831932773115</v>
      </c>
      <c r="R43" s="19">
        <f>INDEX('Pliegos Tarifarios (Huechuraba)'!$K:$K,MATCH($B43,'Pliegos Tarifarios (Huechuraba)'!$A:$A,0))</f>
        <v>710.78200000000004</v>
      </c>
      <c r="S43" s="36">
        <f t="shared" si="0"/>
        <v>77712.528279327729</v>
      </c>
      <c r="T43" s="36">
        <f t="shared" si="1"/>
        <v>14765.380373072268</v>
      </c>
      <c r="U43" s="19">
        <v>0</v>
      </c>
      <c r="V43" s="36">
        <f t="shared" si="2"/>
        <v>92477.908652400001</v>
      </c>
    </row>
    <row r="44" spans="1:22" ht="23.4" thickBot="1" x14ac:dyDescent="0.35">
      <c r="A44" s="25" t="s">
        <v>14</v>
      </c>
      <c r="B44" s="26">
        <v>1</v>
      </c>
      <c r="C44" s="27" t="s">
        <v>15</v>
      </c>
      <c r="D44" s="26" t="s">
        <v>115</v>
      </c>
      <c r="E44" s="26" t="s">
        <v>116</v>
      </c>
      <c r="F44" s="27" t="s">
        <v>117</v>
      </c>
      <c r="G44" s="26" t="s">
        <v>33</v>
      </c>
      <c r="H44" s="26">
        <v>482.56</v>
      </c>
      <c r="I44" s="26">
        <v>1.31</v>
      </c>
      <c r="J44" s="26">
        <v>1.31</v>
      </c>
      <c r="K44" s="29">
        <v>1</v>
      </c>
      <c r="L44" s="26">
        <v>15.57</v>
      </c>
      <c r="M44" s="19">
        <f>H44*INDEX('Pliegos Tarifarios (Huechuraba)'!$B:$B,MATCH($B44,'Pliegos Tarifarios (Huechuraba)'!$A:$A,0))</f>
        <v>57346.465279999997</v>
      </c>
      <c r="N44" s="19">
        <f>I44*INDEX('Pliegos Tarifarios (Huechuraba)'!$C:$C,MATCH($B44,'Pliegos Tarifarios (Huechuraba)'!$A:$A,0))</f>
        <v>4473.7927900000004</v>
      </c>
      <c r="O44" s="19">
        <f>J44*INDEX('Pliegos Tarifarios (Huechuraba)'!$D:$D,MATCH($B44,'Pliegos Tarifarios (Huechuraba)'!$A:$A,0))</f>
        <v>18479.652549999999</v>
      </c>
      <c r="P44" s="19">
        <f>H44*INDEX('Pliegos Tarifarios (Huechuraba)'!$E:$E,MATCH($B44,'Pliegos Tarifarios (Huechuraba)'!$A:$A,0))</f>
        <v>6240.4659200000006</v>
      </c>
      <c r="Q44" s="19" cm="1">
        <f t="array" ref="Q44">H44*_xlfn.IFS(H44&lt;=350,INDEX('Pliegos Tarifarios (Huechuraba)'!$F:$F,MATCH($B44,'Pliegos Tarifarios (Huechuraba)'!$A:$A,0)),H44&lt;=500,INDEX('Pliegos Tarifarios (Huechuraba)'!$G:$G,MATCH($B44,'Pliegos Tarifarios (Huechuraba)'!$A:$A,0)),H44&lt;=1000,INDEX('Pliegos Tarifarios (Huechuraba)'!$H:$H,MATCH($B44,'Pliegos Tarifarios (Huechuraba)'!$A:$A,0)),H44&lt;=5000,INDEX('Pliegos Tarifarios (Huechuraba)'!$I:$I,MATCH($B44,'Pliegos Tarifarios (Huechuraba)'!$A:$A,0)),H44&gt;5000,INDEX('Pliegos Tarifarios (Huechuraba)'!$J:$J,MATCH($B44,'Pliegos Tarifarios (Huechuraba)'!$A:$A,0)))/1.19</f>
        <v>679.63912605042026</v>
      </c>
      <c r="R44" s="19">
        <f>INDEX('Pliegos Tarifarios (Huechuraba)'!$K:$K,MATCH($B44,'Pliegos Tarifarios (Huechuraba)'!$A:$A,0))</f>
        <v>710.78200000000004</v>
      </c>
      <c r="S44" s="36">
        <f t="shared" si="0"/>
        <v>87930.797666050421</v>
      </c>
      <c r="T44" s="36">
        <f t="shared" si="1"/>
        <v>16706.85155654958</v>
      </c>
      <c r="U44" s="19">
        <v>0</v>
      </c>
      <c r="V44" s="36">
        <f t="shared" si="2"/>
        <v>104637.6492226</v>
      </c>
    </row>
    <row r="45" spans="1:22" ht="23.4" thickBot="1" x14ac:dyDescent="0.35">
      <c r="A45" s="25" t="s">
        <v>14</v>
      </c>
      <c r="B45" s="26">
        <v>1</v>
      </c>
      <c r="C45" s="27" t="s">
        <v>15</v>
      </c>
      <c r="D45" s="26" t="s">
        <v>118</v>
      </c>
      <c r="E45" s="26" t="s">
        <v>119</v>
      </c>
      <c r="F45" s="27" t="s">
        <v>120</v>
      </c>
      <c r="G45" s="26" t="s">
        <v>33</v>
      </c>
      <c r="H45" s="26">
        <v>80.33</v>
      </c>
      <c r="I45" s="26">
        <v>0.21</v>
      </c>
      <c r="J45" s="26">
        <v>0.21</v>
      </c>
      <c r="K45" s="29">
        <v>0.997</v>
      </c>
      <c r="L45" s="26">
        <v>2.59</v>
      </c>
      <c r="M45" s="19">
        <f>H45*INDEX('Pliegos Tarifarios (Huechuraba)'!$B:$B,MATCH($B45,'Pliegos Tarifarios (Huechuraba)'!$A:$A,0))</f>
        <v>9546.2565399999985</v>
      </c>
      <c r="N45" s="19">
        <f>I45*INDEX('Pliegos Tarifarios (Huechuraba)'!$C:$C,MATCH($B45,'Pliegos Tarifarios (Huechuraba)'!$A:$A,0))</f>
        <v>717.17288999999994</v>
      </c>
      <c r="O45" s="19">
        <f>J45*INDEX('Pliegos Tarifarios (Huechuraba)'!$D:$D,MATCH($B45,'Pliegos Tarifarios (Huechuraba)'!$A:$A,0))</f>
        <v>2962.3870499999998</v>
      </c>
      <c r="P45" s="19">
        <f>H45*INDEX('Pliegos Tarifarios (Huechuraba)'!$E:$E,MATCH($B45,'Pliegos Tarifarios (Huechuraba)'!$A:$A,0))</f>
        <v>1038.8275599999999</v>
      </c>
      <c r="Q45" s="19" cm="1">
        <f t="array" ref="Q45">H45*_xlfn.IFS(H45&lt;=350,INDEX('Pliegos Tarifarios (Huechuraba)'!$F:$F,MATCH($B45,'Pliegos Tarifarios (Huechuraba)'!$A:$A,0)),H45&lt;=500,INDEX('Pliegos Tarifarios (Huechuraba)'!$G:$G,MATCH($B45,'Pliegos Tarifarios (Huechuraba)'!$A:$A,0)),H45&lt;=1000,INDEX('Pliegos Tarifarios (Huechuraba)'!$H:$H,MATCH($B45,'Pliegos Tarifarios (Huechuraba)'!$A:$A,0)),H45&lt;=5000,INDEX('Pliegos Tarifarios (Huechuraba)'!$I:$I,MATCH($B45,'Pliegos Tarifarios (Huechuraba)'!$A:$A,0)),H45&gt;5000,INDEX('Pliegos Tarifarios (Huechuraba)'!$J:$J,MATCH($B45,'Pliegos Tarifarios (Huechuraba)'!$A:$A,0)))/1.19</f>
        <v>52.92329411764706</v>
      </c>
      <c r="R45" s="19">
        <f>INDEX('Pliegos Tarifarios (Huechuraba)'!$K:$K,MATCH($B45,'Pliegos Tarifarios (Huechuraba)'!$A:$A,0))</f>
        <v>710.78200000000004</v>
      </c>
      <c r="S45" s="36">
        <f t="shared" si="0"/>
        <v>15028.349334117644</v>
      </c>
      <c r="T45" s="36">
        <f t="shared" si="1"/>
        <v>2855.3863734823522</v>
      </c>
      <c r="U45" s="19">
        <v>0</v>
      </c>
      <c r="V45" s="36">
        <f t="shared" si="2"/>
        <v>17883.735707599997</v>
      </c>
    </row>
    <row r="46" spans="1:22" ht="23.4" thickBot="1" x14ac:dyDescent="0.35">
      <c r="A46" s="25" t="s">
        <v>14</v>
      </c>
      <c r="B46" s="26">
        <v>1</v>
      </c>
      <c r="C46" s="27" t="s">
        <v>15</v>
      </c>
      <c r="D46" s="26" t="s">
        <v>121</v>
      </c>
      <c r="E46" s="26" t="s">
        <v>119</v>
      </c>
      <c r="F46" s="27" t="s">
        <v>122</v>
      </c>
      <c r="G46" s="26" t="s">
        <v>33</v>
      </c>
      <c r="H46" s="26">
        <v>80.150000000000006</v>
      </c>
      <c r="I46" s="26">
        <v>0.22</v>
      </c>
      <c r="J46" s="26">
        <v>0.21</v>
      </c>
      <c r="K46" s="29">
        <v>0.99</v>
      </c>
      <c r="L46" s="26">
        <v>2.59</v>
      </c>
      <c r="M46" s="19">
        <f>H46*INDEX('Pliegos Tarifarios (Huechuraba)'!$B:$B,MATCH($B46,'Pliegos Tarifarios (Huechuraba)'!$A:$A,0))</f>
        <v>9524.8657000000003</v>
      </c>
      <c r="N46" s="19">
        <f>I46*INDEX('Pliegos Tarifarios (Huechuraba)'!$C:$C,MATCH($B46,'Pliegos Tarifarios (Huechuraba)'!$A:$A,0))</f>
        <v>751.32398000000001</v>
      </c>
      <c r="O46" s="19">
        <f>J46*INDEX('Pliegos Tarifarios (Huechuraba)'!$D:$D,MATCH($B46,'Pliegos Tarifarios (Huechuraba)'!$A:$A,0))</f>
        <v>2962.3870499999998</v>
      </c>
      <c r="P46" s="19">
        <f>H46*INDEX('Pliegos Tarifarios (Huechuraba)'!$E:$E,MATCH($B46,'Pliegos Tarifarios (Huechuraba)'!$A:$A,0))</f>
        <v>1036.4998000000001</v>
      </c>
      <c r="Q46" s="19" cm="1">
        <f t="array" ref="Q46">H46*_xlfn.IFS(H46&lt;=350,INDEX('Pliegos Tarifarios (Huechuraba)'!$F:$F,MATCH($B46,'Pliegos Tarifarios (Huechuraba)'!$A:$A,0)),H46&lt;=500,INDEX('Pliegos Tarifarios (Huechuraba)'!$G:$G,MATCH($B46,'Pliegos Tarifarios (Huechuraba)'!$A:$A,0)),H46&lt;=1000,INDEX('Pliegos Tarifarios (Huechuraba)'!$H:$H,MATCH($B46,'Pliegos Tarifarios (Huechuraba)'!$A:$A,0)),H46&lt;=5000,INDEX('Pliegos Tarifarios (Huechuraba)'!$I:$I,MATCH($B46,'Pliegos Tarifarios (Huechuraba)'!$A:$A,0)),H46&gt;5000,INDEX('Pliegos Tarifarios (Huechuraba)'!$J:$J,MATCH($B46,'Pliegos Tarifarios (Huechuraba)'!$A:$A,0)))/1.19</f>
        <v>52.804705882352948</v>
      </c>
      <c r="R46" s="19">
        <f>INDEX('Pliegos Tarifarios (Huechuraba)'!$K:$K,MATCH($B46,'Pliegos Tarifarios (Huechuraba)'!$A:$A,0))</f>
        <v>710.78200000000004</v>
      </c>
      <c r="S46" s="36">
        <f t="shared" si="0"/>
        <v>15038.66323588235</v>
      </c>
      <c r="T46" s="36">
        <f t="shared" si="1"/>
        <v>2857.3460148176464</v>
      </c>
      <c r="U46" s="19">
        <v>0</v>
      </c>
      <c r="V46" s="36">
        <f t="shared" si="2"/>
        <v>17896.009250699997</v>
      </c>
    </row>
    <row r="47" spans="1:22" ht="23.4" thickBot="1" x14ac:dyDescent="0.35">
      <c r="A47" s="25" t="s">
        <v>14</v>
      </c>
      <c r="B47" s="26">
        <v>1</v>
      </c>
      <c r="C47" s="27" t="s">
        <v>15</v>
      </c>
      <c r="D47" s="26" t="s">
        <v>123</v>
      </c>
      <c r="E47" s="26" t="s">
        <v>124</v>
      </c>
      <c r="F47" s="27" t="s">
        <v>125</v>
      </c>
      <c r="G47" s="26" t="s">
        <v>33</v>
      </c>
      <c r="H47" s="26">
        <v>80.510000000000005</v>
      </c>
      <c r="I47" s="26">
        <v>0.22</v>
      </c>
      <c r="J47" s="26">
        <v>0.21</v>
      </c>
      <c r="K47" s="29">
        <v>0.95699999999999996</v>
      </c>
      <c r="L47" s="26">
        <v>2.6</v>
      </c>
      <c r="M47" s="19">
        <f>H47*INDEX('Pliegos Tarifarios (Huechuraba)'!$B:$B,MATCH($B47,'Pliegos Tarifarios (Huechuraba)'!$A:$A,0))</f>
        <v>9567.6473800000003</v>
      </c>
      <c r="N47" s="19">
        <f>I47*INDEX('Pliegos Tarifarios (Huechuraba)'!$C:$C,MATCH($B47,'Pliegos Tarifarios (Huechuraba)'!$A:$A,0))</f>
        <v>751.32398000000001</v>
      </c>
      <c r="O47" s="19">
        <f>J47*INDEX('Pliegos Tarifarios (Huechuraba)'!$D:$D,MATCH($B47,'Pliegos Tarifarios (Huechuraba)'!$A:$A,0))</f>
        <v>2962.3870499999998</v>
      </c>
      <c r="P47" s="19">
        <f>H47*INDEX('Pliegos Tarifarios (Huechuraba)'!$E:$E,MATCH($B47,'Pliegos Tarifarios (Huechuraba)'!$A:$A,0))</f>
        <v>1041.1553200000001</v>
      </c>
      <c r="Q47" s="19" cm="1">
        <f t="array" ref="Q47">H47*_xlfn.IFS(H47&lt;=350,INDEX('Pliegos Tarifarios (Huechuraba)'!$F:$F,MATCH($B47,'Pliegos Tarifarios (Huechuraba)'!$A:$A,0)),H47&lt;=500,INDEX('Pliegos Tarifarios (Huechuraba)'!$G:$G,MATCH($B47,'Pliegos Tarifarios (Huechuraba)'!$A:$A,0)),H47&lt;=1000,INDEX('Pliegos Tarifarios (Huechuraba)'!$H:$H,MATCH($B47,'Pliegos Tarifarios (Huechuraba)'!$A:$A,0)),H47&lt;=5000,INDEX('Pliegos Tarifarios (Huechuraba)'!$I:$I,MATCH($B47,'Pliegos Tarifarios (Huechuraba)'!$A:$A,0)),H47&gt;5000,INDEX('Pliegos Tarifarios (Huechuraba)'!$J:$J,MATCH($B47,'Pliegos Tarifarios (Huechuraba)'!$A:$A,0)))/1.19</f>
        <v>53.04188235294118</v>
      </c>
      <c r="R47" s="19">
        <f>INDEX('Pliegos Tarifarios (Huechuraba)'!$K:$K,MATCH($B47,'Pliegos Tarifarios (Huechuraba)'!$A:$A,0))</f>
        <v>710.78200000000004</v>
      </c>
      <c r="S47" s="36">
        <f t="shared" si="0"/>
        <v>15086.33761235294</v>
      </c>
      <c r="T47" s="36">
        <f t="shared" si="1"/>
        <v>2866.4041463470585</v>
      </c>
      <c r="U47" s="19">
        <v>0</v>
      </c>
      <c r="V47" s="36">
        <f t="shared" si="2"/>
        <v>17952.741758699998</v>
      </c>
    </row>
    <row r="48" spans="1:22" ht="23.4" thickBot="1" x14ac:dyDescent="0.35">
      <c r="A48" s="25" t="s">
        <v>14</v>
      </c>
      <c r="B48" s="26">
        <v>1</v>
      </c>
      <c r="C48" s="27" t="s">
        <v>15</v>
      </c>
      <c r="D48" s="26" t="s">
        <v>126</v>
      </c>
      <c r="E48" s="26" t="s">
        <v>124</v>
      </c>
      <c r="F48" s="27" t="s">
        <v>127</v>
      </c>
      <c r="G48" s="26" t="s">
        <v>33</v>
      </c>
      <c r="H48" s="26">
        <v>133.99</v>
      </c>
      <c r="I48" s="26">
        <v>0.35</v>
      </c>
      <c r="J48" s="26">
        <v>0.35</v>
      </c>
      <c r="K48" s="29">
        <v>1</v>
      </c>
      <c r="L48" s="26">
        <v>4.32</v>
      </c>
      <c r="M48" s="19">
        <f>H48*INDEX('Pliegos Tarifarios (Huechuraba)'!$B:$B,MATCH($B48,'Pliegos Tarifarios (Huechuraba)'!$A:$A,0))</f>
        <v>15923.10362</v>
      </c>
      <c r="N48" s="19">
        <f>I48*INDEX('Pliegos Tarifarios (Huechuraba)'!$C:$C,MATCH($B48,'Pliegos Tarifarios (Huechuraba)'!$A:$A,0))</f>
        <v>1195.2881499999999</v>
      </c>
      <c r="O48" s="19">
        <f>J48*INDEX('Pliegos Tarifarios (Huechuraba)'!$D:$D,MATCH($B48,'Pliegos Tarifarios (Huechuraba)'!$A:$A,0))</f>
        <v>4937.3117499999998</v>
      </c>
      <c r="P48" s="19">
        <f>H48*INDEX('Pliegos Tarifarios (Huechuraba)'!$E:$E,MATCH($B48,'Pliegos Tarifarios (Huechuraba)'!$A:$A,0))</f>
        <v>1732.7586800000001</v>
      </c>
      <c r="Q48" s="19" cm="1">
        <f t="array" ref="Q48">H48*_xlfn.IFS(H48&lt;=350,INDEX('Pliegos Tarifarios (Huechuraba)'!$F:$F,MATCH($B48,'Pliegos Tarifarios (Huechuraba)'!$A:$A,0)),H48&lt;=500,INDEX('Pliegos Tarifarios (Huechuraba)'!$G:$G,MATCH($B48,'Pliegos Tarifarios (Huechuraba)'!$A:$A,0)),H48&lt;=1000,INDEX('Pliegos Tarifarios (Huechuraba)'!$H:$H,MATCH($B48,'Pliegos Tarifarios (Huechuraba)'!$A:$A,0)),H48&lt;=5000,INDEX('Pliegos Tarifarios (Huechuraba)'!$I:$I,MATCH($B48,'Pliegos Tarifarios (Huechuraba)'!$A:$A,0)),H48&gt;5000,INDEX('Pliegos Tarifarios (Huechuraba)'!$J:$J,MATCH($B48,'Pliegos Tarifarios (Huechuraba)'!$A:$A,0)))/1.19</f>
        <v>88.275764705882366</v>
      </c>
      <c r="R48" s="19">
        <f>INDEX('Pliegos Tarifarios (Huechuraba)'!$K:$K,MATCH($B48,'Pliegos Tarifarios (Huechuraba)'!$A:$A,0))</f>
        <v>710.78200000000004</v>
      </c>
      <c r="S48" s="36">
        <f t="shared" si="0"/>
        <v>24587.51996470588</v>
      </c>
      <c r="T48" s="36">
        <f t="shared" si="1"/>
        <v>4671.6287932941168</v>
      </c>
      <c r="U48" s="19">
        <v>0</v>
      </c>
      <c r="V48" s="36">
        <f t="shared" si="2"/>
        <v>29259.148757999996</v>
      </c>
    </row>
    <row r="49" spans="1:22" ht="23.4" thickBot="1" x14ac:dyDescent="0.35">
      <c r="A49" s="25" t="s">
        <v>14</v>
      </c>
      <c r="B49" s="26">
        <v>1</v>
      </c>
      <c r="C49" s="27" t="s">
        <v>15</v>
      </c>
      <c r="D49" s="26" t="s">
        <v>128</v>
      </c>
      <c r="E49" s="26" t="s">
        <v>124</v>
      </c>
      <c r="F49" s="27" t="s">
        <v>129</v>
      </c>
      <c r="G49" s="26" t="s">
        <v>33</v>
      </c>
      <c r="H49" s="26">
        <v>80.28</v>
      </c>
      <c r="I49" s="26">
        <v>0.21</v>
      </c>
      <c r="J49" s="26">
        <v>0.21</v>
      </c>
      <c r="K49" s="29">
        <v>0.98499999999999999</v>
      </c>
      <c r="L49" s="26">
        <v>2.59</v>
      </c>
      <c r="M49" s="19">
        <f>H49*INDEX('Pliegos Tarifarios (Huechuraba)'!$B:$B,MATCH($B49,'Pliegos Tarifarios (Huechuraba)'!$A:$A,0))</f>
        <v>9540.3146400000005</v>
      </c>
      <c r="N49" s="19">
        <f>I49*INDEX('Pliegos Tarifarios (Huechuraba)'!$C:$C,MATCH($B49,'Pliegos Tarifarios (Huechuraba)'!$A:$A,0))</f>
        <v>717.17288999999994</v>
      </c>
      <c r="O49" s="19">
        <f>J49*INDEX('Pliegos Tarifarios (Huechuraba)'!$D:$D,MATCH($B49,'Pliegos Tarifarios (Huechuraba)'!$A:$A,0))</f>
        <v>2962.3870499999998</v>
      </c>
      <c r="P49" s="19">
        <f>H49*INDEX('Pliegos Tarifarios (Huechuraba)'!$E:$E,MATCH($B49,'Pliegos Tarifarios (Huechuraba)'!$A:$A,0))</f>
        <v>1038.1809600000001</v>
      </c>
      <c r="Q49" s="19" cm="1">
        <f t="array" ref="Q49">H49*_xlfn.IFS(H49&lt;=350,INDEX('Pliegos Tarifarios (Huechuraba)'!$F:$F,MATCH($B49,'Pliegos Tarifarios (Huechuraba)'!$A:$A,0)),H49&lt;=500,INDEX('Pliegos Tarifarios (Huechuraba)'!$G:$G,MATCH($B49,'Pliegos Tarifarios (Huechuraba)'!$A:$A,0)),H49&lt;=1000,INDEX('Pliegos Tarifarios (Huechuraba)'!$H:$H,MATCH($B49,'Pliegos Tarifarios (Huechuraba)'!$A:$A,0)),H49&lt;=5000,INDEX('Pliegos Tarifarios (Huechuraba)'!$I:$I,MATCH($B49,'Pliegos Tarifarios (Huechuraba)'!$A:$A,0)),H49&gt;5000,INDEX('Pliegos Tarifarios (Huechuraba)'!$J:$J,MATCH($B49,'Pliegos Tarifarios (Huechuraba)'!$A:$A,0)))/1.19</f>
        <v>52.890352941176474</v>
      </c>
      <c r="R49" s="19">
        <f>INDEX('Pliegos Tarifarios (Huechuraba)'!$K:$K,MATCH($B49,'Pliegos Tarifarios (Huechuraba)'!$A:$A,0))</f>
        <v>710.78200000000004</v>
      </c>
      <c r="S49" s="36">
        <f t="shared" si="0"/>
        <v>15021.727892941175</v>
      </c>
      <c r="T49" s="36">
        <f t="shared" si="1"/>
        <v>2854.1282996588234</v>
      </c>
      <c r="U49" s="19">
        <v>0</v>
      </c>
      <c r="V49" s="36">
        <f t="shared" si="2"/>
        <v>17875.856192599997</v>
      </c>
    </row>
    <row r="50" spans="1:22" ht="23.4" thickBot="1" x14ac:dyDescent="0.35">
      <c r="A50" s="25" t="s">
        <v>14</v>
      </c>
      <c r="B50" s="26">
        <v>1</v>
      </c>
      <c r="C50" s="27" t="s">
        <v>15</v>
      </c>
      <c r="D50" s="26" t="s">
        <v>130</v>
      </c>
      <c r="E50" s="26" t="s">
        <v>124</v>
      </c>
      <c r="F50" s="27" t="s">
        <v>131</v>
      </c>
      <c r="G50" s="26" t="s">
        <v>33</v>
      </c>
      <c r="H50" s="26">
        <v>80.260000000000005</v>
      </c>
      <c r="I50" s="26">
        <v>0.22</v>
      </c>
      <c r="J50" s="26">
        <v>0.22</v>
      </c>
      <c r="K50" s="29">
        <v>1</v>
      </c>
      <c r="L50" s="26">
        <v>2.59</v>
      </c>
      <c r="M50" s="19">
        <f>H50*INDEX('Pliegos Tarifarios (Huechuraba)'!$B:$B,MATCH($B50,'Pliegos Tarifarios (Huechuraba)'!$A:$A,0))</f>
        <v>9537.9378799999995</v>
      </c>
      <c r="N50" s="19">
        <f>I50*INDEX('Pliegos Tarifarios (Huechuraba)'!$C:$C,MATCH($B50,'Pliegos Tarifarios (Huechuraba)'!$A:$A,0))</f>
        <v>751.32398000000001</v>
      </c>
      <c r="O50" s="19">
        <f>J50*INDEX('Pliegos Tarifarios (Huechuraba)'!$D:$D,MATCH($B50,'Pliegos Tarifarios (Huechuraba)'!$A:$A,0))</f>
        <v>3103.4530999999997</v>
      </c>
      <c r="P50" s="19">
        <f>H50*INDEX('Pliegos Tarifarios (Huechuraba)'!$E:$E,MATCH($B50,'Pliegos Tarifarios (Huechuraba)'!$A:$A,0))</f>
        <v>1037.9223200000001</v>
      </c>
      <c r="Q50" s="19" cm="1">
        <f t="array" ref="Q50">H50*_xlfn.IFS(H50&lt;=350,INDEX('Pliegos Tarifarios (Huechuraba)'!$F:$F,MATCH($B50,'Pliegos Tarifarios (Huechuraba)'!$A:$A,0)),H50&lt;=500,INDEX('Pliegos Tarifarios (Huechuraba)'!$G:$G,MATCH($B50,'Pliegos Tarifarios (Huechuraba)'!$A:$A,0)),H50&lt;=1000,INDEX('Pliegos Tarifarios (Huechuraba)'!$H:$H,MATCH($B50,'Pliegos Tarifarios (Huechuraba)'!$A:$A,0)),H50&lt;=5000,INDEX('Pliegos Tarifarios (Huechuraba)'!$I:$I,MATCH($B50,'Pliegos Tarifarios (Huechuraba)'!$A:$A,0)),H50&gt;5000,INDEX('Pliegos Tarifarios (Huechuraba)'!$J:$J,MATCH($B50,'Pliegos Tarifarios (Huechuraba)'!$A:$A,0)))/1.19</f>
        <v>52.877176470588239</v>
      </c>
      <c r="R50" s="19">
        <f>INDEX('Pliegos Tarifarios (Huechuraba)'!$K:$K,MATCH($B50,'Pliegos Tarifarios (Huechuraba)'!$A:$A,0))</f>
        <v>710.78200000000004</v>
      </c>
      <c r="S50" s="36">
        <f t="shared" si="0"/>
        <v>15194.296456470585</v>
      </c>
      <c r="T50" s="36">
        <f t="shared" si="1"/>
        <v>2886.9163267294111</v>
      </c>
      <c r="U50" s="19">
        <v>0</v>
      </c>
      <c r="V50" s="36">
        <f t="shared" si="2"/>
        <v>18081.212783199997</v>
      </c>
    </row>
    <row r="51" spans="1:22" ht="23.4" thickBot="1" x14ac:dyDescent="0.35">
      <c r="A51" s="25" t="s">
        <v>14</v>
      </c>
      <c r="B51" s="26">
        <v>1</v>
      </c>
      <c r="C51" s="27" t="s">
        <v>15</v>
      </c>
      <c r="D51" s="26" t="s">
        <v>132</v>
      </c>
      <c r="E51" s="26" t="s">
        <v>124</v>
      </c>
      <c r="F51" s="27" t="s">
        <v>133</v>
      </c>
      <c r="G51" s="26" t="s">
        <v>33</v>
      </c>
      <c r="H51" s="26">
        <v>80.27</v>
      </c>
      <c r="I51" s="26">
        <v>0.21</v>
      </c>
      <c r="J51" s="26">
        <v>0.21</v>
      </c>
      <c r="K51" s="29">
        <v>0.97099999999999997</v>
      </c>
      <c r="L51" s="26">
        <v>2.59</v>
      </c>
      <c r="M51" s="19">
        <f>H51*INDEX('Pliegos Tarifarios (Huechuraba)'!$B:$B,MATCH($B51,'Pliegos Tarifarios (Huechuraba)'!$A:$A,0))</f>
        <v>9539.1262599999991</v>
      </c>
      <c r="N51" s="19">
        <f>I51*INDEX('Pliegos Tarifarios (Huechuraba)'!$C:$C,MATCH($B51,'Pliegos Tarifarios (Huechuraba)'!$A:$A,0))</f>
        <v>717.17288999999994</v>
      </c>
      <c r="O51" s="19">
        <f>J51*INDEX('Pliegos Tarifarios (Huechuraba)'!$D:$D,MATCH($B51,'Pliegos Tarifarios (Huechuraba)'!$A:$A,0))</f>
        <v>2962.3870499999998</v>
      </c>
      <c r="P51" s="19">
        <f>H51*INDEX('Pliegos Tarifarios (Huechuraba)'!$E:$E,MATCH($B51,'Pliegos Tarifarios (Huechuraba)'!$A:$A,0))</f>
        <v>1038.0516399999999</v>
      </c>
      <c r="Q51" s="19" cm="1">
        <f t="array" ref="Q51">H51*_xlfn.IFS(H51&lt;=350,INDEX('Pliegos Tarifarios (Huechuraba)'!$F:$F,MATCH($B51,'Pliegos Tarifarios (Huechuraba)'!$A:$A,0)),H51&lt;=500,INDEX('Pliegos Tarifarios (Huechuraba)'!$G:$G,MATCH($B51,'Pliegos Tarifarios (Huechuraba)'!$A:$A,0)),H51&lt;=1000,INDEX('Pliegos Tarifarios (Huechuraba)'!$H:$H,MATCH($B51,'Pliegos Tarifarios (Huechuraba)'!$A:$A,0)),H51&lt;=5000,INDEX('Pliegos Tarifarios (Huechuraba)'!$I:$I,MATCH($B51,'Pliegos Tarifarios (Huechuraba)'!$A:$A,0)),H51&gt;5000,INDEX('Pliegos Tarifarios (Huechuraba)'!$J:$J,MATCH($B51,'Pliegos Tarifarios (Huechuraba)'!$A:$A,0)))/1.19</f>
        <v>52.883764705882356</v>
      </c>
      <c r="R51" s="19">
        <f>INDEX('Pliegos Tarifarios (Huechuraba)'!$K:$K,MATCH($B51,'Pliegos Tarifarios (Huechuraba)'!$A:$A,0))</f>
        <v>710.78200000000004</v>
      </c>
      <c r="S51" s="36">
        <f t="shared" si="0"/>
        <v>15020.40360470588</v>
      </c>
      <c r="T51" s="36">
        <f t="shared" si="1"/>
        <v>2853.8766848941173</v>
      </c>
      <c r="U51" s="19">
        <v>0</v>
      </c>
      <c r="V51" s="36">
        <f t="shared" si="2"/>
        <v>17874.280289599996</v>
      </c>
    </row>
    <row r="52" spans="1:22" ht="23.4" thickBot="1" x14ac:dyDescent="0.35">
      <c r="A52" s="25" t="s">
        <v>14</v>
      </c>
      <c r="B52" s="26">
        <v>1</v>
      </c>
      <c r="C52" s="27" t="s">
        <v>15</v>
      </c>
      <c r="D52" s="26" t="s">
        <v>134</v>
      </c>
      <c r="E52" s="26" t="s">
        <v>124</v>
      </c>
      <c r="F52" s="27" t="s">
        <v>135</v>
      </c>
      <c r="G52" s="26" t="s">
        <v>33</v>
      </c>
      <c r="H52" s="26">
        <v>160.83000000000001</v>
      </c>
      <c r="I52" s="26">
        <v>0.43</v>
      </c>
      <c r="J52" s="26">
        <v>0.42</v>
      </c>
      <c r="K52" s="29">
        <v>0.97499999999999998</v>
      </c>
      <c r="L52" s="26">
        <v>5.19</v>
      </c>
      <c r="M52" s="19">
        <f>H52*INDEX('Pliegos Tarifarios (Huechuraba)'!$B:$B,MATCH($B52,'Pliegos Tarifarios (Huechuraba)'!$A:$A,0))</f>
        <v>19112.715540000001</v>
      </c>
      <c r="N52" s="19">
        <f>I52*INDEX('Pliegos Tarifarios (Huechuraba)'!$C:$C,MATCH($B52,'Pliegos Tarifarios (Huechuraba)'!$A:$A,0))</f>
        <v>1468.4968699999999</v>
      </c>
      <c r="O52" s="19">
        <f>J52*INDEX('Pliegos Tarifarios (Huechuraba)'!$D:$D,MATCH($B52,'Pliegos Tarifarios (Huechuraba)'!$A:$A,0))</f>
        <v>5924.7740999999996</v>
      </c>
      <c r="P52" s="19">
        <f>H52*INDEX('Pliegos Tarifarios (Huechuraba)'!$E:$E,MATCH($B52,'Pliegos Tarifarios (Huechuraba)'!$A:$A,0))</f>
        <v>2079.85356</v>
      </c>
      <c r="Q52" s="19" cm="1">
        <f t="array" ref="Q52">H52*_xlfn.IFS(H52&lt;=350,INDEX('Pliegos Tarifarios (Huechuraba)'!$F:$F,MATCH($B52,'Pliegos Tarifarios (Huechuraba)'!$A:$A,0)),H52&lt;=500,INDEX('Pliegos Tarifarios (Huechuraba)'!$G:$G,MATCH($B52,'Pliegos Tarifarios (Huechuraba)'!$A:$A,0)),H52&lt;=1000,INDEX('Pliegos Tarifarios (Huechuraba)'!$H:$H,MATCH($B52,'Pliegos Tarifarios (Huechuraba)'!$A:$A,0)),H52&lt;=5000,INDEX('Pliegos Tarifarios (Huechuraba)'!$I:$I,MATCH($B52,'Pliegos Tarifarios (Huechuraba)'!$A:$A,0)),H52&gt;5000,INDEX('Pliegos Tarifarios (Huechuraba)'!$J:$J,MATCH($B52,'Pliegos Tarifarios (Huechuraba)'!$A:$A,0)))/1.19</f>
        <v>105.95858823529414</v>
      </c>
      <c r="R52" s="19">
        <f>INDEX('Pliegos Tarifarios (Huechuraba)'!$K:$K,MATCH($B52,'Pliegos Tarifarios (Huechuraba)'!$A:$A,0))</f>
        <v>710.78200000000004</v>
      </c>
      <c r="S52" s="36">
        <f t="shared" si="0"/>
        <v>29402.580658235293</v>
      </c>
      <c r="T52" s="36">
        <f t="shared" si="1"/>
        <v>5586.4903250647058</v>
      </c>
      <c r="U52" s="19">
        <v>0</v>
      </c>
      <c r="V52" s="36">
        <f t="shared" si="2"/>
        <v>34989.0709833</v>
      </c>
    </row>
    <row r="53" spans="1:22" ht="23.4" thickBot="1" x14ac:dyDescent="0.35">
      <c r="A53" s="25" t="s">
        <v>14</v>
      </c>
      <c r="B53" s="26">
        <v>1</v>
      </c>
      <c r="C53" s="27" t="s">
        <v>15</v>
      </c>
      <c r="D53" s="26" t="s">
        <v>136</v>
      </c>
      <c r="E53" s="26" t="s">
        <v>124</v>
      </c>
      <c r="F53" s="27" t="s">
        <v>137</v>
      </c>
      <c r="G53" s="26" t="s">
        <v>33</v>
      </c>
      <c r="H53" s="26">
        <v>160.66999999999999</v>
      </c>
      <c r="I53" s="26">
        <v>0.43</v>
      </c>
      <c r="J53" s="26">
        <v>0.42</v>
      </c>
      <c r="K53" s="29">
        <v>0.97099999999999997</v>
      </c>
      <c r="L53" s="26">
        <v>5.18</v>
      </c>
      <c r="M53" s="19">
        <f>H53*INDEX('Pliegos Tarifarios (Huechuraba)'!$B:$B,MATCH($B53,'Pliegos Tarifarios (Huechuraba)'!$A:$A,0))</f>
        <v>19093.701459999997</v>
      </c>
      <c r="N53" s="19">
        <f>I53*INDEX('Pliegos Tarifarios (Huechuraba)'!$C:$C,MATCH($B53,'Pliegos Tarifarios (Huechuraba)'!$A:$A,0))</f>
        <v>1468.4968699999999</v>
      </c>
      <c r="O53" s="19">
        <f>J53*INDEX('Pliegos Tarifarios (Huechuraba)'!$D:$D,MATCH($B53,'Pliegos Tarifarios (Huechuraba)'!$A:$A,0))</f>
        <v>5924.7740999999996</v>
      </c>
      <c r="P53" s="19">
        <f>H53*INDEX('Pliegos Tarifarios (Huechuraba)'!$E:$E,MATCH($B53,'Pliegos Tarifarios (Huechuraba)'!$A:$A,0))</f>
        <v>2077.7844399999999</v>
      </c>
      <c r="Q53" s="19" cm="1">
        <f t="array" ref="Q53">H53*_xlfn.IFS(H53&lt;=350,INDEX('Pliegos Tarifarios (Huechuraba)'!$F:$F,MATCH($B53,'Pliegos Tarifarios (Huechuraba)'!$A:$A,0)),H53&lt;=500,INDEX('Pliegos Tarifarios (Huechuraba)'!$G:$G,MATCH($B53,'Pliegos Tarifarios (Huechuraba)'!$A:$A,0)),H53&lt;=1000,INDEX('Pliegos Tarifarios (Huechuraba)'!$H:$H,MATCH($B53,'Pliegos Tarifarios (Huechuraba)'!$A:$A,0)),H53&lt;=5000,INDEX('Pliegos Tarifarios (Huechuraba)'!$I:$I,MATCH($B53,'Pliegos Tarifarios (Huechuraba)'!$A:$A,0)),H53&gt;5000,INDEX('Pliegos Tarifarios (Huechuraba)'!$J:$J,MATCH($B53,'Pliegos Tarifarios (Huechuraba)'!$A:$A,0)))/1.19</f>
        <v>105.85317647058824</v>
      </c>
      <c r="R53" s="19">
        <f>INDEX('Pliegos Tarifarios (Huechuraba)'!$K:$K,MATCH($B53,'Pliegos Tarifarios (Huechuraba)'!$A:$A,0))</f>
        <v>710.78200000000004</v>
      </c>
      <c r="S53" s="36">
        <f t="shared" si="0"/>
        <v>29381.392046470581</v>
      </c>
      <c r="T53" s="36">
        <f t="shared" si="1"/>
        <v>5582.4644888294106</v>
      </c>
      <c r="U53" s="19">
        <v>0</v>
      </c>
      <c r="V53" s="36">
        <f t="shared" si="2"/>
        <v>34963.856535299994</v>
      </c>
    </row>
    <row r="54" spans="1:22" ht="23.4" thickBot="1" x14ac:dyDescent="0.35">
      <c r="A54" s="25" t="s">
        <v>14</v>
      </c>
      <c r="B54" s="26">
        <v>1</v>
      </c>
      <c r="C54" s="27" t="s">
        <v>15</v>
      </c>
      <c r="D54" s="26" t="s">
        <v>138</v>
      </c>
      <c r="E54" s="26" t="s">
        <v>124</v>
      </c>
      <c r="F54" s="27" t="s">
        <v>139</v>
      </c>
      <c r="G54" s="26" t="s">
        <v>33</v>
      </c>
      <c r="H54" s="26">
        <v>160.33000000000001</v>
      </c>
      <c r="I54" s="26">
        <v>0.43</v>
      </c>
      <c r="J54" s="26">
        <v>0.41</v>
      </c>
      <c r="K54" s="29">
        <v>0.97599999999999998</v>
      </c>
      <c r="L54" s="26">
        <v>5.17</v>
      </c>
      <c r="M54" s="19">
        <f>H54*INDEX('Pliegos Tarifarios (Huechuraba)'!$B:$B,MATCH($B54,'Pliegos Tarifarios (Huechuraba)'!$A:$A,0))</f>
        <v>19053.296539999999</v>
      </c>
      <c r="N54" s="19">
        <f>I54*INDEX('Pliegos Tarifarios (Huechuraba)'!$C:$C,MATCH($B54,'Pliegos Tarifarios (Huechuraba)'!$A:$A,0))</f>
        <v>1468.4968699999999</v>
      </c>
      <c r="O54" s="19">
        <f>J54*INDEX('Pliegos Tarifarios (Huechuraba)'!$D:$D,MATCH($B54,'Pliegos Tarifarios (Huechuraba)'!$A:$A,0))</f>
        <v>5783.7080499999993</v>
      </c>
      <c r="P54" s="19">
        <f>H54*INDEX('Pliegos Tarifarios (Huechuraba)'!$E:$E,MATCH($B54,'Pliegos Tarifarios (Huechuraba)'!$A:$A,0))</f>
        <v>2073.3875600000001</v>
      </c>
      <c r="Q54" s="19" cm="1">
        <f t="array" ref="Q54">H54*_xlfn.IFS(H54&lt;=350,INDEX('Pliegos Tarifarios (Huechuraba)'!$F:$F,MATCH($B54,'Pliegos Tarifarios (Huechuraba)'!$A:$A,0)),H54&lt;=500,INDEX('Pliegos Tarifarios (Huechuraba)'!$G:$G,MATCH($B54,'Pliegos Tarifarios (Huechuraba)'!$A:$A,0)),H54&lt;=1000,INDEX('Pliegos Tarifarios (Huechuraba)'!$H:$H,MATCH($B54,'Pliegos Tarifarios (Huechuraba)'!$A:$A,0)),H54&lt;=5000,INDEX('Pliegos Tarifarios (Huechuraba)'!$I:$I,MATCH($B54,'Pliegos Tarifarios (Huechuraba)'!$A:$A,0)),H54&gt;5000,INDEX('Pliegos Tarifarios (Huechuraba)'!$J:$J,MATCH($B54,'Pliegos Tarifarios (Huechuraba)'!$A:$A,0)))/1.19</f>
        <v>105.62917647058825</v>
      </c>
      <c r="R54" s="19">
        <f>INDEX('Pliegos Tarifarios (Huechuraba)'!$K:$K,MATCH($B54,'Pliegos Tarifarios (Huechuraba)'!$A:$A,0))</f>
        <v>710.78200000000004</v>
      </c>
      <c r="S54" s="36">
        <f t="shared" si="0"/>
        <v>29195.300196470587</v>
      </c>
      <c r="T54" s="36">
        <f t="shared" si="1"/>
        <v>5547.1070373294115</v>
      </c>
      <c r="U54" s="19">
        <v>0</v>
      </c>
      <c r="V54" s="36">
        <f t="shared" si="2"/>
        <v>34742.407233799997</v>
      </c>
    </row>
    <row r="55" spans="1:22" ht="23.4" thickBot="1" x14ac:dyDescent="0.35">
      <c r="A55" s="25" t="s">
        <v>14</v>
      </c>
      <c r="B55" s="26">
        <v>1</v>
      </c>
      <c r="C55" s="27" t="s">
        <v>15</v>
      </c>
      <c r="D55" s="26" t="s">
        <v>140</v>
      </c>
      <c r="E55" s="26" t="s">
        <v>124</v>
      </c>
      <c r="F55" s="27" t="s">
        <v>141</v>
      </c>
      <c r="G55" s="26" t="s">
        <v>33</v>
      </c>
      <c r="H55" s="26">
        <v>80.27</v>
      </c>
      <c r="I55" s="26">
        <v>0.21</v>
      </c>
      <c r="J55" s="26">
        <v>0.21</v>
      </c>
      <c r="K55" s="29">
        <v>1</v>
      </c>
      <c r="L55" s="26">
        <v>2.59</v>
      </c>
      <c r="M55" s="19">
        <f>H55*INDEX('Pliegos Tarifarios (Huechuraba)'!$B:$B,MATCH($B55,'Pliegos Tarifarios (Huechuraba)'!$A:$A,0))</f>
        <v>9539.1262599999991</v>
      </c>
      <c r="N55" s="19">
        <f>I55*INDEX('Pliegos Tarifarios (Huechuraba)'!$C:$C,MATCH($B55,'Pliegos Tarifarios (Huechuraba)'!$A:$A,0))</f>
        <v>717.17288999999994</v>
      </c>
      <c r="O55" s="19">
        <f>J55*INDEX('Pliegos Tarifarios (Huechuraba)'!$D:$D,MATCH($B55,'Pliegos Tarifarios (Huechuraba)'!$A:$A,0))</f>
        <v>2962.3870499999998</v>
      </c>
      <c r="P55" s="19">
        <f>H55*INDEX('Pliegos Tarifarios (Huechuraba)'!$E:$E,MATCH($B55,'Pliegos Tarifarios (Huechuraba)'!$A:$A,0))</f>
        <v>1038.0516399999999</v>
      </c>
      <c r="Q55" s="19" cm="1">
        <f t="array" ref="Q55">H55*_xlfn.IFS(H55&lt;=350,INDEX('Pliegos Tarifarios (Huechuraba)'!$F:$F,MATCH($B55,'Pliegos Tarifarios (Huechuraba)'!$A:$A,0)),H55&lt;=500,INDEX('Pliegos Tarifarios (Huechuraba)'!$G:$G,MATCH($B55,'Pliegos Tarifarios (Huechuraba)'!$A:$A,0)),H55&lt;=1000,INDEX('Pliegos Tarifarios (Huechuraba)'!$H:$H,MATCH($B55,'Pliegos Tarifarios (Huechuraba)'!$A:$A,0)),H55&lt;=5000,INDEX('Pliegos Tarifarios (Huechuraba)'!$I:$I,MATCH($B55,'Pliegos Tarifarios (Huechuraba)'!$A:$A,0)),H55&gt;5000,INDEX('Pliegos Tarifarios (Huechuraba)'!$J:$J,MATCH($B55,'Pliegos Tarifarios (Huechuraba)'!$A:$A,0)))/1.19</f>
        <v>52.883764705882356</v>
      </c>
      <c r="R55" s="19">
        <f>INDEX('Pliegos Tarifarios (Huechuraba)'!$K:$K,MATCH($B55,'Pliegos Tarifarios (Huechuraba)'!$A:$A,0))</f>
        <v>710.78200000000004</v>
      </c>
      <c r="S55" s="36">
        <f t="shared" si="0"/>
        <v>15020.40360470588</v>
      </c>
      <c r="T55" s="36">
        <f t="shared" si="1"/>
        <v>2853.8766848941173</v>
      </c>
      <c r="U55" s="19">
        <v>0</v>
      </c>
      <c r="V55" s="36">
        <f t="shared" si="2"/>
        <v>17874.280289599996</v>
      </c>
    </row>
    <row r="56" spans="1:22" ht="23.4" thickBot="1" x14ac:dyDescent="0.35">
      <c r="A56" s="25" t="s">
        <v>14</v>
      </c>
      <c r="B56" s="26">
        <v>1</v>
      </c>
      <c r="C56" s="27" t="s">
        <v>15</v>
      </c>
      <c r="D56" s="26" t="s">
        <v>142</v>
      </c>
      <c r="E56" s="26" t="s">
        <v>124</v>
      </c>
      <c r="F56" s="27" t="s">
        <v>143</v>
      </c>
      <c r="G56" s="26" t="s">
        <v>33</v>
      </c>
      <c r="H56" s="26">
        <v>160.75</v>
      </c>
      <c r="I56" s="26">
        <v>0.43</v>
      </c>
      <c r="J56" s="26">
        <v>0.42</v>
      </c>
      <c r="K56" s="29">
        <v>0.995</v>
      </c>
      <c r="L56" s="26">
        <v>5.19</v>
      </c>
      <c r="M56" s="19">
        <f>H56*INDEX('Pliegos Tarifarios (Huechuraba)'!$B:$B,MATCH($B56,'Pliegos Tarifarios (Huechuraba)'!$A:$A,0))</f>
        <v>19103.208500000001</v>
      </c>
      <c r="N56" s="19">
        <f>I56*INDEX('Pliegos Tarifarios (Huechuraba)'!$C:$C,MATCH($B56,'Pliegos Tarifarios (Huechuraba)'!$A:$A,0))</f>
        <v>1468.4968699999999</v>
      </c>
      <c r="O56" s="19">
        <f>J56*INDEX('Pliegos Tarifarios (Huechuraba)'!$D:$D,MATCH($B56,'Pliegos Tarifarios (Huechuraba)'!$A:$A,0))</f>
        <v>5924.7740999999996</v>
      </c>
      <c r="P56" s="19">
        <f>H56*INDEX('Pliegos Tarifarios (Huechuraba)'!$E:$E,MATCH($B56,'Pliegos Tarifarios (Huechuraba)'!$A:$A,0))</f>
        <v>2078.819</v>
      </c>
      <c r="Q56" s="19" cm="1">
        <f t="array" ref="Q56">H56*_xlfn.IFS(H56&lt;=350,INDEX('Pliegos Tarifarios (Huechuraba)'!$F:$F,MATCH($B56,'Pliegos Tarifarios (Huechuraba)'!$A:$A,0)),H56&lt;=500,INDEX('Pliegos Tarifarios (Huechuraba)'!$G:$G,MATCH($B56,'Pliegos Tarifarios (Huechuraba)'!$A:$A,0)),H56&lt;=1000,INDEX('Pliegos Tarifarios (Huechuraba)'!$H:$H,MATCH($B56,'Pliegos Tarifarios (Huechuraba)'!$A:$A,0)),H56&lt;=5000,INDEX('Pliegos Tarifarios (Huechuraba)'!$I:$I,MATCH($B56,'Pliegos Tarifarios (Huechuraba)'!$A:$A,0)),H56&gt;5000,INDEX('Pliegos Tarifarios (Huechuraba)'!$J:$J,MATCH($B56,'Pliegos Tarifarios (Huechuraba)'!$A:$A,0)))/1.19</f>
        <v>105.90588235294119</v>
      </c>
      <c r="R56" s="19">
        <f>INDEX('Pliegos Tarifarios (Huechuraba)'!$K:$K,MATCH($B56,'Pliegos Tarifarios (Huechuraba)'!$A:$A,0))</f>
        <v>710.78200000000004</v>
      </c>
      <c r="S56" s="36">
        <f t="shared" si="0"/>
        <v>29391.986352352938</v>
      </c>
      <c r="T56" s="36">
        <f t="shared" si="1"/>
        <v>5584.4774069470586</v>
      </c>
      <c r="U56" s="19">
        <v>0</v>
      </c>
      <c r="V56" s="36">
        <f t="shared" si="2"/>
        <v>34976.463759299993</v>
      </c>
    </row>
    <row r="57" spans="1:22" ht="23.4" thickBot="1" x14ac:dyDescent="0.35">
      <c r="A57" s="30" t="s">
        <v>144</v>
      </c>
      <c r="B57" s="31">
        <v>2</v>
      </c>
      <c r="C57" s="32" t="s">
        <v>15</v>
      </c>
      <c r="D57" s="31" t="s">
        <v>16</v>
      </c>
      <c r="E57" s="31" t="s">
        <v>17</v>
      </c>
      <c r="F57" s="32" t="s">
        <v>18</v>
      </c>
      <c r="G57" s="31" t="s">
        <v>19</v>
      </c>
      <c r="H57" s="33">
        <v>6465.98</v>
      </c>
      <c r="I57" s="31">
        <v>19.52</v>
      </c>
      <c r="J57" s="31">
        <v>18.71</v>
      </c>
      <c r="K57" s="34">
        <v>0.95899999999999996</v>
      </c>
      <c r="L57" s="31">
        <v>230.93</v>
      </c>
      <c r="M57" s="19">
        <f>H57*INDEX('Pliegos Tarifarios (Huechuraba)'!$B:$B,MATCH($B57,'Pliegos Tarifarios (Huechuraba)'!$A:$A,0))</f>
        <v>768404.1312399999</v>
      </c>
      <c r="N57" s="19">
        <f>I57*INDEX('Pliegos Tarifarios (Huechuraba)'!$C:$C,MATCH($B57,'Pliegos Tarifarios (Huechuraba)'!$A:$A,0))</f>
        <v>66966.893119999993</v>
      </c>
      <c r="O57" s="19">
        <f>J57*INDEX('Pliegos Tarifarios (Huechuraba)'!$D:$D,MATCH($B57,'Pliegos Tarifarios (Huechuraba)'!$A:$A,0))</f>
        <v>264225.91295999999</v>
      </c>
      <c r="P57" s="19">
        <f>H57*INDEX('Pliegos Tarifarios (Huechuraba)'!$E:$E,MATCH($B57,'Pliegos Tarifarios (Huechuraba)'!$A:$A,0))</f>
        <v>83618.053359999991</v>
      </c>
      <c r="Q57" s="19" cm="1">
        <f t="array" ref="Q57">H57*_xlfn.IFS(H57&lt;=350,INDEX('Pliegos Tarifarios (Huechuraba)'!$F:$F,MATCH($B57,'Pliegos Tarifarios (Huechuraba)'!$A:$A,0)),H57&lt;=500,INDEX('Pliegos Tarifarios (Huechuraba)'!$G:$G,MATCH($B57,'Pliegos Tarifarios (Huechuraba)'!$A:$A,0)),H57&lt;=1000,INDEX('Pliegos Tarifarios (Huechuraba)'!$H:$H,MATCH($B57,'Pliegos Tarifarios (Huechuraba)'!$A:$A,0)),H57&lt;=5000,INDEX('Pliegos Tarifarios (Huechuraba)'!$I:$I,MATCH($B57,'Pliegos Tarifarios (Huechuraba)'!$A:$A,0)),H57&gt;5000,INDEX('Pliegos Tarifarios (Huechuraba)'!$J:$J,MATCH($B57,'Pliegos Tarifarios (Huechuraba)'!$A:$A,0)))/1.19</f>
        <v>21218.194873949582</v>
      </c>
      <c r="R57" s="19">
        <f>INDEX('Pliegos Tarifarios (Huechuraba)'!$K:$K,MATCH($B57,'Pliegos Tarifarios (Huechuraba)'!$A:$A,0))</f>
        <v>709.36099999999999</v>
      </c>
      <c r="S57" s="36">
        <f t="shared" si="0"/>
        <v>1205142.5465539496</v>
      </c>
      <c r="T57" s="36">
        <f t="shared" si="1"/>
        <v>228977.08384525042</v>
      </c>
      <c r="U57" s="19">
        <v>0</v>
      </c>
      <c r="V57" s="36">
        <f t="shared" si="2"/>
        <v>1434119.6303992001</v>
      </c>
    </row>
    <row r="58" spans="1:22" ht="23.4" thickBot="1" x14ac:dyDescent="0.35">
      <c r="A58" s="30" t="s">
        <v>144</v>
      </c>
      <c r="B58" s="31">
        <v>2</v>
      </c>
      <c r="C58" s="32" t="s">
        <v>15</v>
      </c>
      <c r="D58" s="31" t="s">
        <v>20</v>
      </c>
      <c r="E58" s="31" t="s">
        <v>21</v>
      </c>
      <c r="F58" s="32" t="s">
        <v>22</v>
      </c>
      <c r="G58" s="31" t="s">
        <v>19</v>
      </c>
      <c r="H58" s="33">
        <v>3236.06</v>
      </c>
      <c r="I58" s="31">
        <v>9.59</v>
      </c>
      <c r="J58" s="31">
        <v>9.52</v>
      </c>
      <c r="K58" s="34">
        <v>0.99199999999999999</v>
      </c>
      <c r="L58" s="31">
        <v>115.57</v>
      </c>
      <c r="M58" s="19">
        <f>H58*INDEX('Pliegos Tarifarios (Huechuraba)'!$B:$B,MATCH($B58,'Pliegos Tarifarios (Huechuraba)'!$A:$A,0))</f>
        <v>384566.89827999996</v>
      </c>
      <c r="N58" s="19">
        <f>I58*INDEX('Pliegos Tarifarios (Huechuraba)'!$C:$C,MATCH($B58,'Pliegos Tarifarios (Huechuraba)'!$A:$A,0))</f>
        <v>32900.230790000001</v>
      </c>
      <c r="O58" s="19">
        <f>J58*INDEX('Pliegos Tarifarios (Huechuraba)'!$D:$D,MATCH($B58,'Pliegos Tarifarios (Huechuraba)'!$A:$A,0))</f>
        <v>134443.11551999999</v>
      </c>
      <c r="P58" s="19">
        <f>H58*INDEX('Pliegos Tarifarios (Huechuraba)'!$E:$E,MATCH($B58,'Pliegos Tarifarios (Huechuraba)'!$A:$A,0))</f>
        <v>41848.727919999998</v>
      </c>
      <c r="Q58" s="19" cm="1">
        <f t="array" ref="Q58">H58*_xlfn.IFS(H58&lt;=350,INDEX('Pliegos Tarifarios (Huechuraba)'!$F:$F,MATCH($B58,'Pliegos Tarifarios (Huechuraba)'!$A:$A,0)),H58&lt;=500,INDEX('Pliegos Tarifarios (Huechuraba)'!$G:$G,MATCH($B58,'Pliegos Tarifarios (Huechuraba)'!$A:$A,0)),H58&lt;=1000,INDEX('Pliegos Tarifarios (Huechuraba)'!$H:$H,MATCH($B58,'Pliegos Tarifarios (Huechuraba)'!$A:$A,0)),H58&lt;=5000,INDEX('Pliegos Tarifarios (Huechuraba)'!$I:$I,MATCH($B58,'Pliegos Tarifarios (Huechuraba)'!$A:$A,0)),H58&gt;5000,INDEX('Pliegos Tarifarios (Huechuraba)'!$J:$J,MATCH($B58,'Pliegos Tarifarios (Huechuraba)'!$A:$A,0)))/1.19</f>
        <v>9710.89937815126</v>
      </c>
      <c r="R58" s="19">
        <f>INDEX('Pliegos Tarifarios (Huechuraba)'!$K:$K,MATCH($B58,'Pliegos Tarifarios (Huechuraba)'!$A:$A,0))</f>
        <v>709.36099999999999</v>
      </c>
      <c r="S58" s="36">
        <f t="shared" si="0"/>
        <v>604179.23288815131</v>
      </c>
      <c r="T58" s="36">
        <f t="shared" si="1"/>
        <v>114794.05424874875</v>
      </c>
      <c r="U58" s="19">
        <v>0</v>
      </c>
      <c r="V58" s="36">
        <f t="shared" si="2"/>
        <v>718973.28713690001</v>
      </c>
    </row>
    <row r="59" spans="1:22" ht="23.4" thickBot="1" x14ac:dyDescent="0.35">
      <c r="A59" s="30" t="s">
        <v>144</v>
      </c>
      <c r="B59" s="31">
        <v>2</v>
      </c>
      <c r="C59" s="32" t="s">
        <v>15</v>
      </c>
      <c r="D59" s="31" t="s">
        <v>23</v>
      </c>
      <c r="E59" s="31" t="s">
        <v>21</v>
      </c>
      <c r="F59" s="32" t="s">
        <v>24</v>
      </c>
      <c r="G59" s="31" t="s">
        <v>19</v>
      </c>
      <c r="H59" s="33">
        <v>2581.9899999999998</v>
      </c>
      <c r="I59" s="31">
        <v>7.86</v>
      </c>
      <c r="J59" s="31">
        <v>7.46</v>
      </c>
      <c r="K59" s="34">
        <v>0.95</v>
      </c>
      <c r="L59" s="31">
        <v>92.21</v>
      </c>
      <c r="M59" s="19">
        <f>H59*INDEX('Pliegos Tarifarios (Huechuraba)'!$B:$B,MATCH($B59,'Pliegos Tarifarios (Huechuraba)'!$A:$A,0))</f>
        <v>306838.52761999995</v>
      </c>
      <c r="N59" s="19">
        <f>I59*INDEX('Pliegos Tarifarios (Huechuraba)'!$C:$C,MATCH($B59,'Pliegos Tarifarios (Huechuraba)'!$A:$A,0))</f>
        <v>26965.15266</v>
      </c>
      <c r="O59" s="19">
        <f>J59*INDEX('Pliegos Tarifarios (Huechuraba)'!$D:$D,MATCH($B59,'Pliegos Tarifarios (Huechuraba)'!$A:$A,0))</f>
        <v>105351.43295999999</v>
      </c>
      <c r="P59" s="19">
        <f>H59*INDEX('Pliegos Tarifarios (Huechuraba)'!$E:$E,MATCH($B59,'Pliegos Tarifarios (Huechuraba)'!$A:$A,0))</f>
        <v>33390.294679999999</v>
      </c>
      <c r="Q59" s="19" cm="1">
        <f t="array" ref="Q59">H59*_xlfn.IFS(H59&lt;=350,INDEX('Pliegos Tarifarios (Huechuraba)'!$F:$F,MATCH($B59,'Pliegos Tarifarios (Huechuraba)'!$A:$A,0)),H59&lt;=500,INDEX('Pliegos Tarifarios (Huechuraba)'!$G:$G,MATCH($B59,'Pliegos Tarifarios (Huechuraba)'!$A:$A,0)),H59&lt;=1000,INDEX('Pliegos Tarifarios (Huechuraba)'!$H:$H,MATCH($B59,'Pliegos Tarifarios (Huechuraba)'!$A:$A,0)),H59&lt;=5000,INDEX('Pliegos Tarifarios (Huechuraba)'!$I:$I,MATCH($B59,'Pliegos Tarifarios (Huechuraba)'!$A:$A,0)),H59&gt;5000,INDEX('Pliegos Tarifarios (Huechuraba)'!$J:$J,MATCH($B59,'Pliegos Tarifarios (Huechuraba)'!$A:$A,0)))/1.19</f>
        <v>7748.1397394957976</v>
      </c>
      <c r="R59" s="19">
        <f>INDEX('Pliegos Tarifarios (Huechuraba)'!$K:$K,MATCH($B59,'Pliegos Tarifarios (Huechuraba)'!$A:$A,0))</f>
        <v>709.36099999999999</v>
      </c>
      <c r="S59" s="36">
        <f t="shared" si="0"/>
        <v>481002.90865949576</v>
      </c>
      <c r="T59" s="36">
        <f t="shared" si="1"/>
        <v>91390.552645304197</v>
      </c>
      <c r="U59" s="19">
        <v>0</v>
      </c>
      <c r="V59" s="36">
        <f t="shared" si="2"/>
        <v>572393.4613048</v>
      </c>
    </row>
    <row r="60" spans="1:22" ht="23.4" thickBot="1" x14ac:dyDescent="0.35">
      <c r="A60" s="30" t="s">
        <v>144</v>
      </c>
      <c r="B60" s="31">
        <v>2</v>
      </c>
      <c r="C60" s="32" t="s">
        <v>15</v>
      </c>
      <c r="D60" s="31" t="s">
        <v>25</v>
      </c>
      <c r="E60" s="31" t="s">
        <v>21</v>
      </c>
      <c r="F60" s="32" t="s">
        <v>26</v>
      </c>
      <c r="G60" s="31" t="s">
        <v>19</v>
      </c>
      <c r="H60" s="33">
        <v>2156.44</v>
      </c>
      <c r="I60" s="31">
        <v>6.57</v>
      </c>
      <c r="J60" s="31">
        <v>6.4</v>
      </c>
      <c r="K60" s="34">
        <v>0.97399999999999998</v>
      </c>
      <c r="L60" s="31">
        <v>77.02</v>
      </c>
      <c r="M60" s="19">
        <f>H60*INDEX('Pliegos Tarifarios (Huechuraba)'!$B:$B,MATCH($B60,'Pliegos Tarifarios (Huechuraba)'!$A:$A,0))</f>
        <v>256267.01671999999</v>
      </c>
      <c r="N60" s="19">
        <f>I60*INDEX('Pliegos Tarifarios (Huechuraba)'!$C:$C,MATCH($B60,'Pliegos Tarifarios (Huechuraba)'!$A:$A,0))</f>
        <v>22539.57417</v>
      </c>
      <c r="O60" s="19">
        <f>J60*INDEX('Pliegos Tarifarios (Huechuraba)'!$D:$D,MATCH($B60,'Pliegos Tarifarios (Huechuraba)'!$A:$A,0))</f>
        <v>90381.926399999997</v>
      </c>
      <c r="P60" s="19">
        <f>H60*INDEX('Pliegos Tarifarios (Huechuraba)'!$E:$E,MATCH($B60,'Pliegos Tarifarios (Huechuraba)'!$A:$A,0))</f>
        <v>27887.08208</v>
      </c>
      <c r="Q60" s="19" cm="1">
        <f t="array" ref="Q60">H60*_xlfn.IFS(H60&lt;=350,INDEX('Pliegos Tarifarios (Huechuraba)'!$F:$F,MATCH($B60,'Pliegos Tarifarios (Huechuraba)'!$A:$A,0)),H60&lt;=500,INDEX('Pliegos Tarifarios (Huechuraba)'!$G:$G,MATCH($B60,'Pliegos Tarifarios (Huechuraba)'!$A:$A,0)),H60&lt;=1000,INDEX('Pliegos Tarifarios (Huechuraba)'!$H:$H,MATCH($B60,'Pliegos Tarifarios (Huechuraba)'!$A:$A,0)),H60&lt;=5000,INDEX('Pliegos Tarifarios (Huechuraba)'!$I:$I,MATCH($B60,'Pliegos Tarifarios (Huechuraba)'!$A:$A,0)),H60&gt;5000,INDEX('Pliegos Tarifarios (Huechuraba)'!$J:$J,MATCH($B60,'Pliegos Tarifarios (Huechuraba)'!$A:$A,0)))/1.19</f>
        <v>6471.132134453781</v>
      </c>
      <c r="R60" s="19">
        <f>INDEX('Pliegos Tarifarios (Huechuraba)'!$K:$K,MATCH($B60,'Pliegos Tarifarios (Huechuraba)'!$A:$A,0))</f>
        <v>709.36099999999999</v>
      </c>
      <c r="S60" s="36">
        <f t="shared" si="0"/>
        <v>404256.09250445379</v>
      </c>
      <c r="T60" s="36">
        <f t="shared" si="1"/>
        <v>76808.657575846228</v>
      </c>
      <c r="U60" s="19">
        <v>0</v>
      </c>
      <c r="V60" s="36">
        <f t="shared" si="2"/>
        <v>481064.75008030003</v>
      </c>
    </row>
    <row r="61" spans="1:22" ht="23.4" thickBot="1" x14ac:dyDescent="0.35">
      <c r="A61" s="30" t="s">
        <v>144</v>
      </c>
      <c r="B61" s="31">
        <v>2</v>
      </c>
      <c r="C61" s="32" t="s">
        <v>15</v>
      </c>
      <c r="D61" s="31" t="s">
        <v>27</v>
      </c>
      <c r="E61" s="31" t="s">
        <v>21</v>
      </c>
      <c r="F61" s="32" t="s">
        <v>28</v>
      </c>
      <c r="G61" s="31" t="s">
        <v>19</v>
      </c>
      <c r="H61" s="33">
        <v>2328.14</v>
      </c>
      <c r="I61" s="31">
        <v>7.01</v>
      </c>
      <c r="J61" s="31">
        <v>6.89</v>
      </c>
      <c r="K61" s="34">
        <v>0.98299999999999998</v>
      </c>
      <c r="L61" s="31">
        <v>83.15</v>
      </c>
      <c r="M61" s="19">
        <f>H61*INDEX('Pliegos Tarifarios (Huechuraba)'!$B:$B,MATCH($B61,'Pliegos Tarifarios (Huechuraba)'!$A:$A,0))</f>
        <v>276671.50131999998</v>
      </c>
      <c r="N61" s="19">
        <f>I61*INDEX('Pliegos Tarifarios (Huechuraba)'!$C:$C,MATCH($B61,'Pliegos Tarifarios (Huechuraba)'!$A:$A,0))</f>
        <v>24049.073809999998</v>
      </c>
      <c r="O61" s="19">
        <f>J61*INDEX('Pliegos Tarifarios (Huechuraba)'!$D:$D,MATCH($B61,'Pliegos Tarifarios (Huechuraba)'!$A:$A,0))</f>
        <v>97301.792639999985</v>
      </c>
      <c r="P61" s="19">
        <f>H61*INDEX('Pliegos Tarifarios (Huechuraba)'!$E:$E,MATCH($B61,'Pliegos Tarifarios (Huechuraba)'!$A:$A,0))</f>
        <v>30107.50648</v>
      </c>
      <c r="Q61" s="19" cm="1">
        <f t="array" ref="Q61">H61*_xlfn.IFS(H61&lt;=350,INDEX('Pliegos Tarifarios (Huechuraba)'!$F:$F,MATCH($B61,'Pliegos Tarifarios (Huechuraba)'!$A:$A,0)),H61&lt;=500,INDEX('Pliegos Tarifarios (Huechuraba)'!$G:$G,MATCH($B61,'Pliegos Tarifarios (Huechuraba)'!$A:$A,0)),H61&lt;=1000,INDEX('Pliegos Tarifarios (Huechuraba)'!$H:$H,MATCH($B61,'Pliegos Tarifarios (Huechuraba)'!$A:$A,0)),H61&lt;=5000,INDEX('Pliegos Tarifarios (Huechuraba)'!$I:$I,MATCH($B61,'Pliegos Tarifarios (Huechuraba)'!$A:$A,0)),H61&gt;5000,INDEX('Pliegos Tarifarios (Huechuraba)'!$J:$J,MATCH($B61,'Pliegos Tarifarios (Huechuraba)'!$A:$A,0)))/1.19</f>
        <v>6986.376420168066</v>
      </c>
      <c r="R61" s="19">
        <f>INDEX('Pliegos Tarifarios (Huechuraba)'!$K:$K,MATCH($B61,'Pliegos Tarifarios (Huechuraba)'!$A:$A,0))</f>
        <v>709.36099999999999</v>
      </c>
      <c r="S61" s="36">
        <f t="shared" si="0"/>
        <v>435825.611670168</v>
      </c>
      <c r="T61" s="36">
        <f t="shared" si="1"/>
        <v>82806.866217331917</v>
      </c>
      <c r="U61" s="19">
        <v>0</v>
      </c>
      <c r="V61" s="36">
        <f t="shared" si="2"/>
        <v>518632.4778874999</v>
      </c>
    </row>
    <row r="62" spans="1:22" ht="23.4" thickBot="1" x14ac:dyDescent="0.35">
      <c r="A62" s="30" t="s">
        <v>144</v>
      </c>
      <c r="B62" s="31">
        <v>2</v>
      </c>
      <c r="C62" s="32" t="s">
        <v>15</v>
      </c>
      <c r="D62" s="31" t="s">
        <v>29</v>
      </c>
      <c r="E62" s="31" t="s">
        <v>21</v>
      </c>
      <c r="F62" s="32" t="s">
        <v>30</v>
      </c>
      <c r="G62" s="31" t="s">
        <v>19</v>
      </c>
      <c r="H62" s="33">
        <v>1553.14</v>
      </c>
      <c r="I62" s="31">
        <v>4.6900000000000004</v>
      </c>
      <c r="J62" s="31">
        <v>4.57</v>
      </c>
      <c r="K62" s="34">
        <v>0.97499999999999998</v>
      </c>
      <c r="L62" s="31">
        <v>55.47</v>
      </c>
      <c r="M62" s="19">
        <f>H62*INDEX('Pliegos Tarifarios (Huechuraba)'!$B:$B,MATCH($B62,'Pliegos Tarifarios (Huechuraba)'!$A:$A,0))</f>
        <v>184572.05132</v>
      </c>
      <c r="N62" s="19">
        <f>I62*INDEX('Pliegos Tarifarios (Huechuraba)'!$C:$C,MATCH($B62,'Pliegos Tarifarios (Huechuraba)'!$A:$A,0))</f>
        <v>16089.893890000001</v>
      </c>
      <c r="O62" s="19">
        <f>J62*INDEX('Pliegos Tarifarios (Huechuraba)'!$D:$D,MATCH($B62,'Pliegos Tarifarios (Huechuraba)'!$A:$A,0))</f>
        <v>64538.344320000004</v>
      </c>
      <c r="P62" s="19">
        <f>H62*INDEX('Pliegos Tarifarios (Huechuraba)'!$E:$E,MATCH($B62,'Pliegos Tarifarios (Huechuraba)'!$A:$A,0))</f>
        <v>20085.206480000001</v>
      </c>
      <c r="Q62" s="19" cm="1">
        <f t="array" ref="Q62">H62*_xlfn.IFS(H62&lt;=350,INDEX('Pliegos Tarifarios (Huechuraba)'!$F:$F,MATCH($B62,'Pliegos Tarifarios (Huechuraba)'!$A:$A,0)),H62&lt;=500,INDEX('Pliegos Tarifarios (Huechuraba)'!$G:$G,MATCH($B62,'Pliegos Tarifarios (Huechuraba)'!$A:$A,0)),H62&lt;=1000,INDEX('Pliegos Tarifarios (Huechuraba)'!$H:$H,MATCH($B62,'Pliegos Tarifarios (Huechuraba)'!$A:$A,0)),H62&lt;=5000,INDEX('Pliegos Tarifarios (Huechuraba)'!$I:$I,MATCH($B62,'Pliegos Tarifarios (Huechuraba)'!$A:$A,0)),H62&gt;5000,INDEX('Pliegos Tarifarios (Huechuraba)'!$J:$J,MATCH($B62,'Pliegos Tarifarios (Huechuraba)'!$A:$A,0)))/1.19</f>
        <v>4660.7251596638653</v>
      </c>
      <c r="R62" s="19">
        <f>INDEX('Pliegos Tarifarios (Huechuraba)'!$K:$K,MATCH($B62,'Pliegos Tarifarios (Huechuraba)'!$A:$A,0))</f>
        <v>709.36099999999999</v>
      </c>
      <c r="S62" s="36">
        <f t="shared" si="0"/>
        <v>290655.58216966386</v>
      </c>
      <c r="T62" s="36">
        <f t="shared" si="1"/>
        <v>55224.560612236135</v>
      </c>
      <c r="U62" s="19">
        <v>0</v>
      </c>
      <c r="V62" s="36">
        <f t="shared" si="2"/>
        <v>345880.14278190001</v>
      </c>
    </row>
    <row r="63" spans="1:22" ht="23.4" thickBot="1" x14ac:dyDescent="0.35">
      <c r="A63" s="30" t="s">
        <v>144</v>
      </c>
      <c r="B63" s="31">
        <v>2</v>
      </c>
      <c r="C63" s="32" t="s">
        <v>15</v>
      </c>
      <c r="D63" s="31" t="s">
        <v>31</v>
      </c>
      <c r="E63" s="31" t="s">
        <v>21</v>
      </c>
      <c r="F63" s="32" t="s">
        <v>32</v>
      </c>
      <c r="G63" s="31" t="s">
        <v>33</v>
      </c>
      <c r="H63" s="31">
        <v>518.89</v>
      </c>
      <c r="I63" s="31">
        <v>1.53</v>
      </c>
      <c r="J63" s="31">
        <v>1.53</v>
      </c>
      <c r="K63" s="34">
        <v>0.999</v>
      </c>
      <c r="L63" s="31">
        <v>18.53</v>
      </c>
      <c r="M63" s="19">
        <f>H63*INDEX('Pliegos Tarifarios (Huechuraba)'!$B:$B,MATCH($B63,'Pliegos Tarifarios (Huechuraba)'!$A:$A,0))</f>
        <v>61663.849819999996</v>
      </c>
      <c r="N63" s="19">
        <f>I63*INDEX('Pliegos Tarifarios (Huechuraba)'!$C:$C,MATCH($B63,'Pliegos Tarifarios (Huechuraba)'!$A:$A,0))</f>
        <v>5248.94193</v>
      </c>
      <c r="O63" s="19">
        <f>J63*INDEX('Pliegos Tarifarios (Huechuraba)'!$D:$D,MATCH($B63,'Pliegos Tarifarios (Huechuraba)'!$A:$A,0))</f>
        <v>21606.92928</v>
      </c>
      <c r="P63" s="19">
        <f>H63*INDEX('Pliegos Tarifarios (Huechuraba)'!$E:$E,MATCH($B63,'Pliegos Tarifarios (Huechuraba)'!$A:$A,0))</f>
        <v>6710.2854800000005</v>
      </c>
      <c r="Q63" s="19" cm="1">
        <f t="array" ref="Q63">H63*_xlfn.IFS(H63&lt;=350,INDEX('Pliegos Tarifarios (Huechuraba)'!$F:$F,MATCH($B63,'Pliegos Tarifarios (Huechuraba)'!$A:$A,0)),H63&lt;=500,INDEX('Pliegos Tarifarios (Huechuraba)'!$G:$G,MATCH($B63,'Pliegos Tarifarios (Huechuraba)'!$A:$A,0)),H63&lt;=1000,INDEX('Pliegos Tarifarios (Huechuraba)'!$H:$H,MATCH($B63,'Pliegos Tarifarios (Huechuraba)'!$A:$A,0)),H63&lt;=5000,INDEX('Pliegos Tarifarios (Huechuraba)'!$I:$I,MATCH($B63,'Pliegos Tarifarios (Huechuraba)'!$A:$A,0)),H63&gt;5000,INDEX('Pliegos Tarifarios (Huechuraba)'!$J:$J,MATCH($B63,'Pliegos Tarifarios (Huechuraba)'!$A:$A,0)))/1.19</f>
        <v>1216.9932689075633</v>
      </c>
      <c r="R63" s="19">
        <f>INDEX('Pliegos Tarifarios (Huechuraba)'!$K:$K,MATCH($B63,'Pliegos Tarifarios (Huechuraba)'!$A:$A,0))</f>
        <v>709.36099999999999</v>
      </c>
      <c r="S63" s="36">
        <f t="shared" si="0"/>
        <v>97156.360778907561</v>
      </c>
      <c r="T63" s="36">
        <f t="shared" si="1"/>
        <v>18459.708547992435</v>
      </c>
      <c r="U63" s="19">
        <v>0</v>
      </c>
      <c r="V63" s="36">
        <f t="shared" si="2"/>
        <v>115616.0693269</v>
      </c>
    </row>
    <row r="64" spans="1:22" ht="23.4" thickBot="1" x14ac:dyDescent="0.35">
      <c r="A64" s="30" t="s">
        <v>144</v>
      </c>
      <c r="B64" s="31">
        <v>2</v>
      </c>
      <c r="C64" s="32" t="s">
        <v>15</v>
      </c>
      <c r="D64" s="31" t="s">
        <v>34</v>
      </c>
      <c r="E64" s="31" t="s">
        <v>21</v>
      </c>
      <c r="F64" s="32" t="s">
        <v>35</v>
      </c>
      <c r="G64" s="31" t="s">
        <v>19</v>
      </c>
      <c r="H64" s="33">
        <v>1554.64</v>
      </c>
      <c r="I64" s="31">
        <v>4.6900000000000004</v>
      </c>
      <c r="J64" s="31">
        <v>4.58</v>
      </c>
      <c r="K64" s="34">
        <v>0.97599999999999998</v>
      </c>
      <c r="L64" s="31">
        <v>55.52</v>
      </c>
      <c r="M64" s="19">
        <f>H64*INDEX('Pliegos Tarifarios (Huechuraba)'!$B:$B,MATCH($B64,'Pliegos Tarifarios (Huechuraba)'!$A:$A,0))</f>
        <v>184750.30832000001</v>
      </c>
      <c r="N64" s="19">
        <f>I64*INDEX('Pliegos Tarifarios (Huechuraba)'!$C:$C,MATCH($B64,'Pliegos Tarifarios (Huechuraba)'!$A:$A,0))</f>
        <v>16089.893890000001</v>
      </c>
      <c r="O64" s="19">
        <f>J64*INDEX('Pliegos Tarifarios (Huechuraba)'!$D:$D,MATCH($B64,'Pliegos Tarifarios (Huechuraba)'!$A:$A,0))</f>
        <v>64679.566079999997</v>
      </c>
      <c r="P64" s="19">
        <f>H64*INDEX('Pliegos Tarifarios (Huechuraba)'!$E:$E,MATCH($B64,'Pliegos Tarifarios (Huechuraba)'!$A:$A,0))</f>
        <v>20104.604480000002</v>
      </c>
      <c r="Q64" s="19" cm="1">
        <f t="array" ref="Q64">H64*_xlfn.IFS(H64&lt;=350,INDEX('Pliegos Tarifarios (Huechuraba)'!$F:$F,MATCH($B64,'Pliegos Tarifarios (Huechuraba)'!$A:$A,0)),H64&lt;=500,INDEX('Pliegos Tarifarios (Huechuraba)'!$G:$G,MATCH($B64,'Pliegos Tarifarios (Huechuraba)'!$A:$A,0)),H64&lt;=1000,INDEX('Pliegos Tarifarios (Huechuraba)'!$H:$H,MATCH($B64,'Pliegos Tarifarios (Huechuraba)'!$A:$A,0)),H64&lt;=5000,INDEX('Pliegos Tarifarios (Huechuraba)'!$I:$I,MATCH($B64,'Pliegos Tarifarios (Huechuraba)'!$A:$A,0)),H64&gt;5000,INDEX('Pliegos Tarifarios (Huechuraba)'!$J:$J,MATCH($B64,'Pliegos Tarifarios (Huechuraba)'!$A:$A,0)))/1.19</f>
        <v>4665.2264201680673</v>
      </c>
      <c r="R64" s="19">
        <f>INDEX('Pliegos Tarifarios (Huechuraba)'!$K:$K,MATCH($B64,'Pliegos Tarifarios (Huechuraba)'!$A:$A,0))</f>
        <v>709.36099999999999</v>
      </c>
      <c r="S64" s="36">
        <f t="shared" si="0"/>
        <v>290998.96019016806</v>
      </c>
      <c r="T64" s="36">
        <f t="shared" si="1"/>
        <v>55289.802436131933</v>
      </c>
      <c r="U64" s="19">
        <v>0</v>
      </c>
      <c r="V64" s="36">
        <f t="shared" si="2"/>
        <v>346288.76262629998</v>
      </c>
    </row>
    <row r="65" spans="1:22" ht="23.4" thickBot="1" x14ac:dyDescent="0.35">
      <c r="A65" s="30" t="s">
        <v>144</v>
      </c>
      <c r="B65" s="31">
        <v>2</v>
      </c>
      <c r="C65" s="32" t="s">
        <v>15</v>
      </c>
      <c r="D65" s="31" t="s">
        <v>36</v>
      </c>
      <c r="E65" s="31" t="s">
        <v>37</v>
      </c>
      <c r="F65" s="32" t="s">
        <v>38</v>
      </c>
      <c r="G65" s="31" t="s">
        <v>33</v>
      </c>
      <c r="H65" s="31">
        <v>646.84</v>
      </c>
      <c r="I65" s="31">
        <v>1.94</v>
      </c>
      <c r="J65" s="31">
        <v>1.91</v>
      </c>
      <c r="K65" s="34">
        <v>0.98299999999999998</v>
      </c>
      <c r="L65" s="31">
        <v>23.1</v>
      </c>
      <c r="M65" s="19">
        <f>H65*INDEX('Pliegos Tarifarios (Huechuraba)'!$B:$B,MATCH($B65,'Pliegos Tarifarios (Huechuraba)'!$A:$A,0))</f>
        <v>76869.171919999993</v>
      </c>
      <c r="N65" s="19">
        <f>I65*INDEX('Pliegos Tarifarios (Huechuraba)'!$C:$C,MATCH($B65,'Pliegos Tarifarios (Huechuraba)'!$A:$A,0))</f>
        <v>6655.5211399999998</v>
      </c>
      <c r="O65" s="19">
        <f>J65*INDEX('Pliegos Tarifarios (Huechuraba)'!$D:$D,MATCH($B65,'Pliegos Tarifarios (Huechuraba)'!$A:$A,0))</f>
        <v>26973.356159999999</v>
      </c>
      <c r="P65" s="19">
        <f>H65*INDEX('Pliegos Tarifarios (Huechuraba)'!$E:$E,MATCH($B65,'Pliegos Tarifarios (Huechuraba)'!$A:$A,0))</f>
        <v>8364.9348800000007</v>
      </c>
      <c r="Q65" s="19" cm="1">
        <f t="array" ref="Q65">H65*_xlfn.IFS(H65&lt;=350,INDEX('Pliegos Tarifarios (Huechuraba)'!$F:$F,MATCH($B65,'Pliegos Tarifarios (Huechuraba)'!$A:$A,0)),H65&lt;=500,INDEX('Pliegos Tarifarios (Huechuraba)'!$G:$G,MATCH($B65,'Pliegos Tarifarios (Huechuraba)'!$A:$A,0)),H65&lt;=1000,INDEX('Pliegos Tarifarios (Huechuraba)'!$H:$H,MATCH($B65,'Pliegos Tarifarios (Huechuraba)'!$A:$A,0)),H65&lt;=5000,INDEX('Pliegos Tarifarios (Huechuraba)'!$I:$I,MATCH($B65,'Pliegos Tarifarios (Huechuraba)'!$A:$A,0)),H65&gt;5000,INDEX('Pliegos Tarifarios (Huechuraba)'!$J:$J,MATCH($B65,'Pliegos Tarifarios (Huechuraba)'!$A:$A,0)))/1.19</f>
        <v>1517.084403361345</v>
      </c>
      <c r="R65" s="19">
        <f>INDEX('Pliegos Tarifarios (Huechuraba)'!$K:$K,MATCH($B65,'Pliegos Tarifarios (Huechuraba)'!$A:$A,0))</f>
        <v>709.36099999999999</v>
      </c>
      <c r="S65" s="36">
        <f t="shared" si="0"/>
        <v>121089.42950336133</v>
      </c>
      <c r="T65" s="36">
        <f t="shared" si="1"/>
        <v>23006.991605638654</v>
      </c>
      <c r="U65" s="19">
        <v>0</v>
      </c>
      <c r="V65" s="36">
        <f t="shared" si="2"/>
        <v>144096.42110899999</v>
      </c>
    </row>
    <row r="66" spans="1:22" ht="23.4" thickBot="1" x14ac:dyDescent="0.35">
      <c r="A66" s="30" t="s">
        <v>144</v>
      </c>
      <c r="B66" s="31">
        <v>2</v>
      </c>
      <c r="C66" s="32" t="s">
        <v>15</v>
      </c>
      <c r="D66" s="31" t="s">
        <v>39</v>
      </c>
      <c r="E66" s="31" t="s">
        <v>37</v>
      </c>
      <c r="F66" s="32" t="s">
        <v>40</v>
      </c>
      <c r="G66" s="31" t="s">
        <v>33</v>
      </c>
      <c r="H66" s="31">
        <v>516.67999999999995</v>
      </c>
      <c r="I66" s="31">
        <v>1.56</v>
      </c>
      <c r="J66" s="31">
        <v>1.52</v>
      </c>
      <c r="K66" s="34">
        <v>0.97899999999999998</v>
      </c>
      <c r="L66" s="31">
        <v>18.45</v>
      </c>
      <c r="M66" s="19">
        <f>H66*INDEX('Pliegos Tarifarios (Huechuraba)'!$B:$B,MATCH($B66,'Pliegos Tarifarios (Huechuraba)'!$A:$A,0))</f>
        <v>61401.21783999999</v>
      </c>
      <c r="N66" s="19">
        <f>I66*INDEX('Pliegos Tarifarios (Huechuraba)'!$C:$C,MATCH($B66,'Pliegos Tarifarios (Huechuraba)'!$A:$A,0))</f>
        <v>5351.8623600000001</v>
      </c>
      <c r="O66" s="19">
        <f>J66*INDEX('Pliegos Tarifarios (Huechuraba)'!$D:$D,MATCH($B66,'Pliegos Tarifarios (Huechuraba)'!$A:$A,0))</f>
        <v>21465.70752</v>
      </c>
      <c r="P66" s="19">
        <f>H66*INDEX('Pliegos Tarifarios (Huechuraba)'!$E:$E,MATCH($B66,'Pliegos Tarifarios (Huechuraba)'!$A:$A,0))</f>
        <v>6681.7057599999998</v>
      </c>
      <c r="Q66" s="19" cm="1">
        <f t="array" ref="Q66">H66*_xlfn.IFS(H66&lt;=350,INDEX('Pliegos Tarifarios (Huechuraba)'!$F:$F,MATCH($B66,'Pliegos Tarifarios (Huechuraba)'!$A:$A,0)),H66&lt;=500,INDEX('Pliegos Tarifarios (Huechuraba)'!$G:$G,MATCH($B66,'Pliegos Tarifarios (Huechuraba)'!$A:$A,0)),H66&lt;=1000,INDEX('Pliegos Tarifarios (Huechuraba)'!$H:$H,MATCH($B66,'Pliegos Tarifarios (Huechuraba)'!$A:$A,0)),H66&lt;=5000,INDEX('Pliegos Tarifarios (Huechuraba)'!$I:$I,MATCH($B66,'Pliegos Tarifarios (Huechuraba)'!$A:$A,0)),H66&gt;5000,INDEX('Pliegos Tarifarios (Huechuraba)'!$J:$J,MATCH($B66,'Pliegos Tarifarios (Huechuraba)'!$A:$A,0)))/1.19</f>
        <v>1211.8099831932775</v>
      </c>
      <c r="R66" s="19">
        <f>INDEX('Pliegos Tarifarios (Huechuraba)'!$K:$K,MATCH($B66,'Pliegos Tarifarios (Huechuraba)'!$A:$A,0))</f>
        <v>709.36099999999999</v>
      </c>
      <c r="S66" s="36">
        <f t="shared" si="0"/>
        <v>96821.664463193272</v>
      </c>
      <c r="T66" s="36">
        <f t="shared" si="1"/>
        <v>18396.116248006721</v>
      </c>
      <c r="U66" s="19">
        <v>0</v>
      </c>
      <c r="V66" s="36">
        <f t="shared" si="2"/>
        <v>115217.7807112</v>
      </c>
    </row>
    <row r="67" spans="1:22" ht="23.4" thickBot="1" x14ac:dyDescent="0.35">
      <c r="A67" s="30" t="s">
        <v>144</v>
      </c>
      <c r="B67" s="31">
        <v>2</v>
      </c>
      <c r="C67" s="32" t="s">
        <v>15</v>
      </c>
      <c r="D67" s="31" t="s">
        <v>41</v>
      </c>
      <c r="E67" s="31" t="s">
        <v>37</v>
      </c>
      <c r="F67" s="32" t="s">
        <v>42</v>
      </c>
      <c r="G67" s="31" t="s">
        <v>33</v>
      </c>
      <c r="H67" s="33">
        <v>1033.9100000000001</v>
      </c>
      <c r="I67" s="31">
        <v>3.06</v>
      </c>
      <c r="J67" s="31">
        <v>2.97</v>
      </c>
      <c r="K67" s="34">
        <v>0.97</v>
      </c>
      <c r="L67" s="31">
        <v>36.93</v>
      </c>
      <c r="M67" s="19">
        <f>H67*INDEX('Pliegos Tarifarios (Huechuraba)'!$B:$B,MATCH($B67,'Pliegos Tarifarios (Huechuraba)'!$A:$A,0))</f>
        <v>122867.79658000001</v>
      </c>
      <c r="N67" s="19">
        <f>I67*INDEX('Pliegos Tarifarios (Huechuraba)'!$C:$C,MATCH($B67,'Pliegos Tarifarios (Huechuraba)'!$A:$A,0))</f>
        <v>10497.88386</v>
      </c>
      <c r="O67" s="19">
        <f>J67*INDEX('Pliegos Tarifarios (Huechuraba)'!$D:$D,MATCH($B67,'Pliegos Tarifarios (Huechuraba)'!$A:$A,0))</f>
        <v>41942.862720000005</v>
      </c>
      <c r="P67" s="19">
        <f>H67*INDEX('Pliegos Tarifarios (Huechuraba)'!$E:$E,MATCH($B67,'Pliegos Tarifarios (Huechuraba)'!$A:$A,0))</f>
        <v>13370.524120000002</v>
      </c>
      <c r="Q67" s="19" cm="1">
        <f t="array" ref="Q67">H67*_xlfn.IFS(H67&lt;=350,INDEX('Pliegos Tarifarios (Huechuraba)'!$F:$F,MATCH($B67,'Pliegos Tarifarios (Huechuraba)'!$A:$A,0)),H67&lt;=500,INDEX('Pliegos Tarifarios (Huechuraba)'!$G:$G,MATCH($B67,'Pliegos Tarifarios (Huechuraba)'!$A:$A,0)),H67&lt;=1000,INDEX('Pliegos Tarifarios (Huechuraba)'!$H:$H,MATCH($B67,'Pliegos Tarifarios (Huechuraba)'!$A:$A,0)),H67&lt;=5000,INDEX('Pliegos Tarifarios (Huechuraba)'!$I:$I,MATCH($B67,'Pliegos Tarifarios (Huechuraba)'!$A:$A,0)),H67&gt;5000,INDEX('Pliegos Tarifarios (Huechuraba)'!$J:$J,MATCH($B67,'Pliegos Tarifarios (Huechuraba)'!$A:$A,0)))/1.19</f>
        <v>3102.5988319327735</v>
      </c>
      <c r="R67" s="19">
        <f>INDEX('Pliegos Tarifarios (Huechuraba)'!$K:$K,MATCH($B67,'Pliegos Tarifarios (Huechuraba)'!$A:$A,0))</f>
        <v>709.36099999999999</v>
      </c>
      <c r="S67" s="36">
        <f t="shared" si="0"/>
        <v>192491.02711193278</v>
      </c>
      <c r="T67" s="36">
        <f t="shared" si="1"/>
        <v>36573.29515126723</v>
      </c>
      <c r="U67" s="19">
        <v>0</v>
      </c>
      <c r="V67" s="36">
        <f t="shared" si="2"/>
        <v>229064.32226320001</v>
      </c>
    </row>
    <row r="68" spans="1:22" ht="23.4" thickBot="1" x14ac:dyDescent="0.35">
      <c r="A68" s="30" t="s">
        <v>144</v>
      </c>
      <c r="B68" s="31">
        <v>2</v>
      </c>
      <c r="C68" s="32" t="s">
        <v>15</v>
      </c>
      <c r="D68" s="31" t="s">
        <v>43</v>
      </c>
      <c r="E68" s="31" t="s">
        <v>37</v>
      </c>
      <c r="F68" s="32" t="s">
        <v>44</v>
      </c>
      <c r="G68" s="31" t="s">
        <v>33</v>
      </c>
      <c r="H68" s="31">
        <v>388.57</v>
      </c>
      <c r="I68" s="31">
        <v>1.18</v>
      </c>
      <c r="J68" s="31">
        <v>1.1399999999999999</v>
      </c>
      <c r="K68" s="34">
        <v>0.96599999999999997</v>
      </c>
      <c r="L68" s="31">
        <v>13.88</v>
      </c>
      <c r="M68" s="19">
        <f>H68*INDEX('Pliegos Tarifarios (Huechuraba)'!$B:$B,MATCH($B68,'Pliegos Tarifarios (Huechuraba)'!$A:$A,0))</f>
        <v>46176.881659999999</v>
      </c>
      <c r="N68" s="19">
        <f>I68*INDEX('Pliegos Tarifarios (Huechuraba)'!$C:$C,MATCH($B68,'Pliegos Tarifarios (Huechuraba)'!$A:$A,0))</f>
        <v>4048.2035799999999</v>
      </c>
      <c r="O68" s="19">
        <f>J68*INDEX('Pliegos Tarifarios (Huechuraba)'!$D:$D,MATCH($B68,'Pliegos Tarifarios (Huechuraba)'!$A:$A,0))</f>
        <v>16099.280639999997</v>
      </c>
      <c r="P68" s="19">
        <f>H68*INDEX('Pliegos Tarifarios (Huechuraba)'!$E:$E,MATCH($B68,'Pliegos Tarifarios (Huechuraba)'!$A:$A,0))</f>
        <v>5024.9872400000004</v>
      </c>
      <c r="Q68" s="19" cm="1">
        <f t="array" ref="Q68">H68*_xlfn.IFS(H68&lt;=350,INDEX('Pliegos Tarifarios (Huechuraba)'!$F:$F,MATCH($B68,'Pliegos Tarifarios (Huechuraba)'!$A:$A,0)),H68&lt;=500,INDEX('Pliegos Tarifarios (Huechuraba)'!$G:$G,MATCH($B68,'Pliegos Tarifarios (Huechuraba)'!$A:$A,0)),H68&lt;=1000,INDEX('Pliegos Tarifarios (Huechuraba)'!$H:$H,MATCH($B68,'Pliegos Tarifarios (Huechuraba)'!$A:$A,0)),H68&lt;=5000,INDEX('Pliegos Tarifarios (Huechuraba)'!$I:$I,MATCH($B68,'Pliegos Tarifarios (Huechuraba)'!$A:$A,0)),H68&gt;5000,INDEX('Pliegos Tarifarios (Huechuraba)'!$J:$J,MATCH($B68,'Pliegos Tarifarios (Huechuraba)'!$A:$A,0)))/1.19</f>
        <v>547.26329411764709</v>
      </c>
      <c r="R68" s="19">
        <f>INDEX('Pliegos Tarifarios (Huechuraba)'!$K:$K,MATCH($B68,'Pliegos Tarifarios (Huechuraba)'!$A:$A,0))</f>
        <v>709.36099999999999</v>
      </c>
      <c r="S68" s="36">
        <f t="shared" si="0"/>
        <v>72605.977414117646</v>
      </c>
      <c r="T68" s="36">
        <f t="shared" si="1"/>
        <v>13795.135708682354</v>
      </c>
      <c r="U68" s="19">
        <v>0</v>
      </c>
      <c r="V68" s="36">
        <f t="shared" si="2"/>
        <v>86401.113122800001</v>
      </c>
    </row>
    <row r="69" spans="1:22" ht="23.4" thickBot="1" x14ac:dyDescent="0.35">
      <c r="A69" s="30" t="s">
        <v>144</v>
      </c>
      <c r="B69" s="31">
        <v>2</v>
      </c>
      <c r="C69" s="32" t="s">
        <v>15</v>
      </c>
      <c r="D69" s="31" t="s">
        <v>45</v>
      </c>
      <c r="E69" s="31" t="s">
        <v>37</v>
      </c>
      <c r="F69" s="32" t="s">
        <v>46</v>
      </c>
      <c r="G69" s="31" t="s">
        <v>33</v>
      </c>
      <c r="H69" s="31">
        <v>387.95</v>
      </c>
      <c r="I69" s="31">
        <v>1.1499999999999999</v>
      </c>
      <c r="J69" s="31">
        <v>1.1399999999999999</v>
      </c>
      <c r="K69" s="34">
        <v>0.99099999999999999</v>
      </c>
      <c r="L69" s="31">
        <v>13.86</v>
      </c>
      <c r="M69" s="19">
        <f>H69*INDEX('Pliegos Tarifarios (Huechuraba)'!$B:$B,MATCH($B69,'Pliegos Tarifarios (Huechuraba)'!$A:$A,0))</f>
        <v>46103.202099999995</v>
      </c>
      <c r="N69" s="19">
        <f>I69*INDEX('Pliegos Tarifarios (Huechuraba)'!$C:$C,MATCH($B69,'Pliegos Tarifarios (Huechuraba)'!$A:$A,0))</f>
        <v>3945.2831499999998</v>
      </c>
      <c r="O69" s="19">
        <f>J69*INDEX('Pliegos Tarifarios (Huechuraba)'!$D:$D,MATCH($B69,'Pliegos Tarifarios (Huechuraba)'!$A:$A,0))</f>
        <v>16099.280639999997</v>
      </c>
      <c r="P69" s="19">
        <f>H69*INDEX('Pliegos Tarifarios (Huechuraba)'!$E:$E,MATCH($B69,'Pliegos Tarifarios (Huechuraba)'!$A:$A,0))</f>
        <v>5016.9694</v>
      </c>
      <c r="Q69" s="19" cm="1">
        <f t="array" ref="Q69">H69*_xlfn.IFS(H69&lt;=350,INDEX('Pliegos Tarifarios (Huechuraba)'!$F:$F,MATCH($B69,'Pliegos Tarifarios (Huechuraba)'!$A:$A,0)),H69&lt;=500,INDEX('Pliegos Tarifarios (Huechuraba)'!$G:$G,MATCH($B69,'Pliegos Tarifarios (Huechuraba)'!$A:$A,0)),H69&lt;=1000,INDEX('Pliegos Tarifarios (Huechuraba)'!$H:$H,MATCH($B69,'Pliegos Tarifarios (Huechuraba)'!$A:$A,0)),H69&lt;=5000,INDEX('Pliegos Tarifarios (Huechuraba)'!$I:$I,MATCH($B69,'Pliegos Tarifarios (Huechuraba)'!$A:$A,0)),H69&gt;5000,INDEX('Pliegos Tarifarios (Huechuraba)'!$J:$J,MATCH($B69,'Pliegos Tarifarios (Huechuraba)'!$A:$A,0)))/1.19</f>
        <v>546.39008403361345</v>
      </c>
      <c r="R69" s="19">
        <f>INDEX('Pliegos Tarifarios (Huechuraba)'!$K:$K,MATCH($B69,'Pliegos Tarifarios (Huechuraba)'!$A:$A,0))</f>
        <v>709.36099999999999</v>
      </c>
      <c r="S69" s="36">
        <f t="shared" ref="S69:S132" si="3">SUM(M69:R69)</f>
        <v>72420.486374033615</v>
      </c>
      <c r="T69" s="36">
        <f t="shared" ref="T69:T132" si="4">S69*0.19</f>
        <v>13759.892411066387</v>
      </c>
      <c r="U69" s="19">
        <v>0</v>
      </c>
      <c r="V69" s="36">
        <f t="shared" ref="V69:V132" si="5">SUM(S69:T69)</f>
        <v>86180.378785100009</v>
      </c>
    </row>
    <row r="70" spans="1:22" ht="23.4" thickBot="1" x14ac:dyDescent="0.35">
      <c r="A70" s="30" t="s">
        <v>144</v>
      </c>
      <c r="B70" s="31">
        <v>2</v>
      </c>
      <c r="C70" s="32" t="s">
        <v>15</v>
      </c>
      <c r="D70" s="31" t="s">
        <v>47</v>
      </c>
      <c r="E70" s="31" t="s">
        <v>37</v>
      </c>
      <c r="F70" s="32" t="s">
        <v>48</v>
      </c>
      <c r="G70" s="31" t="s">
        <v>33</v>
      </c>
      <c r="H70" s="31">
        <v>775.36</v>
      </c>
      <c r="I70" s="31">
        <v>2.31</v>
      </c>
      <c r="J70" s="31">
        <v>2.31</v>
      </c>
      <c r="K70" s="34">
        <v>1</v>
      </c>
      <c r="L70" s="31">
        <v>27.69</v>
      </c>
      <c r="M70" s="19">
        <f>H70*INDEX('Pliegos Tarifarios (Huechuraba)'!$B:$B,MATCH($B70,'Pliegos Tarifarios (Huechuraba)'!$A:$A,0))</f>
        <v>92142.231679999997</v>
      </c>
      <c r="N70" s="19">
        <f>I70*INDEX('Pliegos Tarifarios (Huechuraba)'!$C:$C,MATCH($B70,'Pliegos Tarifarios (Huechuraba)'!$A:$A,0))</f>
        <v>7924.8731100000005</v>
      </c>
      <c r="O70" s="19">
        <f>J70*INDEX('Pliegos Tarifarios (Huechuraba)'!$D:$D,MATCH($B70,'Pliegos Tarifarios (Huechuraba)'!$A:$A,0))</f>
        <v>32622.226559999999</v>
      </c>
      <c r="P70" s="19">
        <f>H70*INDEX('Pliegos Tarifarios (Huechuraba)'!$E:$E,MATCH($B70,'Pliegos Tarifarios (Huechuraba)'!$A:$A,0))</f>
        <v>10026.955520000001</v>
      </c>
      <c r="Q70" s="19" cm="1">
        <f t="array" ref="Q70">H70*_xlfn.IFS(H70&lt;=350,INDEX('Pliegos Tarifarios (Huechuraba)'!$F:$F,MATCH($B70,'Pliegos Tarifarios (Huechuraba)'!$A:$A,0)),H70&lt;=500,INDEX('Pliegos Tarifarios (Huechuraba)'!$G:$G,MATCH($B70,'Pliegos Tarifarios (Huechuraba)'!$A:$A,0)),H70&lt;=1000,INDEX('Pliegos Tarifarios (Huechuraba)'!$H:$H,MATCH($B70,'Pliegos Tarifarios (Huechuraba)'!$A:$A,0)),H70&lt;=5000,INDEX('Pliegos Tarifarios (Huechuraba)'!$I:$I,MATCH($B70,'Pliegos Tarifarios (Huechuraba)'!$A:$A,0)),H70&gt;5000,INDEX('Pliegos Tarifarios (Huechuraba)'!$J:$J,MATCH($B70,'Pliegos Tarifarios (Huechuraba)'!$A:$A,0)))/1.19</f>
        <v>1818.5124033613449</v>
      </c>
      <c r="R70" s="19">
        <f>INDEX('Pliegos Tarifarios (Huechuraba)'!$K:$K,MATCH($B70,'Pliegos Tarifarios (Huechuraba)'!$A:$A,0))</f>
        <v>709.36099999999999</v>
      </c>
      <c r="S70" s="36">
        <f t="shared" si="3"/>
        <v>145244.16027336134</v>
      </c>
      <c r="T70" s="36">
        <f t="shared" si="4"/>
        <v>27596.390451938656</v>
      </c>
      <c r="U70" s="19">
        <v>0</v>
      </c>
      <c r="V70" s="36">
        <f t="shared" si="5"/>
        <v>172840.55072529998</v>
      </c>
    </row>
    <row r="71" spans="1:22" ht="23.4" thickBot="1" x14ac:dyDescent="0.35">
      <c r="A71" s="30" t="s">
        <v>144</v>
      </c>
      <c r="B71" s="31">
        <v>2</v>
      </c>
      <c r="C71" s="32" t="s">
        <v>15</v>
      </c>
      <c r="D71" s="31" t="s">
        <v>49</v>
      </c>
      <c r="E71" s="31" t="s">
        <v>50</v>
      </c>
      <c r="F71" s="32" t="s">
        <v>51</v>
      </c>
      <c r="G71" s="31" t="s">
        <v>33</v>
      </c>
      <c r="H71" s="31">
        <v>776.52</v>
      </c>
      <c r="I71" s="31">
        <v>2.41</v>
      </c>
      <c r="J71" s="31">
        <v>2.2599999999999998</v>
      </c>
      <c r="K71" s="34">
        <v>0.93500000000000005</v>
      </c>
      <c r="L71" s="31">
        <v>27.73</v>
      </c>
      <c r="M71" s="19">
        <f>H71*INDEX('Pliegos Tarifarios (Huechuraba)'!$B:$B,MATCH($B71,'Pliegos Tarifarios (Huechuraba)'!$A:$A,0))</f>
        <v>92280.083759999994</v>
      </c>
      <c r="N71" s="19">
        <f>I71*INDEX('Pliegos Tarifarios (Huechuraba)'!$C:$C,MATCH($B71,'Pliegos Tarifarios (Huechuraba)'!$A:$A,0))</f>
        <v>8267.9412100000009</v>
      </c>
      <c r="O71" s="19">
        <f>J71*INDEX('Pliegos Tarifarios (Huechuraba)'!$D:$D,MATCH($B71,'Pliegos Tarifarios (Huechuraba)'!$A:$A,0))</f>
        <v>31916.117759999997</v>
      </c>
      <c r="P71" s="19">
        <f>H71*INDEX('Pliegos Tarifarios (Huechuraba)'!$E:$E,MATCH($B71,'Pliegos Tarifarios (Huechuraba)'!$A:$A,0))</f>
        <v>10041.95664</v>
      </c>
      <c r="Q71" s="19" cm="1">
        <f t="array" ref="Q71">H71*_xlfn.IFS(H71&lt;=350,INDEX('Pliegos Tarifarios (Huechuraba)'!$F:$F,MATCH($B71,'Pliegos Tarifarios (Huechuraba)'!$A:$A,0)),H71&lt;=500,INDEX('Pliegos Tarifarios (Huechuraba)'!$G:$G,MATCH($B71,'Pliegos Tarifarios (Huechuraba)'!$A:$A,0)),H71&lt;=1000,INDEX('Pliegos Tarifarios (Huechuraba)'!$H:$H,MATCH($B71,'Pliegos Tarifarios (Huechuraba)'!$A:$A,0)),H71&lt;=5000,INDEX('Pliegos Tarifarios (Huechuraba)'!$I:$I,MATCH($B71,'Pliegos Tarifarios (Huechuraba)'!$A:$A,0)),H71&gt;5000,INDEX('Pliegos Tarifarios (Huechuraba)'!$J:$J,MATCH($B71,'Pliegos Tarifarios (Huechuraba)'!$A:$A,0)))/1.19</f>
        <v>1821.2330420168071</v>
      </c>
      <c r="R71" s="19">
        <f>INDEX('Pliegos Tarifarios (Huechuraba)'!$K:$K,MATCH($B71,'Pliegos Tarifarios (Huechuraba)'!$A:$A,0))</f>
        <v>709.36099999999999</v>
      </c>
      <c r="S71" s="36">
        <f t="shared" si="3"/>
        <v>145036.69341201679</v>
      </c>
      <c r="T71" s="36">
        <f t="shared" si="4"/>
        <v>27556.971748283191</v>
      </c>
      <c r="U71" s="19">
        <v>0</v>
      </c>
      <c r="V71" s="36">
        <f t="shared" si="5"/>
        <v>172593.66516029998</v>
      </c>
    </row>
    <row r="72" spans="1:22" ht="23.4" thickBot="1" x14ac:dyDescent="0.35">
      <c r="A72" s="30" t="s">
        <v>144</v>
      </c>
      <c r="B72" s="31">
        <v>2</v>
      </c>
      <c r="C72" s="32" t="s">
        <v>15</v>
      </c>
      <c r="D72" s="31" t="s">
        <v>52</v>
      </c>
      <c r="E72" s="31" t="s">
        <v>50</v>
      </c>
      <c r="F72" s="32" t="s">
        <v>53</v>
      </c>
      <c r="G72" s="31" t="s">
        <v>33</v>
      </c>
      <c r="H72" s="31">
        <v>775.16</v>
      </c>
      <c r="I72" s="31">
        <v>2.3199999999999998</v>
      </c>
      <c r="J72" s="31">
        <v>2.2400000000000002</v>
      </c>
      <c r="K72" s="34">
        <v>0.96399999999999997</v>
      </c>
      <c r="L72" s="31">
        <v>27.68</v>
      </c>
      <c r="M72" s="19">
        <f>H72*INDEX('Pliegos Tarifarios (Huechuraba)'!$B:$B,MATCH($B72,'Pliegos Tarifarios (Huechuraba)'!$A:$A,0))</f>
        <v>92118.464079999991</v>
      </c>
      <c r="N72" s="19">
        <f>I72*INDEX('Pliegos Tarifarios (Huechuraba)'!$C:$C,MATCH($B72,'Pliegos Tarifarios (Huechuraba)'!$A:$A,0))</f>
        <v>7959.1799199999996</v>
      </c>
      <c r="O72" s="19">
        <f>J72*INDEX('Pliegos Tarifarios (Huechuraba)'!$D:$D,MATCH($B72,'Pliegos Tarifarios (Huechuraba)'!$A:$A,0))</f>
        <v>31633.67424</v>
      </c>
      <c r="P72" s="19">
        <f>H72*INDEX('Pliegos Tarifarios (Huechuraba)'!$E:$E,MATCH($B72,'Pliegos Tarifarios (Huechuraba)'!$A:$A,0))</f>
        <v>10024.369119999999</v>
      </c>
      <c r="Q72" s="19" cm="1">
        <f t="array" ref="Q72">H72*_xlfn.IFS(H72&lt;=350,INDEX('Pliegos Tarifarios (Huechuraba)'!$F:$F,MATCH($B72,'Pliegos Tarifarios (Huechuraba)'!$A:$A,0)),H72&lt;=500,INDEX('Pliegos Tarifarios (Huechuraba)'!$G:$G,MATCH($B72,'Pliegos Tarifarios (Huechuraba)'!$A:$A,0)),H72&lt;=1000,INDEX('Pliegos Tarifarios (Huechuraba)'!$H:$H,MATCH($B72,'Pliegos Tarifarios (Huechuraba)'!$A:$A,0)),H72&lt;=5000,INDEX('Pliegos Tarifarios (Huechuraba)'!$I:$I,MATCH($B72,'Pliegos Tarifarios (Huechuraba)'!$A:$A,0)),H72&gt;5000,INDEX('Pliegos Tarifarios (Huechuraba)'!$J:$J,MATCH($B72,'Pliegos Tarifarios (Huechuraba)'!$A:$A,0)))/1.19</f>
        <v>1818.0433277310929</v>
      </c>
      <c r="R72" s="19">
        <f>INDEX('Pliegos Tarifarios (Huechuraba)'!$K:$K,MATCH($B72,'Pliegos Tarifarios (Huechuraba)'!$A:$A,0))</f>
        <v>709.36099999999999</v>
      </c>
      <c r="S72" s="36">
        <f t="shared" si="3"/>
        <v>144263.09168773107</v>
      </c>
      <c r="T72" s="36">
        <f t="shared" si="4"/>
        <v>27409.987420668902</v>
      </c>
      <c r="U72" s="19">
        <v>0</v>
      </c>
      <c r="V72" s="36">
        <f t="shared" si="5"/>
        <v>171673.07910839998</v>
      </c>
    </row>
    <row r="73" spans="1:22" ht="23.4" thickBot="1" x14ac:dyDescent="0.35">
      <c r="A73" s="30" t="s">
        <v>144</v>
      </c>
      <c r="B73" s="31">
        <v>2</v>
      </c>
      <c r="C73" s="32" t="s">
        <v>15</v>
      </c>
      <c r="D73" s="31" t="s">
        <v>54</v>
      </c>
      <c r="E73" s="31" t="s">
        <v>55</v>
      </c>
      <c r="F73" s="32" t="s">
        <v>56</v>
      </c>
      <c r="G73" s="31" t="s">
        <v>33</v>
      </c>
      <c r="H73" s="31">
        <v>386.14</v>
      </c>
      <c r="I73" s="31">
        <v>1.1599999999999999</v>
      </c>
      <c r="J73" s="31">
        <v>1.1599999999999999</v>
      </c>
      <c r="K73" s="34">
        <v>0.998</v>
      </c>
      <c r="L73" s="31">
        <v>13.79</v>
      </c>
      <c r="M73" s="19">
        <f>H73*INDEX('Pliegos Tarifarios (Huechuraba)'!$B:$B,MATCH($B73,'Pliegos Tarifarios (Huechuraba)'!$A:$A,0))</f>
        <v>45888.105319999995</v>
      </c>
      <c r="N73" s="19">
        <f>I73*INDEX('Pliegos Tarifarios (Huechuraba)'!$C:$C,MATCH($B73,'Pliegos Tarifarios (Huechuraba)'!$A:$A,0))</f>
        <v>3979.5899599999998</v>
      </c>
      <c r="O73" s="19">
        <f>J73*INDEX('Pliegos Tarifarios (Huechuraba)'!$D:$D,MATCH($B73,'Pliegos Tarifarios (Huechuraba)'!$A:$A,0))</f>
        <v>16381.724159999998</v>
      </c>
      <c r="P73" s="19">
        <f>H73*INDEX('Pliegos Tarifarios (Huechuraba)'!$E:$E,MATCH($B73,'Pliegos Tarifarios (Huechuraba)'!$A:$A,0))</f>
        <v>4993.5624799999996</v>
      </c>
      <c r="Q73" s="19" cm="1">
        <f t="array" ref="Q73">H73*_xlfn.IFS(H73&lt;=350,INDEX('Pliegos Tarifarios (Huechuraba)'!$F:$F,MATCH($B73,'Pliegos Tarifarios (Huechuraba)'!$A:$A,0)),H73&lt;=500,INDEX('Pliegos Tarifarios (Huechuraba)'!$G:$G,MATCH($B73,'Pliegos Tarifarios (Huechuraba)'!$A:$A,0)),H73&lt;=1000,INDEX('Pliegos Tarifarios (Huechuraba)'!$H:$H,MATCH($B73,'Pliegos Tarifarios (Huechuraba)'!$A:$A,0)),H73&lt;=5000,INDEX('Pliegos Tarifarios (Huechuraba)'!$I:$I,MATCH($B73,'Pliegos Tarifarios (Huechuraba)'!$A:$A,0)),H73&gt;5000,INDEX('Pliegos Tarifarios (Huechuraba)'!$J:$J,MATCH($B73,'Pliegos Tarifarios (Huechuraba)'!$A:$A,0)))/1.19</f>
        <v>543.84087394957987</v>
      </c>
      <c r="R73" s="19">
        <f>INDEX('Pliegos Tarifarios (Huechuraba)'!$K:$K,MATCH($B73,'Pliegos Tarifarios (Huechuraba)'!$A:$A,0))</f>
        <v>709.36099999999999</v>
      </c>
      <c r="S73" s="36">
        <f t="shared" si="3"/>
        <v>72496.183793949574</v>
      </c>
      <c r="T73" s="36">
        <f t="shared" si="4"/>
        <v>13774.274920850419</v>
      </c>
      <c r="U73" s="19">
        <v>0</v>
      </c>
      <c r="V73" s="36">
        <f t="shared" si="5"/>
        <v>86270.458714799999</v>
      </c>
    </row>
    <row r="74" spans="1:22" ht="23.4" thickBot="1" x14ac:dyDescent="0.35">
      <c r="A74" s="30" t="s">
        <v>144</v>
      </c>
      <c r="B74" s="31">
        <v>2</v>
      </c>
      <c r="C74" s="32" t="s">
        <v>15</v>
      </c>
      <c r="D74" s="31" t="s">
        <v>57</v>
      </c>
      <c r="E74" s="31" t="s">
        <v>58</v>
      </c>
      <c r="F74" s="32" t="s">
        <v>59</v>
      </c>
      <c r="G74" s="31" t="s">
        <v>33</v>
      </c>
      <c r="H74" s="31">
        <v>258.68</v>
      </c>
      <c r="I74" s="31">
        <v>0.77</v>
      </c>
      <c r="J74" s="31">
        <v>0.76</v>
      </c>
      <c r="K74" s="34">
        <v>0.98499999999999999</v>
      </c>
      <c r="L74" s="31">
        <v>9.24</v>
      </c>
      <c r="M74" s="19">
        <f>H74*INDEX('Pliegos Tarifarios (Huechuraba)'!$B:$B,MATCH($B74,'Pliegos Tarifarios (Huechuraba)'!$A:$A,0))</f>
        <v>30741.01384</v>
      </c>
      <c r="N74" s="19">
        <f>I74*INDEX('Pliegos Tarifarios (Huechuraba)'!$C:$C,MATCH($B74,'Pliegos Tarifarios (Huechuraba)'!$A:$A,0))</f>
        <v>2641.62437</v>
      </c>
      <c r="O74" s="19">
        <f>J74*INDEX('Pliegos Tarifarios (Huechuraba)'!$D:$D,MATCH($B74,'Pliegos Tarifarios (Huechuraba)'!$A:$A,0))</f>
        <v>10732.85376</v>
      </c>
      <c r="P74" s="19">
        <f>H74*INDEX('Pliegos Tarifarios (Huechuraba)'!$E:$E,MATCH($B74,'Pliegos Tarifarios (Huechuraba)'!$A:$A,0))</f>
        <v>3345.2497600000002</v>
      </c>
      <c r="Q74" s="19" cm="1">
        <f t="array" ref="Q74">H74*_xlfn.IFS(H74&lt;=350,INDEX('Pliegos Tarifarios (Huechuraba)'!$F:$F,MATCH($B74,'Pliegos Tarifarios (Huechuraba)'!$A:$A,0)),H74&lt;=500,INDEX('Pliegos Tarifarios (Huechuraba)'!$G:$G,MATCH($B74,'Pliegos Tarifarios (Huechuraba)'!$A:$A,0)),H74&lt;=1000,INDEX('Pliegos Tarifarios (Huechuraba)'!$H:$H,MATCH($B74,'Pliegos Tarifarios (Huechuraba)'!$A:$A,0)),H74&lt;=5000,INDEX('Pliegos Tarifarios (Huechuraba)'!$I:$I,MATCH($B74,'Pliegos Tarifarios (Huechuraba)'!$A:$A,0)),H74&gt;5000,INDEX('Pliegos Tarifarios (Huechuraba)'!$J:$J,MATCH($B74,'Pliegos Tarifarios (Huechuraba)'!$A:$A,0)))/1.19</f>
        <v>170.42447058823532</v>
      </c>
      <c r="R74" s="19">
        <f>INDEX('Pliegos Tarifarios (Huechuraba)'!$K:$K,MATCH($B74,'Pliegos Tarifarios (Huechuraba)'!$A:$A,0))</f>
        <v>709.36099999999999</v>
      </c>
      <c r="S74" s="36">
        <f t="shared" si="3"/>
        <v>48340.527200588229</v>
      </c>
      <c r="T74" s="36">
        <f t="shared" si="4"/>
        <v>9184.7001681117636</v>
      </c>
      <c r="U74" s="19">
        <v>0</v>
      </c>
      <c r="V74" s="36">
        <f t="shared" si="5"/>
        <v>57525.227368699991</v>
      </c>
    </row>
    <row r="75" spans="1:22" ht="23.4" thickBot="1" x14ac:dyDescent="0.35">
      <c r="A75" s="30" t="s">
        <v>144</v>
      </c>
      <c r="B75" s="31">
        <v>2</v>
      </c>
      <c r="C75" s="32" t="s">
        <v>15</v>
      </c>
      <c r="D75" s="31" t="s">
        <v>60</v>
      </c>
      <c r="E75" s="31" t="s">
        <v>61</v>
      </c>
      <c r="F75" s="32" t="s">
        <v>62</v>
      </c>
      <c r="G75" s="31" t="s">
        <v>33</v>
      </c>
      <c r="H75" s="31">
        <v>258.58999999999997</v>
      </c>
      <c r="I75" s="31">
        <v>0.77</v>
      </c>
      <c r="J75" s="31">
        <v>0.76</v>
      </c>
      <c r="K75" s="34">
        <v>0.99099999999999999</v>
      </c>
      <c r="L75" s="31">
        <v>9.24</v>
      </c>
      <c r="M75" s="19">
        <f>H75*INDEX('Pliegos Tarifarios (Huechuraba)'!$B:$B,MATCH($B75,'Pliegos Tarifarios (Huechuraba)'!$A:$A,0))</f>
        <v>30730.318419999996</v>
      </c>
      <c r="N75" s="19">
        <f>I75*INDEX('Pliegos Tarifarios (Huechuraba)'!$C:$C,MATCH($B75,'Pliegos Tarifarios (Huechuraba)'!$A:$A,0))</f>
        <v>2641.62437</v>
      </c>
      <c r="O75" s="19">
        <f>J75*INDEX('Pliegos Tarifarios (Huechuraba)'!$D:$D,MATCH($B75,'Pliegos Tarifarios (Huechuraba)'!$A:$A,0))</f>
        <v>10732.85376</v>
      </c>
      <c r="P75" s="19">
        <f>H75*INDEX('Pliegos Tarifarios (Huechuraba)'!$E:$E,MATCH($B75,'Pliegos Tarifarios (Huechuraba)'!$A:$A,0))</f>
        <v>3344.0858799999996</v>
      </c>
      <c r="Q75" s="19" cm="1">
        <f t="array" ref="Q75">H75*_xlfn.IFS(H75&lt;=350,INDEX('Pliegos Tarifarios (Huechuraba)'!$F:$F,MATCH($B75,'Pliegos Tarifarios (Huechuraba)'!$A:$A,0)),H75&lt;=500,INDEX('Pliegos Tarifarios (Huechuraba)'!$G:$G,MATCH($B75,'Pliegos Tarifarios (Huechuraba)'!$A:$A,0)),H75&lt;=1000,INDEX('Pliegos Tarifarios (Huechuraba)'!$H:$H,MATCH($B75,'Pliegos Tarifarios (Huechuraba)'!$A:$A,0)),H75&lt;=5000,INDEX('Pliegos Tarifarios (Huechuraba)'!$I:$I,MATCH($B75,'Pliegos Tarifarios (Huechuraba)'!$A:$A,0)),H75&gt;5000,INDEX('Pliegos Tarifarios (Huechuraba)'!$J:$J,MATCH($B75,'Pliegos Tarifarios (Huechuraba)'!$A:$A,0)))/1.19</f>
        <v>170.36517647058824</v>
      </c>
      <c r="R75" s="19">
        <f>INDEX('Pliegos Tarifarios (Huechuraba)'!$K:$K,MATCH($B75,'Pliegos Tarifarios (Huechuraba)'!$A:$A,0))</f>
        <v>709.36099999999999</v>
      </c>
      <c r="S75" s="36">
        <f t="shared" si="3"/>
        <v>48328.608606470574</v>
      </c>
      <c r="T75" s="36">
        <f t="shared" si="4"/>
        <v>9182.4356352294089</v>
      </c>
      <c r="U75" s="19">
        <v>0</v>
      </c>
      <c r="V75" s="36">
        <f t="shared" si="5"/>
        <v>57511.044241699987</v>
      </c>
    </row>
    <row r="76" spans="1:22" ht="23.4" thickBot="1" x14ac:dyDescent="0.35">
      <c r="A76" s="30" t="s">
        <v>144</v>
      </c>
      <c r="B76" s="31">
        <v>2</v>
      </c>
      <c r="C76" s="32" t="s">
        <v>15</v>
      </c>
      <c r="D76" s="31" t="s">
        <v>63</v>
      </c>
      <c r="E76" s="31" t="s">
        <v>64</v>
      </c>
      <c r="F76" s="32" t="s">
        <v>65</v>
      </c>
      <c r="G76" s="31" t="s">
        <v>33</v>
      </c>
      <c r="H76" s="31">
        <v>259.25</v>
      </c>
      <c r="I76" s="31">
        <v>0.78</v>
      </c>
      <c r="J76" s="31">
        <v>0.78</v>
      </c>
      <c r="K76" s="34">
        <v>1</v>
      </c>
      <c r="L76" s="31">
        <v>9.26</v>
      </c>
      <c r="M76" s="19">
        <f>H76*INDEX('Pliegos Tarifarios (Huechuraba)'!$B:$B,MATCH($B76,'Pliegos Tarifarios (Huechuraba)'!$A:$A,0))</f>
        <v>30808.751499999998</v>
      </c>
      <c r="N76" s="19">
        <f>I76*INDEX('Pliegos Tarifarios (Huechuraba)'!$C:$C,MATCH($B76,'Pliegos Tarifarios (Huechuraba)'!$A:$A,0))</f>
        <v>2675.93118</v>
      </c>
      <c r="O76" s="19">
        <f>J76*INDEX('Pliegos Tarifarios (Huechuraba)'!$D:$D,MATCH($B76,'Pliegos Tarifarios (Huechuraba)'!$A:$A,0))</f>
        <v>11015.297280000001</v>
      </c>
      <c r="P76" s="19">
        <f>H76*INDEX('Pliegos Tarifarios (Huechuraba)'!$E:$E,MATCH($B76,'Pliegos Tarifarios (Huechuraba)'!$A:$A,0))</f>
        <v>3352.6210000000001</v>
      </c>
      <c r="Q76" s="19" cm="1">
        <f t="array" ref="Q76">H76*_xlfn.IFS(H76&lt;=350,INDEX('Pliegos Tarifarios (Huechuraba)'!$F:$F,MATCH($B76,'Pliegos Tarifarios (Huechuraba)'!$A:$A,0)),H76&lt;=500,INDEX('Pliegos Tarifarios (Huechuraba)'!$G:$G,MATCH($B76,'Pliegos Tarifarios (Huechuraba)'!$A:$A,0)),H76&lt;=1000,INDEX('Pliegos Tarifarios (Huechuraba)'!$H:$H,MATCH($B76,'Pliegos Tarifarios (Huechuraba)'!$A:$A,0)),H76&lt;=5000,INDEX('Pliegos Tarifarios (Huechuraba)'!$I:$I,MATCH($B76,'Pliegos Tarifarios (Huechuraba)'!$A:$A,0)),H76&gt;5000,INDEX('Pliegos Tarifarios (Huechuraba)'!$J:$J,MATCH($B76,'Pliegos Tarifarios (Huechuraba)'!$A:$A,0)))/1.19</f>
        <v>170.8</v>
      </c>
      <c r="R76" s="19">
        <f>INDEX('Pliegos Tarifarios (Huechuraba)'!$K:$K,MATCH($B76,'Pliegos Tarifarios (Huechuraba)'!$A:$A,0))</f>
        <v>709.36099999999999</v>
      </c>
      <c r="S76" s="36">
        <f t="shared" si="3"/>
        <v>48732.761959999996</v>
      </c>
      <c r="T76" s="36">
        <f t="shared" si="4"/>
        <v>9259.224772399999</v>
      </c>
      <c r="U76" s="19">
        <v>0</v>
      </c>
      <c r="V76" s="36">
        <f t="shared" si="5"/>
        <v>57991.986732399993</v>
      </c>
    </row>
    <row r="77" spans="1:22" ht="23.4" thickBot="1" x14ac:dyDescent="0.35">
      <c r="A77" s="30" t="s">
        <v>144</v>
      </c>
      <c r="B77" s="31">
        <v>2</v>
      </c>
      <c r="C77" s="32" t="s">
        <v>15</v>
      </c>
      <c r="D77" s="31" t="s">
        <v>66</v>
      </c>
      <c r="E77" s="31" t="s">
        <v>37</v>
      </c>
      <c r="F77" s="32" t="s">
        <v>67</v>
      </c>
      <c r="G77" s="31" t="s">
        <v>33</v>
      </c>
      <c r="H77" s="31">
        <v>516.66</v>
      </c>
      <c r="I77" s="31">
        <v>1.56</v>
      </c>
      <c r="J77" s="31">
        <v>1.52</v>
      </c>
      <c r="K77" s="34">
        <v>0.97299999999999998</v>
      </c>
      <c r="L77" s="31">
        <v>18.45</v>
      </c>
      <c r="M77" s="19">
        <f>H77*INDEX('Pliegos Tarifarios (Huechuraba)'!$B:$B,MATCH($B77,'Pliegos Tarifarios (Huechuraba)'!$A:$A,0))</f>
        <v>61398.841079999991</v>
      </c>
      <c r="N77" s="19">
        <f>I77*INDEX('Pliegos Tarifarios (Huechuraba)'!$C:$C,MATCH($B77,'Pliegos Tarifarios (Huechuraba)'!$A:$A,0))</f>
        <v>5351.8623600000001</v>
      </c>
      <c r="O77" s="19">
        <f>J77*INDEX('Pliegos Tarifarios (Huechuraba)'!$D:$D,MATCH($B77,'Pliegos Tarifarios (Huechuraba)'!$A:$A,0))</f>
        <v>21465.70752</v>
      </c>
      <c r="P77" s="19">
        <f>H77*INDEX('Pliegos Tarifarios (Huechuraba)'!$E:$E,MATCH($B77,'Pliegos Tarifarios (Huechuraba)'!$A:$A,0))</f>
        <v>6681.4471199999998</v>
      </c>
      <c r="Q77" s="19" cm="1">
        <f t="array" ref="Q77">H77*_xlfn.IFS(H77&lt;=350,INDEX('Pliegos Tarifarios (Huechuraba)'!$F:$F,MATCH($B77,'Pliegos Tarifarios (Huechuraba)'!$A:$A,0)),H77&lt;=500,INDEX('Pliegos Tarifarios (Huechuraba)'!$G:$G,MATCH($B77,'Pliegos Tarifarios (Huechuraba)'!$A:$A,0)),H77&lt;=1000,INDEX('Pliegos Tarifarios (Huechuraba)'!$H:$H,MATCH($B77,'Pliegos Tarifarios (Huechuraba)'!$A:$A,0)),H77&lt;=5000,INDEX('Pliegos Tarifarios (Huechuraba)'!$I:$I,MATCH($B77,'Pliegos Tarifarios (Huechuraba)'!$A:$A,0)),H77&gt;5000,INDEX('Pliegos Tarifarios (Huechuraba)'!$J:$J,MATCH($B77,'Pliegos Tarifarios (Huechuraba)'!$A:$A,0)))/1.19</f>
        <v>1211.7630756302522</v>
      </c>
      <c r="R77" s="19">
        <f>INDEX('Pliegos Tarifarios (Huechuraba)'!$K:$K,MATCH($B77,'Pliegos Tarifarios (Huechuraba)'!$A:$A,0))</f>
        <v>709.36099999999999</v>
      </c>
      <c r="S77" s="36">
        <f t="shared" si="3"/>
        <v>96818.982155630249</v>
      </c>
      <c r="T77" s="36">
        <f t="shared" si="4"/>
        <v>18395.606609569746</v>
      </c>
      <c r="U77" s="19">
        <v>0</v>
      </c>
      <c r="V77" s="36">
        <f t="shared" si="5"/>
        <v>115214.58876519999</v>
      </c>
    </row>
    <row r="78" spans="1:22" ht="23.4" thickBot="1" x14ac:dyDescent="0.35">
      <c r="A78" s="30" t="s">
        <v>144</v>
      </c>
      <c r="B78" s="31">
        <v>2</v>
      </c>
      <c r="C78" s="32" t="s">
        <v>15</v>
      </c>
      <c r="D78" s="31" t="s">
        <v>68</v>
      </c>
      <c r="E78" s="31" t="s">
        <v>37</v>
      </c>
      <c r="F78" s="32" t="s">
        <v>69</v>
      </c>
      <c r="G78" s="31" t="s">
        <v>33</v>
      </c>
      <c r="H78" s="31">
        <v>517.78</v>
      </c>
      <c r="I78" s="31">
        <v>1.55</v>
      </c>
      <c r="J78" s="31">
        <v>1.55</v>
      </c>
      <c r="K78" s="34">
        <v>1</v>
      </c>
      <c r="L78" s="31">
        <v>18.489999999999998</v>
      </c>
      <c r="M78" s="19">
        <f>H78*INDEX('Pliegos Tarifarios (Huechuraba)'!$B:$B,MATCH($B78,'Pliegos Tarifarios (Huechuraba)'!$A:$A,0))</f>
        <v>61531.939639999997</v>
      </c>
      <c r="N78" s="19">
        <f>I78*INDEX('Pliegos Tarifarios (Huechuraba)'!$C:$C,MATCH($B78,'Pliegos Tarifarios (Huechuraba)'!$A:$A,0))</f>
        <v>5317.55555</v>
      </c>
      <c r="O78" s="19">
        <f>J78*INDEX('Pliegos Tarifarios (Huechuraba)'!$D:$D,MATCH($B78,'Pliegos Tarifarios (Huechuraba)'!$A:$A,0))</f>
        <v>21889.372800000001</v>
      </c>
      <c r="P78" s="19">
        <f>H78*INDEX('Pliegos Tarifarios (Huechuraba)'!$E:$E,MATCH($B78,'Pliegos Tarifarios (Huechuraba)'!$A:$A,0))</f>
        <v>6695.9309599999997</v>
      </c>
      <c r="Q78" s="19" cm="1">
        <f t="array" ref="Q78">H78*_xlfn.IFS(H78&lt;=350,INDEX('Pliegos Tarifarios (Huechuraba)'!$F:$F,MATCH($B78,'Pliegos Tarifarios (Huechuraba)'!$A:$A,0)),H78&lt;=500,INDEX('Pliegos Tarifarios (Huechuraba)'!$G:$G,MATCH($B78,'Pliegos Tarifarios (Huechuraba)'!$A:$A,0)),H78&lt;=1000,INDEX('Pliegos Tarifarios (Huechuraba)'!$H:$H,MATCH($B78,'Pliegos Tarifarios (Huechuraba)'!$A:$A,0)),H78&lt;=5000,INDEX('Pliegos Tarifarios (Huechuraba)'!$I:$I,MATCH($B78,'Pliegos Tarifarios (Huechuraba)'!$A:$A,0)),H78&gt;5000,INDEX('Pliegos Tarifarios (Huechuraba)'!$J:$J,MATCH($B78,'Pliegos Tarifarios (Huechuraba)'!$A:$A,0)))/1.19</f>
        <v>1214.3898991596641</v>
      </c>
      <c r="R78" s="19">
        <f>INDEX('Pliegos Tarifarios (Huechuraba)'!$K:$K,MATCH($B78,'Pliegos Tarifarios (Huechuraba)'!$A:$A,0))</f>
        <v>709.36099999999999</v>
      </c>
      <c r="S78" s="36">
        <f t="shared" si="3"/>
        <v>97358.549849159666</v>
      </c>
      <c r="T78" s="36">
        <f t="shared" si="4"/>
        <v>18498.124471340336</v>
      </c>
      <c r="U78" s="19">
        <v>0</v>
      </c>
      <c r="V78" s="36">
        <f t="shared" si="5"/>
        <v>115856.67432049999</v>
      </c>
    </row>
    <row r="79" spans="1:22" ht="23.4" thickBot="1" x14ac:dyDescent="0.35">
      <c r="A79" s="30" t="s">
        <v>144</v>
      </c>
      <c r="B79" s="31">
        <v>2</v>
      </c>
      <c r="C79" s="32" t="s">
        <v>15</v>
      </c>
      <c r="D79" s="31" t="s">
        <v>70</v>
      </c>
      <c r="E79" s="31" t="s">
        <v>37</v>
      </c>
      <c r="F79" s="32" t="s">
        <v>71</v>
      </c>
      <c r="G79" s="31" t="s">
        <v>33</v>
      </c>
      <c r="H79" s="31">
        <v>517.48</v>
      </c>
      <c r="I79" s="31">
        <v>1.59</v>
      </c>
      <c r="J79" s="31">
        <v>1.49</v>
      </c>
      <c r="K79" s="34">
        <v>0.93600000000000005</v>
      </c>
      <c r="L79" s="31">
        <v>18.48</v>
      </c>
      <c r="M79" s="19">
        <f>H79*INDEX('Pliegos Tarifarios (Huechuraba)'!$B:$B,MATCH($B79,'Pliegos Tarifarios (Huechuraba)'!$A:$A,0))</f>
        <v>61496.288240000002</v>
      </c>
      <c r="N79" s="19">
        <f>I79*INDEX('Pliegos Tarifarios (Huechuraba)'!$C:$C,MATCH($B79,'Pliegos Tarifarios (Huechuraba)'!$A:$A,0))</f>
        <v>5454.7827900000002</v>
      </c>
      <c r="O79" s="19">
        <f>J79*INDEX('Pliegos Tarifarios (Huechuraba)'!$D:$D,MATCH($B79,'Pliegos Tarifarios (Huechuraba)'!$A:$A,0))</f>
        <v>21042.042239999999</v>
      </c>
      <c r="P79" s="19">
        <f>H79*INDEX('Pliegos Tarifarios (Huechuraba)'!$E:$E,MATCH($B79,'Pliegos Tarifarios (Huechuraba)'!$A:$A,0))</f>
        <v>6692.0513600000004</v>
      </c>
      <c r="Q79" s="19" cm="1">
        <f t="array" ref="Q79">H79*_xlfn.IFS(H79&lt;=350,INDEX('Pliegos Tarifarios (Huechuraba)'!$F:$F,MATCH($B79,'Pliegos Tarifarios (Huechuraba)'!$A:$A,0)),H79&lt;=500,INDEX('Pliegos Tarifarios (Huechuraba)'!$G:$G,MATCH($B79,'Pliegos Tarifarios (Huechuraba)'!$A:$A,0)),H79&lt;=1000,INDEX('Pliegos Tarifarios (Huechuraba)'!$H:$H,MATCH($B79,'Pliegos Tarifarios (Huechuraba)'!$A:$A,0)),H79&lt;=5000,INDEX('Pliegos Tarifarios (Huechuraba)'!$I:$I,MATCH($B79,'Pliegos Tarifarios (Huechuraba)'!$A:$A,0)),H79&gt;5000,INDEX('Pliegos Tarifarios (Huechuraba)'!$J:$J,MATCH($B79,'Pliegos Tarifarios (Huechuraba)'!$A:$A,0)))/1.19</f>
        <v>1213.686285714286</v>
      </c>
      <c r="R79" s="19">
        <f>INDEX('Pliegos Tarifarios (Huechuraba)'!$K:$K,MATCH($B79,'Pliegos Tarifarios (Huechuraba)'!$A:$A,0))</f>
        <v>709.36099999999999</v>
      </c>
      <c r="S79" s="36">
        <f t="shared" si="3"/>
        <v>96608.211915714288</v>
      </c>
      <c r="T79" s="36">
        <f t="shared" si="4"/>
        <v>18355.560263985713</v>
      </c>
      <c r="U79" s="19">
        <v>0</v>
      </c>
      <c r="V79" s="36">
        <f t="shared" si="5"/>
        <v>114963.7721797</v>
      </c>
    </row>
    <row r="80" spans="1:22" ht="23.4" thickBot="1" x14ac:dyDescent="0.35">
      <c r="A80" s="30" t="s">
        <v>144</v>
      </c>
      <c r="B80" s="31">
        <v>2</v>
      </c>
      <c r="C80" s="32" t="s">
        <v>15</v>
      </c>
      <c r="D80" s="31" t="s">
        <v>72</v>
      </c>
      <c r="E80" s="31" t="s">
        <v>73</v>
      </c>
      <c r="F80" s="32" t="s">
        <v>74</v>
      </c>
      <c r="G80" s="31" t="s">
        <v>33</v>
      </c>
      <c r="H80" s="31">
        <v>645.46</v>
      </c>
      <c r="I80" s="31">
        <v>1.93</v>
      </c>
      <c r="J80" s="31">
        <v>1.9</v>
      </c>
      <c r="K80" s="34">
        <v>0.98499999999999999</v>
      </c>
      <c r="L80" s="31">
        <v>23.05</v>
      </c>
      <c r="M80" s="19">
        <f>H80*INDEX('Pliegos Tarifarios (Huechuraba)'!$B:$B,MATCH($B80,'Pliegos Tarifarios (Huechuraba)'!$A:$A,0))</f>
        <v>76705.175480000005</v>
      </c>
      <c r="N80" s="19">
        <f>I80*INDEX('Pliegos Tarifarios (Huechuraba)'!$C:$C,MATCH($B80,'Pliegos Tarifarios (Huechuraba)'!$A:$A,0))</f>
        <v>6621.2143299999998</v>
      </c>
      <c r="O80" s="19">
        <f>J80*INDEX('Pliegos Tarifarios (Huechuraba)'!$D:$D,MATCH($B80,'Pliegos Tarifarios (Huechuraba)'!$A:$A,0))</f>
        <v>26832.134399999999</v>
      </c>
      <c r="P80" s="19">
        <f>H80*INDEX('Pliegos Tarifarios (Huechuraba)'!$E:$E,MATCH($B80,'Pliegos Tarifarios (Huechuraba)'!$A:$A,0))</f>
        <v>8347.0887200000016</v>
      </c>
      <c r="Q80" s="19" cm="1">
        <f t="array" ref="Q80">H80*_xlfn.IFS(H80&lt;=350,INDEX('Pliegos Tarifarios (Huechuraba)'!$F:$F,MATCH($B80,'Pliegos Tarifarios (Huechuraba)'!$A:$A,0)),H80&lt;=500,INDEX('Pliegos Tarifarios (Huechuraba)'!$G:$G,MATCH($B80,'Pliegos Tarifarios (Huechuraba)'!$A:$A,0)),H80&lt;=1000,INDEX('Pliegos Tarifarios (Huechuraba)'!$H:$H,MATCH($B80,'Pliegos Tarifarios (Huechuraba)'!$A:$A,0)),H80&lt;=5000,INDEX('Pliegos Tarifarios (Huechuraba)'!$I:$I,MATCH($B80,'Pliegos Tarifarios (Huechuraba)'!$A:$A,0)),H80&gt;5000,INDEX('Pliegos Tarifarios (Huechuraba)'!$J:$J,MATCH($B80,'Pliegos Tarifarios (Huechuraba)'!$A:$A,0)))/1.19</f>
        <v>1513.8477815126055</v>
      </c>
      <c r="R80" s="19">
        <f>INDEX('Pliegos Tarifarios (Huechuraba)'!$K:$K,MATCH($B80,'Pliegos Tarifarios (Huechuraba)'!$A:$A,0))</f>
        <v>709.36099999999999</v>
      </c>
      <c r="S80" s="36">
        <f t="shared" si="3"/>
        <v>120728.82171151262</v>
      </c>
      <c r="T80" s="36">
        <f t="shared" si="4"/>
        <v>22938.476125187397</v>
      </c>
      <c r="U80" s="19">
        <v>0</v>
      </c>
      <c r="V80" s="36">
        <f t="shared" si="5"/>
        <v>143667.29783670002</v>
      </c>
    </row>
    <row r="81" spans="1:22" ht="23.4" thickBot="1" x14ac:dyDescent="0.35">
      <c r="A81" s="30" t="s">
        <v>144</v>
      </c>
      <c r="B81" s="31">
        <v>2</v>
      </c>
      <c r="C81" s="32" t="s">
        <v>15</v>
      </c>
      <c r="D81" s="31" t="s">
        <v>75</v>
      </c>
      <c r="E81" s="31" t="s">
        <v>76</v>
      </c>
      <c r="F81" s="32" t="s">
        <v>77</v>
      </c>
      <c r="G81" s="31" t="s">
        <v>19</v>
      </c>
      <c r="H81" s="33">
        <v>1035.68</v>
      </c>
      <c r="I81" s="31">
        <v>3.12</v>
      </c>
      <c r="J81" s="31">
        <v>3.05</v>
      </c>
      <c r="K81" s="34">
        <v>0.97599999999999998</v>
      </c>
      <c r="L81" s="31">
        <v>36.99</v>
      </c>
      <c r="M81" s="19">
        <f>H81*INDEX('Pliegos Tarifarios (Huechuraba)'!$B:$B,MATCH($B81,'Pliegos Tarifarios (Huechuraba)'!$A:$A,0))</f>
        <v>123078.13984</v>
      </c>
      <c r="N81" s="19">
        <f>I81*INDEX('Pliegos Tarifarios (Huechuraba)'!$C:$C,MATCH($B81,'Pliegos Tarifarios (Huechuraba)'!$A:$A,0))</f>
        <v>10703.72472</v>
      </c>
      <c r="O81" s="19">
        <f>J81*INDEX('Pliegos Tarifarios (Huechuraba)'!$D:$D,MATCH($B81,'Pliegos Tarifarios (Huechuraba)'!$A:$A,0))</f>
        <v>43072.636799999993</v>
      </c>
      <c r="P81" s="19">
        <f>H81*INDEX('Pliegos Tarifarios (Huechuraba)'!$E:$E,MATCH($B81,'Pliegos Tarifarios (Huechuraba)'!$A:$A,0))</f>
        <v>13393.413760000001</v>
      </c>
      <c r="Q81" s="19" cm="1">
        <f t="array" ref="Q81">H81*_xlfn.IFS(H81&lt;=350,INDEX('Pliegos Tarifarios (Huechuraba)'!$F:$F,MATCH($B81,'Pliegos Tarifarios (Huechuraba)'!$A:$A,0)),H81&lt;=500,INDEX('Pliegos Tarifarios (Huechuraba)'!$G:$G,MATCH($B81,'Pliegos Tarifarios (Huechuraba)'!$A:$A,0)),H81&lt;=1000,INDEX('Pliegos Tarifarios (Huechuraba)'!$H:$H,MATCH($B81,'Pliegos Tarifarios (Huechuraba)'!$A:$A,0)),H81&lt;=5000,INDEX('Pliegos Tarifarios (Huechuraba)'!$I:$I,MATCH($B81,'Pliegos Tarifarios (Huechuraba)'!$A:$A,0)),H81&gt;5000,INDEX('Pliegos Tarifarios (Huechuraba)'!$J:$J,MATCH($B81,'Pliegos Tarifarios (Huechuraba)'!$A:$A,0)))/1.19</f>
        <v>3107.910319327731</v>
      </c>
      <c r="R81" s="19">
        <f>INDEX('Pliegos Tarifarios (Huechuraba)'!$K:$K,MATCH($B81,'Pliegos Tarifarios (Huechuraba)'!$A:$A,0))</f>
        <v>709.36099999999999</v>
      </c>
      <c r="S81" s="36">
        <f t="shared" si="3"/>
        <v>194065.18643932772</v>
      </c>
      <c r="T81" s="36">
        <f t="shared" si="4"/>
        <v>36872.385423472268</v>
      </c>
      <c r="U81" s="19">
        <v>0</v>
      </c>
      <c r="V81" s="36">
        <f t="shared" si="5"/>
        <v>230937.57186279999</v>
      </c>
    </row>
    <row r="82" spans="1:22" ht="23.4" thickBot="1" x14ac:dyDescent="0.35">
      <c r="A82" s="30" t="s">
        <v>144</v>
      </c>
      <c r="B82" s="31">
        <v>2</v>
      </c>
      <c r="C82" s="32" t="s">
        <v>15</v>
      </c>
      <c r="D82" s="31" t="s">
        <v>78</v>
      </c>
      <c r="E82" s="31" t="s">
        <v>76</v>
      </c>
      <c r="F82" s="32" t="s">
        <v>79</v>
      </c>
      <c r="G82" s="31" t="s">
        <v>19</v>
      </c>
      <c r="H82" s="31">
        <v>774.82</v>
      </c>
      <c r="I82" s="31">
        <v>2.31</v>
      </c>
      <c r="J82" s="31">
        <v>2.27</v>
      </c>
      <c r="K82" s="34">
        <v>0.98299999999999998</v>
      </c>
      <c r="L82" s="31">
        <v>27.67</v>
      </c>
      <c r="M82" s="19">
        <f>H82*INDEX('Pliegos Tarifarios (Huechuraba)'!$B:$B,MATCH($B82,'Pliegos Tarifarios (Huechuraba)'!$A:$A,0))</f>
        <v>92078.059160000004</v>
      </c>
      <c r="N82" s="19">
        <f>I82*INDEX('Pliegos Tarifarios (Huechuraba)'!$C:$C,MATCH($B82,'Pliegos Tarifarios (Huechuraba)'!$A:$A,0))</f>
        <v>7924.8731100000005</v>
      </c>
      <c r="O82" s="19">
        <f>J82*INDEX('Pliegos Tarifarios (Huechuraba)'!$D:$D,MATCH($B82,'Pliegos Tarifarios (Huechuraba)'!$A:$A,0))</f>
        <v>32057.339519999998</v>
      </c>
      <c r="P82" s="19">
        <f>H82*INDEX('Pliegos Tarifarios (Huechuraba)'!$E:$E,MATCH($B82,'Pliegos Tarifarios (Huechuraba)'!$A:$A,0))</f>
        <v>10019.972240000001</v>
      </c>
      <c r="Q82" s="19" cm="1">
        <f t="array" ref="Q82">H82*_xlfn.IFS(H82&lt;=350,INDEX('Pliegos Tarifarios (Huechuraba)'!$F:$F,MATCH($B82,'Pliegos Tarifarios (Huechuraba)'!$A:$A,0)),H82&lt;=500,INDEX('Pliegos Tarifarios (Huechuraba)'!$G:$G,MATCH($B82,'Pliegos Tarifarios (Huechuraba)'!$A:$A,0)),H82&lt;=1000,INDEX('Pliegos Tarifarios (Huechuraba)'!$H:$H,MATCH($B82,'Pliegos Tarifarios (Huechuraba)'!$A:$A,0)),H82&lt;=5000,INDEX('Pliegos Tarifarios (Huechuraba)'!$I:$I,MATCH($B82,'Pliegos Tarifarios (Huechuraba)'!$A:$A,0)),H82&gt;5000,INDEX('Pliegos Tarifarios (Huechuraba)'!$J:$J,MATCH($B82,'Pliegos Tarifarios (Huechuraba)'!$A:$A,0)))/1.19</f>
        <v>1817.2458991596645</v>
      </c>
      <c r="R82" s="19">
        <f>INDEX('Pliegos Tarifarios (Huechuraba)'!$K:$K,MATCH($B82,'Pliegos Tarifarios (Huechuraba)'!$A:$A,0))</f>
        <v>709.36099999999999</v>
      </c>
      <c r="S82" s="36">
        <f t="shared" si="3"/>
        <v>144606.85092915967</v>
      </c>
      <c r="T82" s="36">
        <f t="shared" si="4"/>
        <v>27475.301676540337</v>
      </c>
      <c r="U82" s="19">
        <v>0</v>
      </c>
      <c r="V82" s="36">
        <f t="shared" si="5"/>
        <v>172082.15260570002</v>
      </c>
    </row>
    <row r="83" spans="1:22" ht="23.4" thickBot="1" x14ac:dyDescent="0.35">
      <c r="A83" s="30" t="s">
        <v>144</v>
      </c>
      <c r="B83" s="31">
        <v>2</v>
      </c>
      <c r="C83" s="32" t="s">
        <v>15</v>
      </c>
      <c r="D83" s="31" t="s">
        <v>80</v>
      </c>
      <c r="E83" s="31" t="s">
        <v>81</v>
      </c>
      <c r="F83" s="32" t="s">
        <v>82</v>
      </c>
      <c r="G83" s="31" t="s">
        <v>19</v>
      </c>
      <c r="H83" s="31">
        <v>646.83000000000004</v>
      </c>
      <c r="I83" s="31">
        <v>1.93</v>
      </c>
      <c r="J83" s="31">
        <v>1.89</v>
      </c>
      <c r="K83" s="34">
        <v>0.98099999999999998</v>
      </c>
      <c r="L83" s="31">
        <v>23.1</v>
      </c>
      <c r="M83" s="19">
        <f>H83*INDEX('Pliegos Tarifarios (Huechuraba)'!$B:$B,MATCH($B83,'Pliegos Tarifarios (Huechuraba)'!$A:$A,0))</f>
        <v>76867.983540000001</v>
      </c>
      <c r="N83" s="19">
        <f>I83*INDEX('Pliegos Tarifarios (Huechuraba)'!$C:$C,MATCH($B83,'Pliegos Tarifarios (Huechuraba)'!$A:$A,0))</f>
        <v>6621.2143299999998</v>
      </c>
      <c r="O83" s="19">
        <f>J83*INDEX('Pliegos Tarifarios (Huechuraba)'!$D:$D,MATCH($B83,'Pliegos Tarifarios (Huechuraba)'!$A:$A,0))</f>
        <v>26690.912639999999</v>
      </c>
      <c r="P83" s="19">
        <f>H83*INDEX('Pliegos Tarifarios (Huechuraba)'!$E:$E,MATCH($B83,'Pliegos Tarifarios (Huechuraba)'!$A:$A,0))</f>
        <v>8364.8055600000007</v>
      </c>
      <c r="Q83" s="19" cm="1">
        <f t="array" ref="Q83">H83*_xlfn.IFS(H83&lt;=350,INDEX('Pliegos Tarifarios (Huechuraba)'!$F:$F,MATCH($B83,'Pliegos Tarifarios (Huechuraba)'!$A:$A,0)),H83&lt;=500,INDEX('Pliegos Tarifarios (Huechuraba)'!$G:$G,MATCH($B83,'Pliegos Tarifarios (Huechuraba)'!$A:$A,0)),H83&lt;=1000,INDEX('Pliegos Tarifarios (Huechuraba)'!$H:$H,MATCH($B83,'Pliegos Tarifarios (Huechuraba)'!$A:$A,0)),H83&lt;=5000,INDEX('Pliegos Tarifarios (Huechuraba)'!$I:$I,MATCH($B83,'Pliegos Tarifarios (Huechuraba)'!$A:$A,0)),H83&gt;5000,INDEX('Pliegos Tarifarios (Huechuraba)'!$J:$J,MATCH($B83,'Pliegos Tarifarios (Huechuraba)'!$A:$A,0)))/1.19</f>
        <v>1517.0609495798324</v>
      </c>
      <c r="R83" s="19">
        <f>INDEX('Pliegos Tarifarios (Huechuraba)'!$K:$K,MATCH($B83,'Pliegos Tarifarios (Huechuraba)'!$A:$A,0))</f>
        <v>709.36099999999999</v>
      </c>
      <c r="S83" s="36">
        <f t="shared" si="3"/>
        <v>120771.33801957984</v>
      </c>
      <c r="T83" s="36">
        <f t="shared" si="4"/>
        <v>22946.55422372017</v>
      </c>
      <c r="U83" s="19">
        <v>0</v>
      </c>
      <c r="V83" s="36">
        <f t="shared" si="5"/>
        <v>143717.89224330001</v>
      </c>
    </row>
    <row r="84" spans="1:22" ht="23.4" thickBot="1" x14ac:dyDescent="0.35">
      <c r="A84" s="30" t="s">
        <v>144</v>
      </c>
      <c r="B84" s="31">
        <v>2</v>
      </c>
      <c r="C84" s="32" t="s">
        <v>15</v>
      </c>
      <c r="D84" s="31" t="s">
        <v>83</v>
      </c>
      <c r="E84" s="31" t="s">
        <v>81</v>
      </c>
      <c r="F84" s="32" t="s">
        <v>84</v>
      </c>
      <c r="G84" s="31" t="s">
        <v>19</v>
      </c>
      <c r="H84" s="31">
        <v>430.94</v>
      </c>
      <c r="I84" s="31">
        <v>1.29</v>
      </c>
      <c r="J84" s="31">
        <v>1.28</v>
      </c>
      <c r="K84" s="34">
        <v>0.98899999999999999</v>
      </c>
      <c r="L84" s="31">
        <v>15.39</v>
      </c>
      <c r="M84" s="19">
        <f>H84*INDEX('Pliegos Tarifarios (Huechuraba)'!$B:$B,MATCH($B84,'Pliegos Tarifarios (Huechuraba)'!$A:$A,0))</f>
        <v>51212.047719999995</v>
      </c>
      <c r="N84" s="19">
        <f>I84*INDEX('Pliegos Tarifarios (Huechuraba)'!$C:$C,MATCH($B84,'Pliegos Tarifarios (Huechuraba)'!$A:$A,0))</f>
        <v>4425.5784899999999</v>
      </c>
      <c r="O84" s="19">
        <f>J84*INDEX('Pliegos Tarifarios (Huechuraba)'!$D:$D,MATCH($B84,'Pliegos Tarifarios (Huechuraba)'!$A:$A,0))</f>
        <v>18076.385279999999</v>
      </c>
      <c r="P84" s="19">
        <f>H84*INDEX('Pliegos Tarifarios (Huechuraba)'!$E:$E,MATCH($B84,'Pliegos Tarifarios (Huechuraba)'!$A:$A,0))</f>
        <v>5572.91608</v>
      </c>
      <c r="Q84" s="19" cm="1">
        <f t="array" ref="Q84">H84*_xlfn.IFS(H84&lt;=350,INDEX('Pliegos Tarifarios (Huechuraba)'!$F:$F,MATCH($B84,'Pliegos Tarifarios (Huechuraba)'!$A:$A,0)),H84&lt;=500,INDEX('Pliegos Tarifarios (Huechuraba)'!$G:$G,MATCH($B84,'Pliegos Tarifarios (Huechuraba)'!$A:$A,0)),H84&lt;=1000,INDEX('Pliegos Tarifarios (Huechuraba)'!$H:$H,MATCH($B84,'Pliegos Tarifarios (Huechuraba)'!$A:$A,0)),H84&lt;=5000,INDEX('Pliegos Tarifarios (Huechuraba)'!$I:$I,MATCH($B84,'Pliegos Tarifarios (Huechuraba)'!$A:$A,0)),H84&gt;5000,INDEX('Pliegos Tarifarios (Huechuraba)'!$J:$J,MATCH($B84,'Pliegos Tarifarios (Huechuraba)'!$A:$A,0)))/1.19</f>
        <v>606.93734453781519</v>
      </c>
      <c r="R84" s="19">
        <f>INDEX('Pliegos Tarifarios (Huechuraba)'!$K:$K,MATCH($B84,'Pliegos Tarifarios (Huechuraba)'!$A:$A,0))</f>
        <v>709.36099999999999</v>
      </c>
      <c r="S84" s="36">
        <f t="shared" si="3"/>
        <v>80603.225914537805</v>
      </c>
      <c r="T84" s="36">
        <f t="shared" si="4"/>
        <v>15314.612923762183</v>
      </c>
      <c r="U84" s="19">
        <v>0</v>
      </c>
      <c r="V84" s="36">
        <f t="shared" si="5"/>
        <v>95917.838838299984</v>
      </c>
    </row>
    <row r="85" spans="1:22" ht="23.4" thickBot="1" x14ac:dyDescent="0.35">
      <c r="A85" s="30" t="s">
        <v>144</v>
      </c>
      <c r="B85" s="31">
        <v>2</v>
      </c>
      <c r="C85" s="32" t="s">
        <v>15</v>
      </c>
      <c r="D85" s="31" t="s">
        <v>85</v>
      </c>
      <c r="E85" s="31" t="s">
        <v>81</v>
      </c>
      <c r="F85" s="32" t="s">
        <v>86</v>
      </c>
      <c r="G85" s="31" t="s">
        <v>19</v>
      </c>
      <c r="H85" s="31">
        <v>516.30999999999995</v>
      </c>
      <c r="I85" s="31">
        <v>1.54</v>
      </c>
      <c r="J85" s="31">
        <v>1.52</v>
      </c>
      <c r="K85" s="34">
        <v>0.98599999999999999</v>
      </c>
      <c r="L85" s="31">
        <v>18.440000000000001</v>
      </c>
      <c r="M85" s="19">
        <f>H85*INDEX('Pliegos Tarifarios (Huechuraba)'!$B:$B,MATCH($B85,'Pliegos Tarifarios (Huechuraba)'!$A:$A,0))</f>
        <v>61357.247779999991</v>
      </c>
      <c r="N85" s="19">
        <f>I85*INDEX('Pliegos Tarifarios (Huechuraba)'!$C:$C,MATCH($B85,'Pliegos Tarifarios (Huechuraba)'!$A:$A,0))</f>
        <v>5283.24874</v>
      </c>
      <c r="O85" s="19">
        <f>J85*INDEX('Pliegos Tarifarios (Huechuraba)'!$D:$D,MATCH($B85,'Pliegos Tarifarios (Huechuraba)'!$A:$A,0))</f>
        <v>21465.70752</v>
      </c>
      <c r="P85" s="19">
        <f>H85*INDEX('Pliegos Tarifarios (Huechuraba)'!$E:$E,MATCH($B85,'Pliegos Tarifarios (Huechuraba)'!$A:$A,0))</f>
        <v>6676.9209199999996</v>
      </c>
      <c r="Q85" s="19" cm="1">
        <f t="array" ref="Q85">H85*_xlfn.IFS(H85&lt;=350,INDEX('Pliegos Tarifarios (Huechuraba)'!$F:$F,MATCH($B85,'Pliegos Tarifarios (Huechuraba)'!$A:$A,0)),H85&lt;=500,INDEX('Pliegos Tarifarios (Huechuraba)'!$G:$G,MATCH($B85,'Pliegos Tarifarios (Huechuraba)'!$A:$A,0)),H85&lt;=1000,INDEX('Pliegos Tarifarios (Huechuraba)'!$H:$H,MATCH($B85,'Pliegos Tarifarios (Huechuraba)'!$A:$A,0)),H85&lt;=5000,INDEX('Pliegos Tarifarios (Huechuraba)'!$I:$I,MATCH($B85,'Pliegos Tarifarios (Huechuraba)'!$A:$A,0)),H85&gt;5000,INDEX('Pliegos Tarifarios (Huechuraba)'!$J:$J,MATCH($B85,'Pliegos Tarifarios (Huechuraba)'!$A:$A,0)))/1.19</f>
        <v>1210.9421932773112</v>
      </c>
      <c r="R85" s="19">
        <f>INDEX('Pliegos Tarifarios (Huechuraba)'!$K:$K,MATCH($B85,'Pliegos Tarifarios (Huechuraba)'!$A:$A,0))</f>
        <v>709.36099999999999</v>
      </c>
      <c r="S85" s="36">
        <f t="shared" si="3"/>
        <v>96703.428153277302</v>
      </c>
      <c r="T85" s="36">
        <f t="shared" si="4"/>
        <v>18373.651349122687</v>
      </c>
      <c r="U85" s="19">
        <v>0</v>
      </c>
      <c r="V85" s="36">
        <f t="shared" si="5"/>
        <v>115077.07950239998</v>
      </c>
    </row>
    <row r="86" spans="1:22" ht="23.4" thickBot="1" x14ac:dyDescent="0.35">
      <c r="A86" s="30" t="s">
        <v>144</v>
      </c>
      <c r="B86" s="31">
        <v>2</v>
      </c>
      <c r="C86" s="32" t="s">
        <v>15</v>
      </c>
      <c r="D86" s="31" t="s">
        <v>87</v>
      </c>
      <c r="E86" s="31" t="s">
        <v>81</v>
      </c>
      <c r="F86" s="32" t="s">
        <v>88</v>
      </c>
      <c r="G86" s="31" t="s">
        <v>19</v>
      </c>
      <c r="H86" s="31">
        <v>516.92999999999995</v>
      </c>
      <c r="I86" s="31">
        <v>1.57</v>
      </c>
      <c r="J86" s="31">
        <v>1.56</v>
      </c>
      <c r="K86" s="34">
        <v>0.997</v>
      </c>
      <c r="L86" s="31">
        <v>18.46</v>
      </c>
      <c r="M86" s="19">
        <f>H86*INDEX('Pliegos Tarifarios (Huechuraba)'!$B:$B,MATCH($B86,'Pliegos Tarifarios (Huechuraba)'!$A:$A,0))</f>
        <v>61430.927339999987</v>
      </c>
      <c r="N86" s="19">
        <f>I86*INDEX('Pliegos Tarifarios (Huechuraba)'!$C:$C,MATCH($B86,'Pliegos Tarifarios (Huechuraba)'!$A:$A,0))</f>
        <v>5386.1691700000001</v>
      </c>
      <c r="O86" s="19">
        <f>J86*INDEX('Pliegos Tarifarios (Huechuraba)'!$D:$D,MATCH($B86,'Pliegos Tarifarios (Huechuraba)'!$A:$A,0))</f>
        <v>22030.594560000001</v>
      </c>
      <c r="P86" s="19">
        <f>H86*INDEX('Pliegos Tarifarios (Huechuraba)'!$E:$E,MATCH($B86,'Pliegos Tarifarios (Huechuraba)'!$A:$A,0))</f>
        <v>6684.93876</v>
      </c>
      <c r="Q86" s="19" cm="1">
        <f t="array" ref="Q86">H86*_xlfn.IFS(H86&lt;=350,INDEX('Pliegos Tarifarios (Huechuraba)'!$F:$F,MATCH($B86,'Pliegos Tarifarios (Huechuraba)'!$A:$A,0)),H86&lt;=500,INDEX('Pliegos Tarifarios (Huechuraba)'!$G:$G,MATCH($B86,'Pliegos Tarifarios (Huechuraba)'!$A:$A,0)),H86&lt;=1000,INDEX('Pliegos Tarifarios (Huechuraba)'!$H:$H,MATCH($B86,'Pliegos Tarifarios (Huechuraba)'!$A:$A,0)),H86&lt;=5000,INDEX('Pliegos Tarifarios (Huechuraba)'!$I:$I,MATCH($B86,'Pliegos Tarifarios (Huechuraba)'!$A:$A,0)),H86&gt;5000,INDEX('Pliegos Tarifarios (Huechuraba)'!$J:$J,MATCH($B86,'Pliegos Tarifarios (Huechuraba)'!$A:$A,0)))/1.19</f>
        <v>1212.3963277310925</v>
      </c>
      <c r="R86" s="19">
        <f>INDEX('Pliegos Tarifarios (Huechuraba)'!$K:$K,MATCH($B86,'Pliegos Tarifarios (Huechuraba)'!$A:$A,0))</f>
        <v>709.36099999999999</v>
      </c>
      <c r="S86" s="36">
        <f t="shared" si="3"/>
        <v>97454.387157731093</v>
      </c>
      <c r="T86" s="36">
        <f t="shared" si="4"/>
        <v>18516.333559968909</v>
      </c>
      <c r="U86" s="19">
        <v>0</v>
      </c>
      <c r="V86" s="36">
        <f t="shared" si="5"/>
        <v>115970.72071769999</v>
      </c>
    </row>
    <row r="87" spans="1:22" ht="23.4" thickBot="1" x14ac:dyDescent="0.35">
      <c r="A87" s="30" t="s">
        <v>144</v>
      </c>
      <c r="B87" s="31">
        <v>2</v>
      </c>
      <c r="C87" s="32" t="s">
        <v>15</v>
      </c>
      <c r="D87" s="31" t="s">
        <v>89</v>
      </c>
      <c r="E87" s="31" t="s">
        <v>81</v>
      </c>
      <c r="F87" s="32" t="s">
        <v>90</v>
      </c>
      <c r="G87" s="31" t="s">
        <v>19</v>
      </c>
      <c r="H87" s="31">
        <v>516.54</v>
      </c>
      <c r="I87" s="31">
        <v>1.55</v>
      </c>
      <c r="J87" s="31">
        <v>1.5</v>
      </c>
      <c r="K87" s="34">
        <v>0.96799999999999997</v>
      </c>
      <c r="L87" s="31">
        <v>18.45</v>
      </c>
      <c r="M87" s="19">
        <f>H87*INDEX('Pliegos Tarifarios (Huechuraba)'!$B:$B,MATCH($B87,'Pliegos Tarifarios (Huechuraba)'!$A:$A,0))</f>
        <v>61384.580519999996</v>
      </c>
      <c r="N87" s="19">
        <f>I87*INDEX('Pliegos Tarifarios (Huechuraba)'!$C:$C,MATCH($B87,'Pliegos Tarifarios (Huechuraba)'!$A:$A,0))</f>
        <v>5317.55555</v>
      </c>
      <c r="O87" s="19">
        <f>J87*INDEX('Pliegos Tarifarios (Huechuraba)'!$D:$D,MATCH($B87,'Pliegos Tarifarios (Huechuraba)'!$A:$A,0))</f>
        <v>21183.263999999999</v>
      </c>
      <c r="P87" s="19">
        <f>H87*INDEX('Pliegos Tarifarios (Huechuraba)'!$E:$E,MATCH($B87,'Pliegos Tarifarios (Huechuraba)'!$A:$A,0))</f>
        <v>6679.8952799999997</v>
      </c>
      <c r="Q87" s="19" cm="1">
        <f t="array" ref="Q87">H87*_xlfn.IFS(H87&lt;=350,INDEX('Pliegos Tarifarios (Huechuraba)'!$F:$F,MATCH($B87,'Pliegos Tarifarios (Huechuraba)'!$A:$A,0)),H87&lt;=500,INDEX('Pliegos Tarifarios (Huechuraba)'!$G:$G,MATCH($B87,'Pliegos Tarifarios (Huechuraba)'!$A:$A,0)),H87&lt;=1000,INDEX('Pliegos Tarifarios (Huechuraba)'!$H:$H,MATCH($B87,'Pliegos Tarifarios (Huechuraba)'!$A:$A,0)),H87&lt;=5000,INDEX('Pliegos Tarifarios (Huechuraba)'!$I:$I,MATCH($B87,'Pliegos Tarifarios (Huechuraba)'!$A:$A,0)),H87&gt;5000,INDEX('Pliegos Tarifarios (Huechuraba)'!$J:$J,MATCH($B87,'Pliegos Tarifarios (Huechuraba)'!$A:$A,0)))/1.19</f>
        <v>1211.481630252101</v>
      </c>
      <c r="R87" s="19">
        <f>INDEX('Pliegos Tarifarios (Huechuraba)'!$K:$K,MATCH($B87,'Pliegos Tarifarios (Huechuraba)'!$A:$A,0))</f>
        <v>709.36099999999999</v>
      </c>
      <c r="S87" s="36">
        <f t="shared" si="3"/>
        <v>96486.137980252097</v>
      </c>
      <c r="T87" s="36">
        <f t="shared" si="4"/>
        <v>18332.366216247898</v>
      </c>
      <c r="U87" s="19">
        <v>0</v>
      </c>
      <c r="V87" s="36">
        <f t="shared" si="5"/>
        <v>114818.5041965</v>
      </c>
    </row>
    <row r="88" spans="1:22" ht="23.4" thickBot="1" x14ac:dyDescent="0.35">
      <c r="A88" s="30" t="s">
        <v>144</v>
      </c>
      <c r="B88" s="31">
        <v>2</v>
      </c>
      <c r="C88" s="32" t="s">
        <v>15</v>
      </c>
      <c r="D88" s="31" t="s">
        <v>91</v>
      </c>
      <c r="E88" s="31" t="s">
        <v>81</v>
      </c>
      <c r="F88" s="32" t="s">
        <v>92</v>
      </c>
      <c r="G88" s="31" t="s">
        <v>19</v>
      </c>
      <c r="H88" s="31">
        <v>643.80999999999995</v>
      </c>
      <c r="I88" s="31">
        <v>1.89</v>
      </c>
      <c r="J88" s="31">
        <v>1.87</v>
      </c>
      <c r="K88" s="34">
        <v>0.98499999999999999</v>
      </c>
      <c r="L88" s="31">
        <v>22.99</v>
      </c>
      <c r="M88" s="19">
        <f>H88*INDEX('Pliegos Tarifarios (Huechuraba)'!$B:$B,MATCH($B88,'Pliegos Tarifarios (Huechuraba)'!$A:$A,0))</f>
        <v>76509.092779999992</v>
      </c>
      <c r="N88" s="19">
        <f>I88*INDEX('Pliegos Tarifarios (Huechuraba)'!$C:$C,MATCH($B88,'Pliegos Tarifarios (Huechuraba)'!$A:$A,0))</f>
        <v>6483.9870899999996</v>
      </c>
      <c r="O88" s="19">
        <f>J88*INDEX('Pliegos Tarifarios (Huechuraba)'!$D:$D,MATCH($B88,'Pliegos Tarifarios (Huechuraba)'!$A:$A,0))</f>
        <v>26408.469120000002</v>
      </c>
      <c r="P88" s="19">
        <f>H88*INDEX('Pliegos Tarifarios (Huechuraba)'!$E:$E,MATCH($B88,'Pliegos Tarifarios (Huechuraba)'!$A:$A,0))</f>
        <v>8325.7509200000004</v>
      </c>
      <c r="Q88" s="19" cm="1">
        <f t="array" ref="Q88">H88*_xlfn.IFS(H88&lt;=350,INDEX('Pliegos Tarifarios (Huechuraba)'!$F:$F,MATCH($B88,'Pliegos Tarifarios (Huechuraba)'!$A:$A,0)),H88&lt;=500,INDEX('Pliegos Tarifarios (Huechuraba)'!$G:$G,MATCH($B88,'Pliegos Tarifarios (Huechuraba)'!$A:$A,0)),H88&lt;=1000,INDEX('Pliegos Tarifarios (Huechuraba)'!$H:$H,MATCH($B88,'Pliegos Tarifarios (Huechuraba)'!$A:$A,0)),H88&lt;=5000,INDEX('Pliegos Tarifarios (Huechuraba)'!$I:$I,MATCH($B88,'Pliegos Tarifarios (Huechuraba)'!$A:$A,0)),H88&gt;5000,INDEX('Pliegos Tarifarios (Huechuraba)'!$J:$J,MATCH($B88,'Pliegos Tarifarios (Huechuraba)'!$A:$A,0)))/1.19</f>
        <v>1509.9779075630254</v>
      </c>
      <c r="R88" s="19">
        <f>INDEX('Pliegos Tarifarios (Huechuraba)'!$K:$K,MATCH($B88,'Pliegos Tarifarios (Huechuraba)'!$A:$A,0))</f>
        <v>709.36099999999999</v>
      </c>
      <c r="S88" s="36">
        <f t="shared" si="3"/>
        <v>119946.63881756301</v>
      </c>
      <c r="T88" s="36">
        <f t="shared" si="4"/>
        <v>22789.861375336972</v>
      </c>
      <c r="U88" s="19">
        <v>0</v>
      </c>
      <c r="V88" s="36">
        <f t="shared" si="5"/>
        <v>142736.50019289998</v>
      </c>
    </row>
    <row r="89" spans="1:22" ht="23.4" thickBot="1" x14ac:dyDescent="0.35">
      <c r="A89" s="30" t="s">
        <v>144</v>
      </c>
      <c r="B89" s="31">
        <v>2</v>
      </c>
      <c r="C89" s="32" t="s">
        <v>15</v>
      </c>
      <c r="D89" s="31" t="s">
        <v>93</v>
      </c>
      <c r="E89" s="31" t="s">
        <v>94</v>
      </c>
      <c r="F89" s="32" t="s">
        <v>95</v>
      </c>
      <c r="G89" s="31" t="s">
        <v>19</v>
      </c>
      <c r="H89" s="31">
        <v>515.4</v>
      </c>
      <c r="I89" s="31">
        <v>1.54</v>
      </c>
      <c r="J89" s="31">
        <v>1.54</v>
      </c>
      <c r="K89" s="34">
        <v>1</v>
      </c>
      <c r="L89" s="31">
        <v>18.41</v>
      </c>
      <c r="M89" s="19">
        <f>H89*INDEX('Pliegos Tarifarios (Huechuraba)'!$B:$B,MATCH($B89,'Pliegos Tarifarios (Huechuraba)'!$A:$A,0))</f>
        <v>61249.105199999991</v>
      </c>
      <c r="N89" s="19">
        <f>I89*INDEX('Pliegos Tarifarios (Huechuraba)'!$C:$C,MATCH($B89,'Pliegos Tarifarios (Huechuraba)'!$A:$A,0))</f>
        <v>5283.24874</v>
      </c>
      <c r="O89" s="19">
        <f>J89*INDEX('Pliegos Tarifarios (Huechuraba)'!$D:$D,MATCH($B89,'Pliegos Tarifarios (Huechuraba)'!$A:$A,0))</f>
        <v>21748.151040000001</v>
      </c>
      <c r="P89" s="19">
        <f>H89*INDEX('Pliegos Tarifarios (Huechuraba)'!$E:$E,MATCH($B89,'Pliegos Tarifarios (Huechuraba)'!$A:$A,0))</f>
        <v>6665.1527999999998</v>
      </c>
      <c r="Q89" s="19" cm="1">
        <f t="array" ref="Q89">H89*_xlfn.IFS(H89&lt;=350,INDEX('Pliegos Tarifarios (Huechuraba)'!$F:$F,MATCH($B89,'Pliegos Tarifarios (Huechuraba)'!$A:$A,0)),H89&lt;=500,INDEX('Pliegos Tarifarios (Huechuraba)'!$G:$G,MATCH($B89,'Pliegos Tarifarios (Huechuraba)'!$A:$A,0)),H89&lt;=1000,INDEX('Pliegos Tarifarios (Huechuraba)'!$H:$H,MATCH($B89,'Pliegos Tarifarios (Huechuraba)'!$A:$A,0)),H89&lt;=5000,INDEX('Pliegos Tarifarios (Huechuraba)'!$I:$I,MATCH($B89,'Pliegos Tarifarios (Huechuraba)'!$A:$A,0)),H89&gt;5000,INDEX('Pliegos Tarifarios (Huechuraba)'!$J:$J,MATCH($B89,'Pliegos Tarifarios (Huechuraba)'!$A:$A,0)))/1.19</f>
        <v>1208.807899159664</v>
      </c>
      <c r="R89" s="19">
        <f>INDEX('Pliegos Tarifarios (Huechuraba)'!$K:$K,MATCH($B89,'Pliegos Tarifarios (Huechuraba)'!$A:$A,0))</f>
        <v>709.36099999999999</v>
      </c>
      <c r="S89" s="36">
        <f t="shared" si="3"/>
        <v>96863.826679159654</v>
      </c>
      <c r="T89" s="36">
        <f t="shared" si="4"/>
        <v>18404.127069040336</v>
      </c>
      <c r="U89" s="19">
        <v>0</v>
      </c>
      <c r="V89" s="36">
        <f t="shared" si="5"/>
        <v>115267.95374819999</v>
      </c>
    </row>
    <row r="90" spans="1:22" ht="23.4" thickBot="1" x14ac:dyDescent="0.35">
      <c r="A90" s="30" t="s">
        <v>144</v>
      </c>
      <c r="B90" s="31">
        <v>2</v>
      </c>
      <c r="C90" s="32" t="s">
        <v>15</v>
      </c>
      <c r="D90" s="31" t="s">
        <v>96</v>
      </c>
      <c r="E90" s="31" t="s">
        <v>97</v>
      </c>
      <c r="F90" s="32" t="s">
        <v>98</v>
      </c>
      <c r="G90" s="31" t="s">
        <v>19</v>
      </c>
      <c r="H90" s="31">
        <v>776.99</v>
      </c>
      <c r="I90" s="31">
        <v>2.31</v>
      </c>
      <c r="J90" s="31">
        <v>2.29</v>
      </c>
      <c r="K90" s="34">
        <v>0.99299999999999999</v>
      </c>
      <c r="L90" s="31">
        <v>27.75</v>
      </c>
      <c r="M90" s="19">
        <f>H90*INDEX('Pliegos Tarifarios (Huechuraba)'!$B:$B,MATCH($B90,'Pliegos Tarifarios (Huechuraba)'!$A:$A,0))</f>
        <v>92335.937619999997</v>
      </c>
      <c r="N90" s="19">
        <f>I90*INDEX('Pliegos Tarifarios (Huechuraba)'!$C:$C,MATCH($B90,'Pliegos Tarifarios (Huechuraba)'!$A:$A,0))</f>
        <v>7924.8731100000005</v>
      </c>
      <c r="O90" s="19">
        <f>J90*INDEX('Pliegos Tarifarios (Huechuraba)'!$D:$D,MATCH($B90,'Pliegos Tarifarios (Huechuraba)'!$A:$A,0))</f>
        <v>32339.783039999998</v>
      </c>
      <c r="P90" s="19">
        <f>H90*INDEX('Pliegos Tarifarios (Huechuraba)'!$E:$E,MATCH($B90,'Pliegos Tarifarios (Huechuraba)'!$A:$A,0))</f>
        <v>10048.034680000001</v>
      </c>
      <c r="Q90" s="19" cm="1">
        <f t="array" ref="Q90">H90*_xlfn.IFS(H90&lt;=350,INDEX('Pliegos Tarifarios (Huechuraba)'!$F:$F,MATCH($B90,'Pliegos Tarifarios (Huechuraba)'!$A:$A,0)),H90&lt;=500,INDEX('Pliegos Tarifarios (Huechuraba)'!$G:$G,MATCH($B90,'Pliegos Tarifarios (Huechuraba)'!$A:$A,0)),H90&lt;=1000,INDEX('Pliegos Tarifarios (Huechuraba)'!$H:$H,MATCH($B90,'Pliegos Tarifarios (Huechuraba)'!$A:$A,0)),H90&lt;=5000,INDEX('Pliegos Tarifarios (Huechuraba)'!$I:$I,MATCH($B90,'Pliegos Tarifarios (Huechuraba)'!$A:$A,0)),H90&gt;5000,INDEX('Pliegos Tarifarios (Huechuraba)'!$J:$J,MATCH($B90,'Pliegos Tarifarios (Huechuraba)'!$A:$A,0)))/1.19</f>
        <v>1822.3353697478994</v>
      </c>
      <c r="R90" s="19">
        <f>INDEX('Pliegos Tarifarios (Huechuraba)'!$K:$K,MATCH($B90,'Pliegos Tarifarios (Huechuraba)'!$A:$A,0))</f>
        <v>709.36099999999999</v>
      </c>
      <c r="S90" s="36">
        <f t="shared" si="3"/>
        <v>145180.32481974791</v>
      </c>
      <c r="T90" s="36">
        <f t="shared" si="4"/>
        <v>27584.261715752102</v>
      </c>
      <c r="U90" s="19">
        <v>0</v>
      </c>
      <c r="V90" s="36">
        <f t="shared" si="5"/>
        <v>172764.58653550001</v>
      </c>
    </row>
    <row r="91" spans="1:22" ht="23.4" thickBot="1" x14ac:dyDescent="0.35">
      <c r="A91" s="30" t="s">
        <v>144</v>
      </c>
      <c r="B91" s="31">
        <v>2</v>
      </c>
      <c r="C91" s="32" t="s">
        <v>15</v>
      </c>
      <c r="D91" s="31" t="s">
        <v>99</v>
      </c>
      <c r="E91" s="31" t="s">
        <v>94</v>
      </c>
      <c r="F91" s="32" t="s">
        <v>100</v>
      </c>
      <c r="G91" s="31" t="s">
        <v>19</v>
      </c>
      <c r="H91" s="31">
        <v>777.72</v>
      </c>
      <c r="I91" s="31">
        <v>2.33</v>
      </c>
      <c r="J91" s="31">
        <v>2.2999999999999998</v>
      </c>
      <c r="K91" s="34">
        <v>0.98899999999999999</v>
      </c>
      <c r="L91" s="31">
        <v>27.78</v>
      </c>
      <c r="M91" s="19">
        <f>H91*INDEX('Pliegos Tarifarios (Huechuraba)'!$B:$B,MATCH($B91,'Pliegos Tarifarios (Huechuraba)'!$A:$A,0))</f>
        <v>92422.689360000004</v>
      </c>
      <c r="N91" s="19">
        <f>I91*INDEX('Pliegos Tarifarios (Huechuraba)'!$C:$C,MATCH($B91,'Pliegos Tarifarios (Huechuraba)'!$A:$A,0))</f>
        <v>7993.4867300000005</v>
      </c>
      <c r="O91" s="19">
        <f>J91*INDEX('Pliegos Tarifarios (Huechuraba)'!$D:$D,MATCH($B91,'Pliegos Tarifarios (Huechuraba)'!$A:$A,0))</f>
        <v>32481.004799999995</v>
      </c>
      <c r="P91" s="19">
        <f>H91*INDEX('Pliegos Tarifarios (Huechuraba)'!$E:$E,MATCH($B91,'Pliegos Tarifarios (Huechuraba)'!$A:$A,0))</f>
        <v>10057.475040000001</v>
      </c>
      <c r="Q91" s="19" cm="1">
        <f t="array" ref="Q91">H91*_xlfn.IFS(H91&lt;=350,INDEX('Pliegos Tarifarios (Huechuraba)'!$F:$F,MATCH($B91,'Pliegos Tarifarios (Huechuraba)'!$A:$A,0)),H91&lt;=500,INDEX('Pliegos Tarifarios (Huechuraba)'!$G:$G,MATCH($B91,'Pliegos Tarifarios (Huechuraba)'!$A:$A,0)),H91&lt;=1000,INDEX('Pliegos Tarifarios (Huechuraba)'!$H:$H,MATCH($B91,'Pliegos Tarifarios (Huechuraba)'!$A:$A,0)),H91&lt;=5000,INDEX('Pliegos Tarifarios (Huechuraba)'!$I:$I,MATCH($B91,'Pliegos Tarifarios (Huechuraba)'!$A:$A,0)),H91&gt;5000,INDEX('Pliegos Tarifarios (Huechuraba)'!$J:$J,MATCH($B91,'Pliegos Tarifarios (Huechuraba)'!$A:$A,0)))/1.19</f>
        <v>1824.0474957983199</v>
      </c>
      <c r="R91" s="19">
        <f>INDEX('Pliegos Tarifarios (Huechuraba)'!$K:$K,MATCH($B91,'Pliegos Tarifarios (Huechuraba)'!$A:$A,0))</f>
        <v>709.36099999999999</v>
      </c>
      <c r="S91" s="36">
        <f t="shared" si="3"/>
        <v>145488.06442579834</v>
      </c>
      <c r="T91" s="36">
        <f t="shared" si="4"/>
        <v>27642.732240901685</v>
      </c>
      <c r="U91" s="19">
        <v>0</v>
      </c>
      <c r="V91" s="36">
        <f t="shared" si="5"/>
        <v>173130.79666670001</v>
      </c>
    </row>
    <row r="92" spans="1:22" ht="23.4" thickBot="1" x14ac:dyDescent="0.35">
      <c r="A92" s="30" t="s">
        <v>144</v>
      </c>
      <c r="B92" s="31">
        <v>2</v>
      </c>
      <c r="C92" s="32" t="s">
        <v>15</v>
      </c>
      <c r="D92" s="31" t="s">
        <v>101</v>
      </c>
      <c r="E92" s="31" t="s">
        <v>102</v>
      </c>
      <c r="F92" s="32" t="s">
        <v>103</v>
      </c>
      <c r="G92" s="31" t="s">
        <v>19</v>
      </c>
      <c r="H92" s="33">
        <v>2068.5700000000002</v>
      </c>
      <c r="I92" s="31">
        <v>6.22</v>
      </c>
      <c r="J92" s="31">
        <v>6.22</v>
      </c>
      <c r="K92" s="34">
        <v>1</v>
      </c>
      <c r="L92" s="31">
        <v>73.88</v>
      </c>
      <c r="M92" s="19">
        <f>H92*INDEX('Pliegos Tarifarios (Huechuraba)'!$B:$B,MATCH($B92,'Pliegos Tarifarios (Huechuraba)'!$A:$A,0))</f>
        <v>245824.72166000001</v>
      </c>
      <c r="N92" s="19">
        <f>I92*INDEX('Pliegos Tarifarios (Huechuraba)'!$C:$C,MATCH($B92,'Pliegos Tarifarios (Huechuraba)'!$A:$A,0))</f>
        <v>21338.83582</v>
      </c>
      <c r="O92" s="19">
        <f>J92*INDEX('Pliegos Tarifarios (Huechuraba)'!$D:$D,MATCH($B92,'Pliegos Tarifarios (Huechuraba)'!$A:$A,0))</f>
        <v>87839.93471999999</v>
      </c>
      <c r="P92" s="19">
        <f>H92*INDEX('Pliegos Tarifarios (Huechuraba)'!$E:$E,MATCH($B92,'Pliegos Tarifarios (Huechuraba)'!$A:$A,0))</f>
        <v>26750.747240000004</v>
      </c>
      <c r="Q92" s="19" cm="1">
        <f t="array" ref="Q92">H92*_xlfn.IFS(H92&lt;=350,INDEX('Pliegos Tarifarios (Huechuraba)'!$F:$F,MATCH($B92,'Pliegos Tarifarios (Huechuraba)'!$A:$A,0)),H92&lt;=500,INDEX('Pliegos Tarifarios (Huechuraba)'!$G:$G,MATCH($B92,'Pliegos Tarifarios (Huechuraba)'!$A:$A,0)),H92&lt;=1000,INDEX('Pliegos Tarifarios (Huechuraba)'!$H:$H,MATCH($B92,'Pliegos Tarifarios (Huechuraba)'!$A:$A,0)),H92&lt;=5000,INDEX('Pliegos Tarifarios (Huechuraba)'!$I:$I,MATCH($B92,'Pliegos Tarifarios (Huechuraba)'!$A:$A,0)),H92&gt;5000,INDEX('Pliegos Tarifarios (Huechuraba)'!$J:$J,MATCH($B92,'Pliegos Tarifarios (Huechuraba)'!$A:$A,0)))/1.19</f>
        <v>6207.4482941176475</v>
      </c>
      <c r="R92" s="19">
        <f>INDEX('Pliegos Tarifarios (Huechuraba)'!$K:$K,MATCH($B92,'Pliegos Tarifarios (Huechuraba)'!$A:$A,0))</f>
        <v>709.36099999999999</v>
      </c>
      <c r="S92" s="36">
        <f t="shared" si="3"/>
        <v>388671.04873411759</v>
      </c>
      <c r="T92" s="36">
        <f t="shared" si="4"/>
        <v>73847.499259482342</v>
      </c>
      <c r="U92" s="19">
        <v>0</v>
      </c>
      <c r="V92" s="36">
        <f t="shared" si="5"/>
        <v>462518.5479935999</v>
      </c>
    </row>
    <row r="93" spans="1:22" ht="23.4" thickBot="1" x14ac:dyDescent="0.35">
      <c r="A93" s="30" t="s">
        <v>144</v>
      </c>
      <c r="B93" s="31">
        <v>2</v>
      </c>
      <c r="C93" s="32" t="s">
        <v>15</v>
      </c>
      <c r="D93" s="31" t="s">
        <v>104</v>
      </c>
      <c r="E93" s="31" t="s">
        <v>105</v>
      </c>
      <c r="F93" s="32" t="s">
        <v>106</v>
      </c>
      <c r="G93" s="31" t="s">
        <v>19</v>
      </c>
      <c r="H93" s="33">
        <v>1551.43</v>
      </c>
      <c r="I93" s="31">
        <v>4.6100000000000003</v>
      </c>
      <c r="J93" s="31">
        <v>4.5599999999999996</v>
      </c>
      <c r="K93" s="34">
        <v>0.98899999999999999</v>
      </c>
      <c r="L93" s="31">
        <v>55.41</v>
      </c>
      <c r="M93" s="19">
        <f>H93*INDEX('Pliegos Tarifarios (Huechuraba)'!$B:$B,MATCH($B93,'Pliegos Tarifarios (Huechuraba)'!$A:$A,0))</f>
        <v>184368.83833999999</v>
      </c>
      <c r="N93" s="19">
        <f>I93*INDEX('Pliegos Tarifarios (Huechuraba)'!$C:$C,MATCH($B93,'Pliegos Tarifarios (Huechuraba)'!$A:$A,0))</f>
        <v>15815.439410000001</v>
      </c>
      <c r="O93" s="19">
        <f>J93*INDEX('Pliegos Tarifarios (Huechuraba)'!$D:$D,MATCH($B93,'Pliegos Tarifarios (Huechuraba)'!$A:$A,0))</f>
        <v>64397.122559999989</v>
      </c>
      <c r="P93" s="19">
        <f>H93*INDEX('Pliegos Tarifarios (Huechuraba)'!$E:$E,MATCH($B93,'Pliegos Tarifarios (Huechuraba)'!$A:$A,0))</f>
        <v>20063.092760000003</v>
      </c>
      <c r="Q93" s="19" cm="1">
        <f t="array" ref="Q93">H93*_xlfn.IFS(H93&lt;=350,INDEX('Pliegos Tarifarios (Huechuraba)'!$F:$F,MATCH($B93,'Pliegos Tarifarios (Huechuraba)'!$A:$A,0)),H93&lt;=500,INDEX('Pliegos Tarifarios (Huechuraba)'!$G:$G,MATCH($B93,'Pliegos Tarifarios (Huechuraba)'!$A:$A,0)),H93&lt;=1000,INDEX('Pliegos Tarifarios (Huechuraba)'!$H:$H,MATCH($B93,'Pliegos Tarifarios (Huechuraba)'!$A:$A,0)),H93&lt;=5000,INDEX('Pliegos Tarifarios (Huechuraba)'!$I:$I,MATCH($B93,'Pliegos Tarifarios (Huechuraba)'!$A:$A,0)),H93&gt;5000,INDEX('Pliegos Tarifarios (Huechuraba)'!$J:$J,MATCH($B93,'Pliegos Tarifarios (Huechuraba)'!$A:$A,0)))/1.19</f>
        <v>4655.5937226890765</v>
      </c>
      <c r="R93" s="19">
        <f>INDEX('Pliegos Tarifarios (Huechuraba)'!$K:$K,MATCH($B93,'Pliegos Tarifarios (Huechuraba)'!$A:$A,0))</f>
        <v>709.36099999999999</v>
      </c>
      <c r="S93" s="36">
        <f t="shared" si="3"/>
        <v>290009.44779268902</v>
      </c>
      <c r="T93" s="36">
        <f t="shared" si="4"/>
        <v>55101.795080610915</v>
      </c>
      <c r="U93" s="19">
        <v>0</v>
      </c>
      <c r="V93" s="36">
        <f t="shared" si="5"/>
        <v>345111.24287329993</v>
      </c>
    </row>
    <row r="94" spans="1:22" ht="23.4" thickBot="1" x14ac:dyDescent="0.35">
      <c r="A94" s="30" t="s">
        <v>144</v>
      </c>
      <c r="B94" s="31">
        <v>2</v>
      </c>
      <c r="C94" s="32" t="s">
        <v>15</v>
      </c>
      <c r="D94" s="31" t="s">
        <v>107</v>
      </c>
      <c r="E94" s="31" t="s">
        <v>108</v>
      </c>
      <c r="F94" s="32" t="s">
        <v>109</v>
      </c>
      <c r="G94" s="31" t="s">
        <v>33</v>
      </c>
      <c r="H94" s="31">
        <v>515.72</v>
      </c>
      <c r="I94" s="31">
        <v>1.58</v>
      </c>
      <c r="J94" s="31">
        <v>1.53</v>
      </c>
      <c r="K94" s="34">
        <v>0.96699999999999997</v>
      </c>
      <c r="L94" s="31">
        <v>18.420000000000002</v>
      </c>
      <c r="M94" s="19">
        <f>H94*INDEX('Pliegos Tarifarios (Huechuraba)'!$B:$B,MATCH($B94,'Pliegos Tarifarios (Huechuraba)'!$A:$A,0))</f>
        <v>61287.13336</v>
      </c>
      <c r="N94" s="19">
        <f>I94*INDEX('Pliegos Tarifarios (Huechuraba)'!$C:$C,MATCH($B94,'Pliegos Tarifarios (Huechuraba)'!$A:$A,0))</f>
        <v>5420.4759800000002</v>
      </c>
      <c r="O94" s="19">
        <f>J94*INDEX('Pliegos Tarifarios (Huechuraba)'!$D:$D,MATCH($B94,'Pliegos Tarifarios (Huechuraba)'!$A:$A,0))</f>
        <v>21606.92928</v>
      </c>
      <c r="P94" s="19">
        <f>H94*INDEX('Pliegos Tarifarios (Huechuraba)'!$E:$E,MATCH($B94,'Pliegos Tarifarios (Huechuraba)'!$A:$A,0))</f>
        <v>6669.291040000001</v>
      </c>
      <c r="Q94" s="19" cm="1">
        <f t="array" ref="Q94">H94*_xlfn.IFS(H94&lt;=350,INDEX('Pliegos Tarifarios (Huechuraba)'!$F:$F,MATCH($B94,'Pliegos Tarifarios (Huechuraba)'!$A:$A,0)),H94&lt;=500,INDEX('Pliegos Tarifarios (Huechuraba)'!$G:$G,MATCH($B94,'Pliegos Tarifarios (Huechuraba)'!$A:$A,0)),H94&lt;=1000,INDEX('Pliegos Tarifarios (Huechuraba)'!$H:$H,MATCH($B94,'Pliegos Tarifarios (Huechuraba)'!$A:$A,0)),H94&lt;=5000,INDEX('Pliegos Tarifarios (Huechuraba)'!$I:$I,MATCH($B94,'Pliegos Tarifarios (Huechuraba)'!$A:$A,0)),H94&gt;5000,INDEX('Pliegos Tarifarios (Huechuraba)'!$J:$J,MATCH($B94,'Pliegos Tarifarios (Huechuraba)'!$A:$A,0)))/1.19</f>
        <v>1209.5584201680676</v>
      </c>
      <c r="R94" s="19">
        <f>INDEX('Pliegos Tarifarios (Huechuraba)'!$K:$K,MATCH($B94,'Pliegos Tarifarios (Huechuraba)'!$A:$A,0))</f>
        <v>709.36099999999999</v>
      </c>
      <c r="S94" s="36">
        <f t="shared" si="3"/>
        <v>96902.749080168054</v>
      </c>
      <c r="T94" s="36">
        <f t="shared" si="4"/>
        <v>18411.52232523193</v>
      </c>
      <c r="U94" s="19">
        <v>0</v>
      </c>
      <c r="V94" s="36">
        <f t="shared" si="5"/>
        <v>115314.27140539998</v>
      </c>
    </row>
    <row r="95" spans="1:22" ht="23.4" thickBot="1" x14ac:dyDescent="0.35">
      <c r="A95" s="30" t="s">
        <v>144</v>
      </c>
      <c r="B95" s="31">
        <v>2</v>
      </c>
      <c r="C95" s="32" t="s">
        <v>15</v>
      </c>
      <c r="D95" s="31" t="s">
        <v>110</v>
      </c>
      <c r="E95" s="31" t="s">
        <v>108</v>
      </c>
      <c r="F95" s="32" t="s">
        <v>111</v>
      </c>
      <c r="G95" s="31" t="s">
        <v>33</v>
      </c>
      <c r="H95" s="31">
        <v>950.15</v>
      </c>
      <c r="I95" s="31">
        <v>2.81</v>
      </c>
      <c r="J95" s="31">
        <v>2.81</v>
      </c>
      <c r="K95" s="34">
        <v>1</v>
      </c>
      <c r="L95" s="31">
        <v>33.93</v>
      </c>
      <c r="M95" s="19">
        <f>H95*INDEX('Pliegos Tarifarios (Huechuraba)'!$B:$B,MATCH($B95,'Pliegos Tarifarios (Huechuraba)'!$A:$A,0))</f>
        <v>112913.92569999999</v>
      </c>
      <c r="N95" s="19">
        <f>I95*INDEX('Pliegos Tarifarios (Huechuraba)'!$C:$C,MATCH($B95,'Pliegos Tarifarios (Huechuraba)'!$A:$A,0))</f>
        <v>9640.2136100000007</v>
      </c>
      <c r="O95" s="19">
        <f>J95*INDEX('Pliegos Tarifarios (Huechuraba)'!$D:$D,MATCH($B95,'Pliegos Tarifarios (Huechuraba)'!$A:$A,0))</f>
        <v>39683.314559999999</v>
      </c>
      <c r="P95" s="19">
        <f>H95*INDEX('Pliegos Tarifarios (Huechuraba)'!$E:$E,MATCH($B95,'Pliegos Tarifarios (Huechuraba)'!$A:$A,0))</f>
        <v>12287.3398</v>
      </c>
      <c r="Q95" s="19" cm="1">
        <f t="array" ref="Q95">H95*_xlfn.IFS(H95&lt;=350,INDEX('Pliegos Tarifarios (Huechuraba)'!$F:$F,MATCH($B95,'Pliegos Tarifarios (Huechuraba)'!$A:$A,0)),H95&lt;=500,INDEX('Pliegos Tarifarios (Huechuraba)'!$G:$G,MATCH($B95,'Pliegos Tarifarios (Huechuraba)'!$A:$A,0)),H95&lt;=1000,INDEX('Pliegos Tarifarios (Huechuraba)'!$H:$H,MATCH($B95,'Pliegos Tarifarios (Huechuraba)'!$A:$A,0)),H95&lt;=5000,INDEX('Pliegos Tarifarios (Huechuraba)'!$I:$I,MATCH($B95,'Pliegos Tarifarios (Huechuraba)'!$A:$A,0)),H95&gt;5000,INDEX('Pliegos Tarifarios (Huechuraba)'!$J:$J,MATCH($B95,'Pliegos Tarifarios (Huechuraba)'!$A:$A,0)))/1.19</f>
        <v>2228.4610504201682</v>
      </c>
      <c r="R95" s="19">
        <f>INDEX('Pliegos Tarifarios (Huechuraba)'!$K:$K,MATCH($B95,'Pliegos Tarifarios (Huechuraba)'!$A:$A,0))</f>
        <v>709.36099999999999</v>
      </c>
      <c r="S95" s="36">
        <f t="shared" si="3"/>
        <v>177462.61572042014</v>
      </c>
      <c r="T95" s="36">
        <f t="shared" si="4"/>
        <v>33717.89698687983</v>
      </c>
      <c r="U95" s="19">
        <v>0</v>
      </c>
      <c r="V95" s="36">
        <f t="shared" si="5"/>
        <v>211180.51270729996</v>
      </c>
    </row>
    <row r="96" spans="1:22" ht="23.4" thickBot="1" x14ac:dyDescent="0.35">
      <c r="A96" s="30" t="s">
        <v>144</v>
      </c>
      <c r="B96" s="31">
        <v>2</v>
      </c>
      <c r="C96" s="32" t="s">
        <v>15</v>
      </c>
      <c r="D96" s="31" t="s">
        <v>112</v>
      </c>
      <c r="E96" s="31" t="s">
        <v>113</v>
      </c>
      <c r="F96" s="32" t="s">
        <v>114</v>
      </c>
      <c r="G96" s="31" t="s">
        <v>33</v>
      </c>
      <c r="H96" s="31">
        <v>344.81</v>
      </c>
      <c r="I96" s="31">
        <v>1.02</v>
      </c>
      <c r="J96" s="31">
        <v>1.01</v>
      </c>
      <c r="K96" s="34">
        <v>0.99199999999999999</v>
      </c>
      <c r="L96" s="31">
        <v>12.31</v>
      </c>
      <c r="M96" s="19">
        <f>H96*INDEX('Pliegos Tarifarios (Huechuraba)'!$B:$B,MATCH($B96,'Pliegos Tarifarios (Huechuraba)'!$A:$A,0))</f>
        <v>40976.530780000001</v>
      </c>
      <c r="N96" s="19">
        <f>I96*INDEX('Pliegos Tarifarios (Huechuraba)'!$C:$C,MATCH($B96,'Pliegos Tarifarios (Huechuraba)'!$A:$A,0))</f>
        <v>3499.2946200000001</v>
      </c>
      <c r="O96" s="19">
        <f>J96*INDEX('Pliegos Tarifarios (Huechuraba)'!$D:$D,MATCH($B96,'Pliegos Tarifarios (Huechuraba)'!$A:$A,0))</f>
        <v>14263.39776</v>
      </c>
      <c r="P96" s="19">
        <f>H96*INDEX('Pliegos Tarifarios (Huechuraba)'!$E:$E,MATCH($B96,'Pliegos Tarifarios (Huechuraba)'!$A:$A,0))</f>
        <v>4459.0829199999998</v>
      </c>
      <c r="Q96" s="19" cm="1">
        <f t="array" ref="Q96">H96*_xlfn.IFS(H96&lt;=350,INDEX('Pliegos Tarifarios (Huechuraba)'!$F:$F,MATCH($B96,'Pliegos Tarifarios (Huechuraba)'!$A:$A,0)),H96&lt;=500,INDEX('Pliegos Tarifarios (Huechuraba)'!$G:$G,MATCH($B96,'Pliegos Tarifarios (Huechuraba)'!$A:$A,0)),H96&lt;=1000,INDEX('Pliegos Tarifarios (Huechuraba)'!$H:$H,MATCH($B96,'Pliegos Tarifarios (Huechuraba)'!$A:$A,0)),H96&lt;=5000,INDEX('Pliegos Tarifarios (Huechuraba)'!$I:$I,MATCH($B96,'Pliegos Tarifarios (Huechuraba)'!$A:$A,0)),H96&gt;5000,INDEX('Pliegos Tarifarios (Huechuraba)'!$J:$J,MATCH($B96,'Pliegos Tarifarios (Huechuraba)'!$A:$A,0)))/1.19</f>
        <v>227.16894117647061</v>
      </c>
      <c r="R96" s="19">
        <f>INDEX('Pliegos Tarifarios (Huechuraba)'!$K:$K,MATCH($B96,'Pliegos Tarifarios (Huechuraba)'!$A:$A,0))</f>
        <v>709.36099999999999</v>
      </c>
      <c r="S96" s="36">
        <f t="shared" si="3"/>
        <v>64134.836021176467</v>
      </c>
      <c r="T96" s="36">
        <f t="shared" si="4"/>
        <v>12185.618844023529</v>
      </c>
      <c r="U96" s="19">
        <v>0</v>
      </c>
      <c r="V96" s="36">
        <f t="shared" si="5"/>
        <v>76320.454865199994</v>
      </c>
    </row>
    <row r="97" spans="1:22" ht="23.4" thickBot="1" x14ac:dyDescent="0.35">
      <c r="A97" s="30" t="s">
        <v>144</v>
      </c>
      <c r="B97" s="31">
        <v>2</v>
      </c>
      <c r="C97" s="32" t="s">
        <v>15</v>
      </c>
      <c r="D97" s="31" t="s">
        <v>115</v>
      </c>
      <c r="E97" s="31" t="s">
        <v>116</v>
      </c>
      <c r="F97" s="32" t="s">
        <v>117</v>
      </c>
      <c r="G97" s="31" t="s">
        <v>33</v>
      </c>
      <c r="H97" s="31">
        <v>387.75</v>
      </c>
      <c r="I97" s="31">
        <v>1.1399999999999999</v>
      </c>
      <c r="J97" s="31">
        <v>1.1399999999999999</v>
      </c>
      <c r="K97" s="34">
        <v>0.999</v>
      </c>
      <c r="L97" s="31">
        <v>13.85</v>
      </c>
      <c r="M97" s="19">
        <f>H97*INDEX('Pliegos Tarifarios (Huechuraba)'!$B:$B,MATCH($B97,'Pliegos Tarifarios (Huechuraba)'!$A:$A,0))</f>
        <v>46079.434499999996</v>
      </c>
      <c r="N97" s="19">
        <f>I97*INDEX('Pliegos Tarifarios (Huechuraba)'!$C:$C,MATCH($B97,'Pliegos Tarifarios (Huechuraba)'!$A:$A,0))</f>
        <v>3910.9763399999997</v>
      </c>
      <c r="O97" s="19">
        <f>J97*INDEX('Pliegos Tarifarios (Huechuraba)'!$D:$D,MATCH($B97,'Pliegos Tarifarios (Huechuraba)'!$A:$A,0))</f>
        <v>16099.280639999997</v>
      </c>
      <c r="P97" s="19">
        <f>H97*INDEX('Pliegos Tarifarios (Huechuraba)'!$E:$E,MATCH($B97,'Pliegos Tarifarios (Huechuraba)'!$A:$A,0))</f>
        <v>5014.3829999999998</v>
      </c>
      <c r="Q97" s="19" cm="1">
        <f t="array" ref="Q97">H97*_xlfn.IFS(H97&lt;=350,INDEX('Pliegos Tarifarios (Huechuraba)'!$F:$F,MATCH($B97,'Pliegos Tarifarios (Huechuraba)'!$A:$A,0)),H97&lt;=500,INDEX('Pliegos Tarifarios (Huechuraba)'!$G:$G,MATCH($B97,'Pliegos Tarifarios (Huechuraba)'!$A:$A,0)),H97&lt;=1000,INDEX('Pliegos Tarifarios (Huechuraba)'!$H:$H,MATCH($B97,'Pliegos Tarifarios (Huechuraba)'!$A:$A,0)),H97&lt;=5000,INDEX('Pliegos Tarifarios (Huechuraba)'!$I:$I,MATCH($B97,'Pliegos Tarifarios (Huechuraba)'!$A:$A,0)),H97&gt;5000,INDEX('Pliegos Tarifarios (Huechuraba)'!$J:$J,MATCH($B97,'Pliegos Tarifarios (Huechuraba)'!$A:$A,0)))/1.19</f>
        <v>546.10840336134459</v>
      </c>
      <c r="R97" s="19">
        <f>INDEX('Pliegos Tarifarios (Huechuraba)'!$K:$K,MATCH($B97,'Pliegos Tarifarios (Huechuraba)'!$A:$A,0))</f>
        <v>709.36099999999999</v>
      </c>
      <c r="S97" s="36">
        <f t="shared" si="3"/>
        <v>72359.543883361344</v>
      </c>
      <c r="T97" s="36">
        <f t="shared" si="4"/>
        <v>13748.313337838656</v>
      </c>
      <c r="U97" s="19">
        <v>0</v>
      </c>
      <c r="V97" s="36">
        <f t="shared" si="5"/>
        <v>86107.8572212</v>
      </c>
    </row>
    <row r="98" spans="1:22" ht="23.4" thickBot="1" x14ac:dyDescent="0.35">
      <c r="A98" s="30" t="s">
        <v>144</v>
      </c>
      <c r="B98" s="31">
        <v>2</v>
      </c>
      <c r="C98" s="32" t="s">
        <v>15</v>
      </c>
      <c r="D98" s="31" t="s">
        <v>118</v>
      </c>
      <c r="E98" s="31" t="s">
        <v>119</v>
      </c>
      <c r="F98" s="32" t="s">
        <v>120</v>
      </c>
      <c r="G98" s="31" t="s">
        <v>33</v>
      </c>
      <c r="H98" s="31">
        <v>64.59</v>
      </c>
      <c r="I98" s="31">
        <v>0.19</v>
      </c>
      <c r="J98" s="31">
        <v>0.19</v>
      </c>
      <c r="K98" s="34">
        <v>0.96399999999999997</v>
      </c>
      <c r="L98" s="31">
        <v>2.31</v>
      </c>
      <c r="M98" s="19">
        <f>H98*INDEX('Pliegos Tarifarios (Huechuraba)'!$B:$B,MATCH($B98,'Pliegos Tarifarios (Huechuraba)'!$A:$A,0))</f>
        <v>7675.7464200000004</v>
      </c>
      <c r="N98" s="19">
        <f>I98*INDEX('Pliegos Tarifarios (Huechuraba)'!$C:$C,MATCH($B98,'Pliegos Tarifarios (Huechuraba)'!$A:$A,0))</f>
        <v>651.82938999999999</v>
      </c>
      <c r="O98" s="19">
        <f>J98*INDEX('Pliegos Tarifarios (Huechuraba)'!$D:$D,MATCH($B98,'Pliegos Tarifarios (Huechuraba)'!$A:$A,0))</f>
        <v>2683.21344</v>
      </c>
      <c r="P98" s="19">
        <f>H98*INDEX('Pliegos Tarifarios (Huechuraba)'!$E:$E,MATCH($B98,'Pliegos Tarifarios (Huechuraba)'!$A:$A,0))</f>
        <v>835.2778800000001</v>
      </c>
      <c r="Q98" s="19" cm="1">
        <f t="array" ref="Q98">H98*_xlfn.IFS(H98&lt;=350,INDEX('Pliegos Tarifarios (Huechuraba)'!$F:$F,MATCH($B98,'Pliegos Tarifarios (Huechuraba)'!$A:$A,0)),H98&lt;=500,INDEX('Pliegos Tarifarios (Huechuraba)'!$G:$G,MATCH($B98,'Pliegos Tarifarios (Huechuraba)'!$A:$A,0)),H98&lt;=1000,INDEX('Pliegos Tarifarios (Huechuraba)'!$H:$H,MATCH($B98,'Pliegos Tarifarios (Huechuraba)'!$A:$A,0)),H98&lt;=5000,INDEX('Pliegos Tarifarios (Huechuraba)'!$I:$I,MATCH($B98,'Pliegos Tarifarios (Huechuraba)'!$A:$A,0)),H98&gt;5000,INDEX('Pliegos Tarifarios (Huechuraba)'!$J:$J,MATCH($B98,'Pliegos Tarifarios (Huechuraba)'!$A:$A,0)))/1.19</f>
        <v>42.553411764705892</v>
      </c>
      <c r="R98" s="19">
        <f>INDEX('Pliegos Tarifarios (Huechuraba)'!$K:$K,MATCH($B98,'Pliegos Tarifarios (Huechuraba)'!$A:$A,0))</f>
        <v>709.36099999999999</v>
      </c>
      <c r="S98" s="36">
        <f t="shared" si="3"/>
        <v>12597.981541764706</v>
      </c>
      <c r="T98" s="36">
        <f t="shared" si="4"/>
        <v>2393.616492935294</v>
      </c>
      <c r="U98" s="19">
        <v>0</v>
      </c>
      <c r="V98" s="36">
        <f t="shared" si="5"/>
        <v>14991.5980347</v>
      </c>
    </row>
    <row r="99" spans="1:22" ht="23.4" thickBot="1" x14ac:dyDescent="0.35">
      <c r="A99" s="30" t="s">
        <v>144</v>
      </c>
      <c r="B99" s="31">
        <v>2</v>
      </c>
      <c r="C99" s="32" t="s">
        <v>15</v>
      </c>
      <c r="D99" s="31" t="s">
        <v>121</v>
      </c>
      <c r="E99" s="31" t="s">
        <v>119</v>
      </c>
      <c r="F99" s="32" t="s">
        <v>122</v>
      </c>
      <c r="G99" s="31" t="s">
        <v>33</v>
      </c>
      <c r="H99" s="31">
        <v>64.69</v>
      </c>
      <c r="I99" s="31">
        <v>0.2</v>
      </c>
      <c r="J99" s="31">
        <v>0.19</v>
      </c>
      <c r="K99" s="34">
        <v>0.98599999999999999</v>
      </c>
      <c r="L99" s="31">
        <v>2.31</v>
      </c>
      <c r="M99" s="19">
        <f>H99*INDEX('Pliegos Tarifarios (Huechuraba)'!$B:$B,MATCH($B99,'Pliegos Tarifarios (Huechuraba)'!$A:$A,0))</f>
        <v>7687.6302199999991</v>
      </c>
      <c r="N99" s="19">
        <f>I99*INDEX('Pliegos Tarifarios (Huechuraba)'!$C:$C,MATCH($B99,'Pliegos Tarifarios (Huechuraba)'!$A:$A,0))</f>
        <v>686.13620000000003</v>
      </c>
      <c r="O99" s="19">
        <f>J99*INDEX('Pliegos Tarifarios (Huechuraba)'!$D:$D,MATCH($B99,'Pliegos Tarifarios (Huechuraba)'!$A:$A,0))</f>
        <v>2683.21344</v>
      </c>
      <c r="P99" s="19">
        <f>H99*INDEX('Pliegos Tarifarios (Huechuraba)'!$E:$E,MATCH($B99,'Pliegos Tarifarios (Huechuraba)'!$A:$A,0))</f>
        <v>836.57108000000005</v>
      </c>
      <c r="Q99" s="19" cm="1">
        <f t="array" ref="Q99">H99*_xlfn.IFS(H99&lt;=350,INDEX('Pliegos Tarifarios (Huechuraba)'!$F:$F,MATCH($B99,'Pliegos Tarifarios (Huechuraba)'!$A:$A,0)),H99&lt;=500,INDEX('Pliegos Tarifarios (Huechuraba)'!$G:$G,MATCH($B99,'Pliegos Tarifarios (Huechuraba)'!$A:$A,0)),H99&lt;=1000,INDEX('Pliegos Tarifarios (Huechuraba)'!$H:$H,MATCH($B99,'Pliegos Tarifarios (Huechuraba)'!$A:$A,0)),H99&lt;=5000,INDEX('Pliegos Tarifarios (Huechuraba)'!$I:$I,MATCH($B99,'Pliegos Tarifarios (Huechuraba)'!$A:$A,0)),H99&gt;5000,INDEX('Pliegos Tarifarios (Huechuraba)'!$J:$J,MATCH($B99,'Pliegos Tarifarios (Huechuraba)'!$A:$A,0)))/1.19</f>
        <v>42.619294117647058</v>
      </c>
      <c r="R99" s="19">
        <f>INDEX('Pliegos Tarifarios (Huechuraba)'!$K:$K,MATCH($B99,'Pliegos Tarifarios (Huechuraba)'!$A:$A,0))</f>
        <v>709.36099999999999</v>
      </c>
      <c r="S99" s="36">
        <f t="shared" si="3"/>
        <v>12645.531234117647</v>
      </c>
      <c r="T99" s="36">
        <f t="shared" si="4"/>
        <v>2402.650934482353</v>
      </c>
      <c r="U99" s="19">
        <v>0</v>
      </c>
      <c r="V99" s="36">
        <f t="shared" si="5"/>
        <v>15048.1821686</v>
      </c>
    </row>
    <row r="100" spans="1:22" ht="23.4" thickBot="1" x14ac:dyDescent="0.35">
      <c r="A100" s="30" t="s">
        <v>144</v>
      </c>
      <c r="B100" s="31">
        <v>2</v>
      </c>
      <c r="C100" s="32" t="s">
        <v>15</v>
      </c>
      <c r="D100" s="31" t="s">
        <v>123</v>
      </c>
      <c r="E100" s="31" t="s">
        <v>124</v>
      </c>
      <c r="F100" s="32" t="s">
        <v>125</v>
      </c>
      <c r="G100" s="31" t="s">
        <v>33</v>
      </c>
      <c r="H100" s="31">
        <v>64.84</v>
      </c>
      <c r="I100" s="31">
        <v>0.19</v>
      </c>
      <c r="J100" s="31">
        <v>0.19</v>
      </c>
      <c r="K100" s="34">
        <v>0.997</v>
      </c>
      <c r="L100" s="31">
        <v>2.3199999999999998</v>
      </c>
      <c r="M100" s="19">
        <f>H100*INDEX('Pliegos Tarifarios (Huechuraba)'!$B:$B,MATCH($B100,'Pliegos Tarifarios (Huechuraba)'!$A:$A,0))</f>
        <v>7705.4559200000003</v>
      </c>
      <c r="N100" s="19">
        <f>I100*INDEX('Pliegos Tarifarios (Huechuraba)'!$C:$C,MATCH($B100,'Pliegos Tarifarios (Huechuraba)'!$A:$A,0))</f>
        <v>651.82938999999999</v>
      </c>
      <c r="O100" s="19">
        <f>J100*INDEX('Pliegos Tarifarios (Huechuraba)'!$D:$D,MATCH($B100,'Pliegos Tarifarios (Huechuraba)'!$A:$A,0))</f>
        <v>2683.21344</v>
      </c>
      <c r="P100" s="19">
        <f>H100*INDEX('Pliegos Tarifarios (Huechuraba)'!$E:$E,MATCH($B100,'Pliegos Tarifarios (Huechuraba)'!$A:$A,0))</f>
        <v>838.51088000000004</v>
      </c>
      <c r="Q100" s="19" cm="1">
        <f t="array" ref="Q100">H100*_xlfn.IFS(H100&lt;=350,INDEX('Pliegos Tarifarios (Huechuraba)'!$F:$F,MATCH($B100,'Pliegos Tarifarios (Huechuraba)'!$A:$A,0)),H100&lt;=500,INDEX('Pliegos Tarifarios (Huechuraba)'!$G:$G,MATCH($B100,'Pliegos Tarifarios (Huechuraba)'!$A:$A,0)),H100&lt;=1000,INDEX('Pliegos Tarifarios (Huechuraba)'!$H:$H,MATCH($B100,'Pliegos Tarifarios (Huechuraba)'!$A:$A,0)),H100&lt;=5000,INDEX('Pliegos Tarifarios (Huechuraba)'!$I:$I,MATCH($B100,'Pliegos Tarifarios (Huechuraba)'!$A:$A,0)),H100&gt;5000,INDEX('Pliegos Tarifarios (Huechuraba)'!$J:$J,MATCH($B100,'Pliegos Tarifarios (Huechuraba)'!$A:$A,0)))/1.19</f>
        <v>42.718117647058826</v>
      </c>
      <c r="R100" s="19">
        <f>INDEX('Pliegos Tarifarios (Huechuraba)'!$K:$K,MATCH($B100,'Pliegos Tarifarios (Huechuraba)'!$A:$A,0))</f>
        <v>709.36099999999999</v>
      </c>
      <c r="S100" s="36">
        <f t="shared" si="3"/>
        <v>12631.08874764706</v>
      </c>
      <c r="T100" s="36">
        <f t="shared" si="4"/>
        <v>2399.9068620529415</v>
      </c>
      <c r="U100" s="19">
        <v>0</v>
      </c>
      <c r="V100" s="36">
        <f t="shared" si="5"/>
        <v>15030.995609700001</v>
      </c>
    </row>
    <row r="101" spans="1:22" ht="23.4" thickBot="1" x14ac:dyDescent="0.35">
      <c r="A101" s="30" t="s">
        <v>144</v>
      </c>
      <c r="B101" s="31">
        <v>2</v>
      </c>
      <c r="C101" s="32" t="s">
        <v>15</v>
      </c>
      <c r="D101" s="31" t="s">
        <v>126</v>
      </c>
      <c r="E101" s="31" t="s">
        <v>124</v>
      </c>
      <c r="F101" s="32" t="s">
        <v>127</v>
      </c>
      <c r="G101" s="31" t="s">
        <v>33</v>
      </c>
      <c r="H101" s="31">
        <v>107.7</v>
      </c>
      <c r="I101" s="31">
        <v>0.34</v>
      </c>
      <c r="J101" s="31">
        <v>0.32</v>
      </c>
      <c r="K101" s="34">
        <v>0.93600000000000005</v>
      </c>
      <c r="L101" s="31">
        <v>3.85</v>
      </c>
      <c r="M101" s="19">
        <f>H101*INDEX('Pliegos Tarifarios (Huechuraba)'!$B:$B,MATCH($B101,'Pliegos Tarifarios (Huechuraba)'!$A:$A,0))</f>
        <v>12798.8526</v>
      </c>
      <c r="N101" s="19">
        <f>I101*INDEX('Pliegos Tarifarios (Huechuraba)'!$C:$C,MATCH($B101,'Pliegos Tarifarios (Huechuraba)'!$A:$A,0))</f>
        <v>1166.43154</v>
      </c>
      <c r="O101" s="19">
        <f>J101*INDEX('Pliegos Tarifarios (Huechuraba)'!$D:$D,MATCH($B101,'Pliegos Tarifarios (Huechuraba)'!$A:$A,0))</f>
        <v>4519.0963199999997</v>
      </c>
      <c r="P101" s="19">
        <f>H101*INDEX('Pliegos Tarifarios (Huechuraba)'!$E:$E,MATCH($B101,'Pliegos Tarifarios (Huechuraba)'!$A:$A,0))</f>
        <v>1392.7764</v>
      </c>
      <c r="Q101" s="19" cm="1">
        <f t="array" ref="Q101">H101*_xlfn.IFS(H101&lt;=350,INDEX('Pliegos Tarifarios (Huechuraba)'!$F:$F,MATCH($B101,'Pliegos Tarifarios (Huechuraba)'!$A:$A,0)),H101&lt;=500,INDEX('Pliegos Tarifarios (Huechuraba)'!$G:$G,MATCH($B101,'Pliegos Tarifarios (Huechuraba)'!$A:$A,0)),H101&lt;=1000,INDEX('Pliegos Tarifarios (Huechuraba)'!$H:$H,MATCH($B101,'Pliegos Tarifarios (Huechuraba)'!$A:$A,0)),H101&lt;=5000,INDEX('Pliegos Tarifarios (Huechuraba)'!$I:$I,MATCH($B101,'Pliegos Tarifarios (Huechuraba)'!$A:$A,0)),H101&gt;5000,INDEX('Pliegos Tarifarios (Huechuraba)'!$J:$J,MATCH($B101,'Pliegos Tarifarios (Huechuraba)'!$A:$A,0)))/1.19</f>
        <v>70.955294117647071</v>
      </c>
      <c r="R101" s="19">
        <f>INDEX('Pliegos Tarifarios (Huechuraba)'!$K:$K,MATCH($B101,'Pliegos Tarifarios (Huechuraba)'!$A:$A,0))</f>
        <v>709.36099999999999</v>
      </c>
      <c r="S101" s="36">
        <f t="shared" si="3"/>
        <v>20657.473154117648</v>
      </c>
      <c r="T101" s="36">
        <f t="shared" si="4"/>
        <v>3924.9198992823531</v>
      </c>
      <c r="U101" s="19">
        <v>0</v>
      </c>
      <c r="V101" s="36">
        <f t="shared" si="5"/>
        <v>24582.393053400003</v>
      </c>
    </row>
    <row r="102" spans="1:22" ht="23.4" thickBot="1" x14ac:dyDescent="0.35">
      <c r="A102" s="30" t="s">
        <v>144</v>
      </c>
      <c r="B102" s="31">
        <v>2</v>
      </c>
      <c r="C102" s="32" t="s">
        <v>15</v>
      </c>
      <c r="D102" s="31" t="s">
        <v>128</v>
      </c>
      <c r="E102" s="31" t="s">
        <v>124</v>
      </c>
      <c r="F102" s="32" t="s">
        <v>129</v>
      </c>
      <c r="G102" s="31" t="s">
        <v>33</v>
      </c>
      <c r="H102" s="31">
        <v>64.78</v>
      </c>
      <c r="I102" s="31">
        <v>0.19</v>
      </c>
      <c r="J102" s="31">
        <v>0.19</v>
      </c>
      <c r="K102" s="34">
        <v>1</v>
      </c>
      <c r="L102" s="31">
        <v>2.31</v>
      </c>
      <c r="M102" s="19">
        <f>H102*INDEX('Pliegos Tarifarios (Huechuraba)'!$B:$B,MATCH($B102,'Pliegos Tarifarios (Huechuraba)'!$A:$A,0))</f>
        <v>7698.32564</v>
      </c>
      <c r="N102" s="19">
        <f>I102*INDEX('Pliegos Tarifarios (Huechuraba)'!$C:$C,MATCH($B102,'Pliegos Tarifarios (Huechuraba)'!$A:$A,0))</f>
        <v>651.82938999999999</v>
      </c>
      <c r="O102" s="19">
        <f>J102*INDEX('Pliegos Tarifarios (Huechuraba)'!$D:$D,MATCH($B102,'Pliegos Tarifarios (Huechuraba)'!$A:$A,0))</f>
        <v>2683.21344</v>
      </c>
      <c r="P102" s="19">
        <f>H102*INDEX('Pliegos Tarifarios (Huechuraba)'!$E:$E,MATCH($B102,'Pliegos Tarifarios (Huechuraba)'!$A:$A,0))</f>
        <v>837.73496</v>
      </c>
      <c r="Q102" s="19" cm="1">
        <f t="array" ref="Q102">H102*_xlfn.IFS(H102&lt;=350,INDEX('Pliegos Tarifarios (Huechuraba)'!$F:$F,MATCH($B102,'Pliegos Tarifarios (Huechuraba)'!$A:$A,0)),H102&lt;=500,INDEX('Pliegos Tarifarios (Huechuraba)'!$G:$G,MATCH($B102,'Pliegos Tarifarios (Huechuraba)'!$A:$A,0)),H102&lt;=1000,INDEX('Pliegos Tarifarios (Huechuraba)'!$H:$H,MATCH($B102,'Pliegos Tarifarios (Huechuraba)'!$A:$A,0)),H102&lt;=5000,INDEX('Pliegos Tarifarios (Huechuraba)'!$I:$I,MATCH($B102,'Pliegos Tarifarios (Huechuraba)'!$A:$A,0)),H102&gt;5000,INDEX('Pliegos Tarifarios (Huechuraba)'!$J:$J,MATCH($B102,'Pliegos Tarifarios (Huechuraba)'!$A:$A,0)))/1.19</f>
        <v>42.678588235294121</v>
      </c>
      <c r="R102" s="19">
        <f>INDEX('Pliegos Tarifarios (Huechuraba)'!$K:$K,MATCH($B102,'Pliegos Tarifarios (Huechuraba)'!$A:$A,0))</f>
        <v>709.36099999999999</v>
      </c>
      <c r="S102" s="36">
        <f t="shared" si="3"/>
        <v>12623.143018235294</v>
      </c>
      <c r="T102" s="36">
        <f t="shared" si="4"/>
        <v>2398.3971734647062</v>
      </c>
      <c r="U102" s="19">
        <v>0</v>
      </c>
      <c r="V102" s="36">
        <f t="shared" si="5"/>
        <v>15021.5401917</v>
      </c>
    </row>
    <row r="103" spans="1:22" ht="23.4" thickBot="1" x14ac:dyDescent="0.35">
      <c r="A103" s="30" t="s">
        <v>144</v>
      </c>
      <c r="B103" s="31">
        <v>2</v>
      </c>
      <c r="C103" s="32" t="s">
        <v>15</v>
      </c>
      <c r="D103" s="31" t="s">
        <v>130</v>
      </c>
      <c r="E103" s="31" t="s">
        <v>124</v>
      </c>
      <c r="F103" s="32" t="s">
        <v>131</v>
      </c>
      <c r="G103" s="31" t="s">
        <v>33</v>
      </c>
      <c r="H103" s="31">
        <v>64.760000000000005</v>
      </c>
      <c r="I103" s="31">
        <v>0.19</v>
      </c>
      <c r="J103" s="31">
        <v>0.19</v>
      </c>
      <c r="K103" s="34">
        <v>0.99399999999999999</v>
      </c>
      <c r="L103" s="31">
        <v>2.31</v>
      </c>
      <c r="M103" s="19">
        <f>H103*INDEX('Pliegos Tarifarios (Huechuraba)'!$B:$B,MATCH($B103,'Pliegos Tarifarios (Huechuraba)'!$A:$A,0))</f>
        <v>7695.9488799999999</v>
      </c>
      <c r="N103" s="19">
        <f>I103*INDEX('Pliegos Tarifarios (Huechuraba)'!$C:$C,MATCH($B103,'Pliegos Tarifarios (Huechuraba)'!$A:$A,0))</f>
        <v>651.82938999999999</v>
      </c>
      <c r="O103" s="19">
        <f>J103*INDEX('Pliegos Tarifarios (Huechuraba)'!$D:$D,MATCH($B103,'Pliegos Tarifarios (Huechuraba)'!$A:$A,0))</f>
        <v>2683.21344</v>
      </c>
      <c r="P103" s="19">
        <f>H103*INDEX('Pliegos Tarifarios (Huechuraba)'!$E:$E,MATCH($B103,'Pliegos Tarifarios (Huechuraba)'!$A:$A,0))</f>
        <v>837.4763200000001</v>
      </c>
      <c r="Q103" s="19" cm="1">
        <f t="array" ref="Q103">H103*_xlfn.IFS(H103&lt;=350,INDEX('Pliegos Tarifarios (Huechuraba)'!$F:$F,MATCH($B103,'Pliegos Tarifarios (Huechuraba)'!$A:$A,0)),H103&lt;=500,INDEX('Pliegos Tarifarios (Huechuraba)'!$G:$G,MATCH($B103,'Pliegos Tarifarios (Huechuraba)'!$A:$A,0)),H103&lt;=1000,INDEX('Pliegos Tarifarios (Huechuraba)'!$H:$H,MATCH($B103,'Pliegos Tarifarios (Huechuraba)'!$A:$A,0)),H103&lt;=5000,INDEX('Pliegos Tarifarios (Huechuraba)'!$I:$I,MATCH($B103,'Pliegos Tarifarios (Huechuraba)'!$A:$A,0)),H103&gt;5000,INDEX('Pliegos Tarifarios (Huechuraba)'!$J:$J,MATCH($B103,'Pliegos Tarifarios (Huechuraba)'!$A:$A,0)))/1.19</f>
        <v>42.665411764705887</v>
      </c>
      <c r="R103" s="19">
        <f>INDEX('Pliegos Tarifarios (Huechuraba)'!$K:$K,MATCH($B103,'Pliegos Tarifarios (Huechuraba)'!$A:$A,0))</f>
        <v>709.36099999999999</v>
      </c>
      <c r="S103" s="36">
        <f t="shared" si="3"/>
        <v>12620.494441764708</v>
      </c>
      <c r="T103" s="36">
        <f t="shared" si="4"/>
        <v>2397.8939439352944</v>
      </c>
      <c r="U103" s="19">
        <v>0</v>
      </c>
      <c r="V103" s="36">
        <f t="shared" si="5"/>
        <v>15018.388385700002</v>
      </c>
    </row>
    <row r="104" spans="1:22" ht="23.4" thickBot="1" x14ac:dyDescent="0.35">
      <c r="A104" s="30" t="s">
        <v>144</v>
      </c>
      <c r="B104" s="31">
        <v>2</v>
      </c>
      <c r="C104" s="32" t="s">
        <v>15</v>
      </c>
      <c r="D104" s="31" t="s">
        <v>132</v>
      </c>
      <c r="E104" s="31" t="s">
        <v>124</v>
      </c>
      <c r="F104" s="32" t="s">
        <v>133</v>
      </c>
      <c r="G104" s="31" t="s">
        <v>33</v>
      </c>
      <c r="H104" s="31">
        <v>64.7</v>
      </c>
      <c r="I104" s="31">
        <v>0.19</v>
      </c>
      <c r="J104" s="31">
        <v>0.19</v>
      </c>
      <c r="K104" s="34">
        <v>1</v>
      </c>
      <c r="L104" s="31">
        <v>2.31</v>
      </c>
      <c r="M104" s="19">
        <f>H104*INDEX('Pliegos Tarifarios (Huechuraba)'!$B:$B,MATCH($B104,'Pliegos Tarifarios (Huechuraba)'!$A:$A,0))</f>
        <v>7688.8185999999996</v>
      </c>
      <c r="N104" s="19">
        <f>I104*INDEX('Pliegos Tarifarios (Huechuraba)'!$C:$C,MATCH($B104,'Pliegos Tarifarios (Huechuraba)'!$A:$A,0))</f>
        <v>651.82938999999999</v>
      </c>
      <c r="O104" s="19">
        <f>J104*INDEX('Pliegos Tarifarios (Huechuraba)'!$D:$D,MATCH($B104,'Pliegos Tarifarios (Huechuraba)'!$A:$A,0))</f>
        <v>2683.21344</v>
      </c>
      <c r="P104" s="19">
        <f>H104*INDEX('Pliegos Tarifarios (Huechuraba)'!$E:$E,MATCH($B104,'Pliegos Tarifarios (Huechuraba)'!$A:$A,0))</f>
        <v>836.70040000000006</v>
      </c>
      <c r="Q104" s="19" cm="1">
        <f t="array" ref="Q104">H104*_xlfn.IFS(H104&lt;=350,INDEX('Pliegos Tarifarios (Huechuraba)'!$F:$F,MATCH($B104,'Pliegos Tarifarios (Huechuraba)'!$A:$A,0)),H104&lt;=500,INDEX('Pliegos Tarifarios (Huechuraba)'!$G:$G,MATCH($B104,'Pliegos Tarifarios (Huechuraba)'!$A:$A,0)),H104&lt;=1000,INDEX('Pliegos Tarifarios (Huechuraba)'!$H:$H,MATCH($B104,'Pliegos Tarifarios (Huechuraba)'!$A:$A,0)),H104&lt;=5000,INDEX('Pliegos Tarifarios (Huechuraba)'!$I:$I,MATCH($B104,'Pliegos Tarifarios (Huechuraba)'!$A:$A,0)),H104&gt;5000,INDEX('Pliegos Tarifarios (Huechuraba)'!$J:$J,MATCH($B104,'Pliegos Tarifarios (Huechuraba)'!$A:$A,0)))/1.19</f>
        <v>42.625882352941183</v>
      </c>
      <c r="R104" s="19">
        <f>INDEX('Pliegos Tarifarios (Huechuraba)'!$K:$K,MATCH($B104,'Pliegos Tarifarios (Huechuraba)'!$A:$A,0))</f>
        <v>709.36099999999999</v>
      </c>
      <c r="S104" s="36">
        <f t="shared" si="3"/>
        <v>12612.54871235294</v>
      </c>
      <c r="T104" s="36">
        <f t="shared" si="4"/>
        <v>2396.3842553470586</v>
      </c>
      <c r="U104" s="19">
        <v>0</v>
      </c>
      <c r="V104" s="36">
        <f t="shared" si="5"/>
        <v>15008.932967699999</v>
      </c>
    </row>
    <row r="105" spans="1:22" ht="23.4" thickBot="1" x14ac:dyDescent="0.35">
      <c r="A105" s="30" t="s">
        <v>144</v>
      </c>
      <c r="B105" s="31">
        <v>2</v>
      </c>
      <c r="C105" s="32" t="s">
        <v>15</v>
      </c>
      <c r="D105" s="31" t="s">
        <v>134</v>
      </c>
      <c r="E105" s="31" t="s">
        <v>124</v>
      </c>
      <c r="F105" s="32" t="s">
        <v>135</v>
      </c>
      <c r="G105" s="31" t="s">
        <v>33</v>
      </c>
      <c r="H105" s="31">
        <v>129.26</v>
      </c>
      <c r="I105" s="31">
        <v>0.38</v>
      </c>
      <c r="J105" s="31">
        <v>0.38</v>
      </c>
      <c r="K105" s="34">
        <v>0.98099999999999998</v>
      </c>
      <c r="L105" s="31">
        <v>4.62</v>
      </c>
      <c r="M105" s="19">
        <f>H105*INDEX('Pliegos Tarifarios (Huechuraba)'!$B:$B,MATCH($B105,'Pliegos Tarifarios (Huechuraba)'!$A:$A,0))</f>
        <v>15360.999879999998</v>
      </c>
      <c r="N105" s="19">
        <f>I105*INDEX('Pliegos Tarifarios (Huechuraba)'!$C:$C,MATCH($B105,'Pliegos Tarifarios (Huechuraba)'!$A:$A,0))</f>
        <v>1303.65878</v>
      </c>
      <c r="O105" s="19">
        <f>J105*INDEX('Pliegos Tarifarios (Huechuraba)'!$D:$D,MATCH($B105,'Pliegos Tarifarios (Huechuraba)'!$A:$A,0))</f>
        <v>5366.42688</v>
      </c>
      <c r="P105" s="19">
        <f>H105*INDEX('Pliegos Tarifarios (Huechuraba)'!$E:$E,MATCH($B105,'Pliegos Tarifarios (Huechuraba)'!$A:$A,0))</f>
        <v>1671.59032</v>
      </c>
      <c r="Q105" s="19" cm="1">
        <f t="array" ref="Q105">H105*_xlfn.IFS(H105&lt;=350,INDEX('Pliegos Tarifarios (Huechuraba)'!$F:$F,MATCH($B105,'Pliegos Tarifarios (Huechuraba)'!$A:$A,0)),H105&lt;=500,INDEX('Pliegos Tarifarios (Huechuraba)'!$G:$G,MATCH($B105,'Pliegos Tarifarios (Huechuraba)'!$A:$A,0)),H105&lt;=1000,INDEX('Pliegos Tarifarios (Huechuraba)'!$H:$H,MATCH($B105,'Pliegos Tarifarios (Huechuraba)'!$A:$A,0)),H105&lt;=5000,INDEX('Pliegos Tarifarios (Huechuraba)'!$I:$I,MATCH($B105,'Pliegos Tarifarios (Huechuraba)'!$A:$A,0)),H105&gt;5000,INDEX('Pliegos Tarifarios (Huechuraba)'!$J:$J,MATCH($B105,'Pliegos Tarifarios (Huechuraba)'!$A:$A,0)))/1.19</f>
        <v>85.159529411764709</v>
      </c>
      <c r="R105" s="19">
        <f>INDEX('Pliegos Tarifarios (Huechuraba)'!$K:$K,MATCH($B105,'Pliegos Tarifarios (Huechuraba)'!$A:$A,0))</f>
        <v>709.36099999999999</v>
      </c>
      <c r="S105" s="36">
        <f t="shared" si="3"/>
        <v>24497.196389411762</v>
      </c>
      <c r="T105" s="36">
        <f t="shared" si="4"/>
        <v>4654.4673139882343</v>
      </c>
      <c r="U105" s="19">
        <v>0</v>
      </c>
      <c r="V105" s="36">
        <f t="shared" si="5"/>
        <v>29151.663703399994</v>
      </c>
    </row>
    <row r="106" spans="1:22" ht="23.4" thickBot="1" x14ac:dyDescent="0.35">
      <c r="A106" s="30" t="s">
        <v>144</v>
      </c>
      <c r="B106" s="31">
        <v>2</v>
      </c>
      <c r="C106" s="32" t="s">
        <v>15</v>
      </c>
      <c r="D106" s="31" t="s">
        <v>136</v>
      </c>
      <c r="E106" s="31" t="s">
        <v>124</v>
      </c>
      <c r="F106" s="32" t="s">
        <v>137</v>
      </c>
      <c r="G106" s="31" t="s">
        <v>33</v>
      </c>
      <c r="H106" s="31">
        <v>129.38</v>
      </c>
      <c r="I106" s="31">
        <v>0.39</v>
      </c>
      <c r="J106" s="31">
        <v>0.38</v>
      </c>
      <c r="K106" s="34">
        <v>0.98</v>
      </c>
      <c r="L106" s="31">
        <v>4.62</v>
      </c>
      <c r="M106" s="19">
        <f>H106*INDEX('Pliegos Tarifarios (Huechuraba)'!$B:$B,MATCH($B106,'Pliegos Tarifarios (Huechuraba)'!$A:$A,0))</f>
        <v>15375.260439999998</v>
      </c>
      <c r="N106" s="19">
        <f>I106*INDEX('Pliegos Tarifarios (Huechuraba)'!$C:$C,MATCH($B106,'Pliegos Tarifarios (Huechuraba)'!$A:$A,0))</f>
        <v>1337.96559</v>
      </c>
      <c r="O106" s="19">
        <f>J106*INDEX('Pliegos Tarifarios (Huechuraba)'!$D:$D,MATCH($B106,'Pliegos Tarifarios (Huechuraba)'!$A:$A,0))</f>
        <v>5366.42688</v>
      </c>
      <c r="P106" s="19">
        <f>H106*INDEX('Pliegos Tarifarios (Huechuraba)'!$E:$E,MATCH($B106,'Pliegos Tarifarios (Huechuraba)'!$A:$A,0))</f>
        <v>1673.1421600000001</v>
      </c>
      <c r="Q106" s="19" cm="1">
        <f t="array" ref="Q106">H106*_xlfn.IFS(H106&lt;=350,INDEX('Pliegos Tarifarios (Huechuraba)'!$F:$F,MATCH($B106,'Pliegos Tarifarios (Huechuraba)'!$A:$A,0)),H106&lt;=500,INDEX('Pliegos Tarifarios (Huechuraba)'!$G:$G,MATCH($B106,'Pliegos Tarifarios (Huechuraba)'!$A:$A,0)),H106&lt;=1000,INDEX('Pliegos Tarifarios (Huechuraba)'!$H:$H,MATCH($B106,'Pliegos Tarifarios (Huechuraba)'!$A:$A,0)),H106&lt;=5000,INDEX('Pliegos Tarifarios (Huechuraba)'!$I:$I,MATCH($B106,'Pliegos Tarifarios (Huechuraba)'!$A:$A,0)),H106&gt;5000,INDEX('Pliegos Tarifarios (Huechuraba)'!$J:$J,MATCH($B106,'Pliegos Tarifarios (Huechuraba)'!$A:$A,0)))/1.19</f>
        <v>85.238588235294117</v>
      </c>
      <c r="R106" s="19">
        <f>INDEX('Pliegos Tarifarios (Huechuraba)'!$K:$K,MATCH($B106,'Pliegos Tarifarios (Huechuraba)'!$A:$A,0))</f>
        <v>709.36099999999999</v>
      </c>
      <c r="S106" s="36">
        <f t="shared" si="3"/>
        <v>24547.394658235291</v>
      </c>
      <c r="T106" s="36">
        <f t="shared" si="4"/>
        <v>4664.0049850647056</v>
      </c>
      <c r="U106" s="19">
        <v>0</v>
      </c>
      <c r="V106" s="36">
        <f t="shared" si="5"/>
        <v>29211.399643299996</v>
      </c>
    </row>
    <row r="107" spans="1:22" ht="23.4" thickBot="1" x14ac:dyDescent="0.35">
      <c r="A107" s="30" t="s">
        <v>144</v>
      </c>
      <c r="B107" s="31">
        <v>2</v>
      </c>
      <c r="C107" s="32" t="s">
        <v>15</v>
      </c>
      <c r="D107" s="31" t="s">
        <v>138</v>
      </c>
      <c r="E107" s="31" t="s">
        <v>124</v>
      </c>
      <c r="F107" s="32" t="s">
        <v>139</v>
      </c>
      <c r="G107" s="31" t="s">
        <v>33</v>
      </c>
      <c r="H107" s="31">
        <v>129.54</v>
      </c>
      <c r="I107" s="31">
        <v>0.39</v>
      </c>
      <c r="J107" s="31">
        <v>0.38</v>
      </c>
      <c r="K107" s="34">
        <v>0.97599999999999998</v>
      </c>
      <c r="L107" s="31">
        <v>4.63</v>
      </c>
      <c r="M107" s="19">
        <f>H107*INDEX('Pliegos Tarifarios (Huechuraba)'!$B:$B,MATCH($B107,'Pliegos Tarifarios (Huechuraba)'!$A:$A,0))</f>
        <v>15394.274519999999</v>
      </c>
      <c r="N107" s="19">
        <f>I107*INDEX('Pliegos Tarifarios (Huechuraba)'!$C:$C,MATCH($B107,'Pliegos Tarifarios (Huechuraba)'!$A:$A,0))</f>
        <v>1337.96559</v>
      </c>
      <c r="O107" s="19">
        <f>J107*INDEX('Pliegos Tarifarios (Huechuraba)'!$D:$D,MATCH($B107,'Pliegos Tarifarios (Huechuraba)'!$A:$A,0))</f>
        <v>5366.42688</v>
      </c>
      <c r="P107" s="19">
        <f>H107*INDEX('Pliegos Tarifarios (Huechuraba)'!$E:$E,MATCH($B107,'Pliegos Tarifarios (Huechuraba)'!$A:$A,0))</f>
        <v>1675.21128</v>
      </c>
      <c r="Q107" s="19" cm="1">
        <f t="array" ref="Q107">H107*_xlfn.IFS(H107&lt;=350,INDEX('Pliegos Tarifarios (Huechuraba)'!$F:$F,MATCH($B107,'Pliegos Tarifarios (Huechuraba)'!$A:$A,0)),H107&lt;=500,INDEX('Pliegos Tarifarios (Huechuraba)'!$G:$G,MATCH($B107,'Pliegos Tarifarios (Huechuraba)'!$A:$A,0)),H107&lt;=1000,INDEX('Pliegos Tarifarios (Huechuraba)'!$H:$H,MATCH($B107,'Pliegos Tarifarios (Huechuraba)'!$A:$A,0)),H107&lt;=5000,INDEX('Pliegos Tarifarios (Huechuraba)'!$I:$I,MATCH($B107,'Pliegos Tarifarios (Huechuraba)'!$A:$A,0)),H107&gt;5000,INDEX('Pliegos Tarifarios (Huechuraba)'!$J:$J,MATCH($B107,'Pliegos Tarifarios (Huechuraba)'!$A:$A,0)))/1.19</f>
        <v>85.344000000000008</v>
      </c>
      <c r="R107" s="19">
        <f>INDEX('Pliegos Tarifarios (Huechuraba)'!$K:$K,MATCH($B107,'Pliegos Tarifarios (Huechuraba)'!$A:$A,0))</f>
        <v>709.36099999999999</v>
      </c>
      <c r="S107" s="36">
        <f t="shared" si="3"/>
        <v>24568.583269999999</v>
      </c>
      <c r="T107" s="36">
        <f t="shared" si="4"/>
        <v>4668.0308212999998</v>
      </c>
      <c r="U107" s="19">
        <v>0</v>
      </c>
      <c r="V107" s="36">
        <f t="shared" si="5"/>
        <v>29236.614091299998</v>
      </c>
    </row>
    <row r="108" spans="1:22" ht="23.4" thickBot="1" x14ac:dyDescent="0.35">
      <c r="A108" s="30" t="s">
        <v>144</v>
      </c>
      <c r="B108" s="31">
        <v>2</v>
      </c>
      <c r="C108" s="32" t="s">
        <v>15</v>
      </c>
      <c r="D108" s="31" t="s">
        <v>140</v>
      </c>
      <c r="E108" s="31" t="s">
        <v>124</v>
      </c>
      <c r="F108" s="32" t="s">
        <v>141</v>
      </c>
      <c r="G108" s="31" t="s">
        <v>33</v>
      </c>
      <c r="H108" s="31">
        <v>64.650000000000006</v>
      </c>
      <c r="I108" s="31">
        <v>0.19</v>
      </c>
      <c r="J108" s="31">
        <v>0.19</v>
      </c>
      <c r="K108" s="34">
        <v>0.97399999999999998</v>
      </c>
      <c r="L108" s="31">
        <v>2.31</v>
      </c>
      <c r="M108" s="19">
        <f>H108*INDEX('Pliegos Tarifarios (Huechuraba)'!$B:$B,MATCH($B108,'Pliegos Tarifarios (Huechuraba)'!$A:$A,0))</f>
        <v>7682.8767000000007</v>
      </c>
      <c r="N108" s="19">
        <f>I108*INDEX('Pliegos Tarifarios (Huechuraba)'!$C:$C,MATCH($B108,'Pliegos Tarifarios (Huechuraba)'!$A:$A,0))</f>
        <v>651.82938999999999</v>
      </c>
      <c r="O108" s="19">
        <f>J108*INDEX('Pliegos Tarifarios (Huechuraba)'!$D:$D,MATCH($B108,'Pliegos Tarifarios (Huechuraba)'!$A:$A,0))</f>
        <v>2683.21344</v>
      </c>
      <c r="P108" s="19">
        <f>H108*INDEX('Pliegos Tarifarios (Huechuraba)'!$E:$E,MATCH($B108,'Pliegos Tarifarios (Huechuraba)'!$A:$A,0))</f>
        <v>836.05380000000014</v>
      </c>
      <c r="Q108" s="19" cm="1">
        <f t="array" ref="Q108">H108*_xlfn.IFS(H108&lt;=350,INDEX('Pliegos Tarifarios (Huechuraba)'!$F:$F,MATCH($B108,'Pliegos Tarifarios (Huechuraba)'!$A:$A,0)),H108&lt;=500,INDEX('Pliegos Tarifarios (Huechuraba)'!$G:$G,MATCH($B108,'Pliegos Tarifarios (Huechuraba)'!$A:$A,0)),H108&lt;=1000,INDEX('Pliegos Tarifarios (Huechuraba)'!$H:$H,MATCH($B108,'Pliegos Tarifarios (Huechuraba)'!$A:$A,0)),H108&lt;=5000,INDEX('Pliegos Tarifarios (Huechuraba)'!$I:$I,MATCH($B108,'Pliegos Tarifarios (Huechuraba)'!$A:$A,0)),H108&gt;5000,INDEX('Pliegos Tarifarios (Huechuraba)'!$J:$J,MATCH($B108,'Pliegos Tarifarios (Huechuraba)'!$A:$A,0)))/1.19</f>
        <v>42.592941176470596</v>
      </c>
      <c r="R108" s="19">
        <f>INDEX('Pliegos Tarifarios (Huechuraba)'!$K:$K,MATCH($B108,'Pliegos Tarifarios (Huechuraba)'!$A:$A,0))</f>
        <v>709.36099999999999</v>
      </c>
      <c r="S108" s="36">
        <f t="shared" si="3"/>
        <v>12605.927271176472</v>
      </c>
      <c r="T108" s="36">
        <f t="shared" si="4"/>
        <v>2395.1261815235298</v>
      </c>
      <c r="U108" s="19">
        <v>0</v>
      </c>
      <c r="V108" s="36">
        <f t="shared" si="5"/>
        <v>15001.053452700002</v>
      </c>
    </row>
    <row r="109" spans="1:22" ht="23.4" thickBot="1" x14ac:dyDescent="0.35">
      <c r="A109" s="30" t="s">
        <v>144</v>
      </c>
      <c r="B109" s="31">
        <v>2</v>
      </c>
      <c r="C109" s="32" t="s">
        <v>15</v>
      </c>
      <c r="D109" s="31" t="s">
        <v>142</v>
      </c>
      <c r="E109" s="31" t="s">
        <v>124</v>
      </c>
      <c r="F109" s="32" t="s">
        <v>143</v>
      </c>
      <c r="G109" s="31" t="s">
        <v>33</v>
      </c>
      <c r="H109" s="31">
        <v>129.61000000000001</v>
      </c>
      <c r="I109" s="31">
        <v>0.38</v>
      </c>
      <c r="J109" s="31">
        <v>0.38</v>
      </c>
      <c r="K109" s="34">
        <v>0.998</v>
      </c>
      <c r="L109" s="31">
        <v>4.63</v>
      </c>
      <c r="M109" s="19">
        <f>H109*INDEX('Pliegos Tarifarios (Huechuraba)'!$B:$B,MATCH($B109,'Pliegos Tarifarios (Huechuraba)'!$A:$A,0))</f>
        <v>15402.593180000002</v>
      </c>
      <c r="N109" s="19">
        <f>I109*INDEX('Pliegos Tarifarios (Huechuraba)'!$C:$C,MATCH($B109,'Pliegos Tarifarios (Huechuraba)'!$A:$A,0))</f>
        <v>1303.65878</v>
      </c>
      <c r="O109" s="19">
        <f>J109*INDEX('Pliegos Tarifarios (Huechuraba)'!$D:$D,MATCH($B109,'Pliegos Tarifarios (Huechuraba)'!$A:$A,0))</f>
        <v>5366.42688</v>
      </c>
      <c r="P109" s="19">
        <f>H109*INDEX('Pliegos Tarifarios (Huechuraba)'!$E:$E,MATCH($B109,'Pliegos Tarifarios (Huechuraba)'!$A:$A,0))</f>
        <v>1676.1165200000003</v>
      </c>
      <c r="Q109" s="19" cm="1">
        <f t="array" ref="Q109">H109*_xlfn.IFS(H109&lt;=350,INDEX('Pliegos Tarifarios (Huechuraba)'!$F:$F,MATCH($B109,'Pliegos Tarifarios (Huechuraba)'!$A:$A,0)),H109&lt;=500,INDEX('Pliegos Tarifarios (Huechuraba)'!$G:$G,MATCH($B109,'Pliegos Tarifarios (Huechuraba)'!$A:$A,0)),H109&lt;=1000,INDEX('Pliegos Tarifarios (Huechuraba)'!$H:$H,MATCH($B109,'Pliegos Tarifarios (Huechuraba)'!$A:$A,0)),H109&lt;=5000,INDEX('Pliegos Tarifarios (Huechuraba)'!$I:$I,MATCH($B109,'Pliegos Tarifarios (Huechuraba)'!$A:$A,0)),H109&gt;5000,INDEX('Pliegos Tarifarios (Huechuraba)'!$J:$J,MATCH($B109,'Pliegos Tarifarios (Huechuraba)'!$A:$A,0)))/1.19</f>
        <v>85.39011764705883</v>
      </c>
      <c r="R109" s="19">
        <f>INDEX('Pliegos Tarifarios (Huechuraba)'!$K:$K,MATCH($B109,'Pliegos Tarifarios (Huechuraba)'!$A:$A,0))</f>
        <v>709.36099999999999</v>
      </c>
      <c r="S109" s="36">
        <f t="shared" si="3"/>
        <v>24543.546477647058</v>
      </c>
      <c r="T109" s="36">
        <f t="shared" si="4"/>
        <v>4663.2738307529407</v>
      </c>
      <c r="U109" s="19">
        <v>0</v>
      </c>
      <c r="V109" s="36">
        <f t="shared" si="5"/>
        <v>29206.820308399998</v>
      </c>
    </row>
    <row r="110" spans="1:22" ht="23.4" thickBot="1" x14ac:dyDescent="0.35">
      <c r="A110" s="25" t="s">
        <v>145</v>
      </c>
      <c r="B110" s="26">
        <v>3</v>
      </c>
      <c r="C110" s="27" t="s">
        <v>15</v>
      </c>
      <c r="D110" s="26" t="s">
        <v>16</v>
      </c>
      <c r="E110" s="26" t="s">
        <v>17</v>
      </c>
      <c r="F110" s="27" t="s">
        <v>18</v>
      </c>
      <c r="G110" s="26" t="s">
        <v>19</v>
      </c>
      <c r="H110" s="28">
        <v>7352.48</v>
      </c>
      <c r="I110" s="26">
        <v>19.649999999999999</v>
      </c>
      <c r="J110" s="26">
        <v>19.25</v>
      </c>
      <c r="K110" s="29">
        <v>0.98</v>
      </c>
      <c r="L110" s="26">
        <v>262.58999999999997</v>
      </c>
      <c r="M110" s="19">
        <f>H110*INDEX('Pliegos Tarifarios (Huechuraba)'!$B:$B,MATCH($B110,'Pliegos Tarifarios (Huechuraba)'!$A:$A,0))</f>
        <v>873754.01823999989</v>
      </c>
      <c r="N110" s="19">
        <f>I110*INDEX('Pliegos Tarifarios (Huechuraba)'!$C:$C,MATCH($B110,'Pliegos Tarifarios (Huechuraba)'!$A:$A,0))</f>
        <v>68623.085849999989</v>
      </c>
      <c r="O110" s="19">
        <f>J110*INDEX('Pliegos Tarifarios (Huechuraba)'!$D:$D,MATCH($B110,'Pliegos Tarifarios (Huechuraba)'!$A:$A,0))</f>
        <v>273211.68875000003</v>
      </c>
      <c r="P110" s="19">
        <f>H110*INDEX('Pliegos Tarifarios (Huechuraba)'!$E:$E,MATCH($B110,'Pliegos Tarifarios (Huechuraba)'!$A:$A,0))</f>
        <v>95082.271359999999</v>
      </c>
      <c r="Q110" s="19" cm="1">
        <f t="array" ref="Q110">H110*_xlfn.IFS(H110&lt;=350,INDEX('Pliegos Tarifarios (Huechuraba)'!$F:$F,MATCH($B110,'Pliegos Tarifarios (Huechuraba)'!$A:$A,0)),H110&lt;=500,INDEX('Pliegos Tarifarios (Huechuraba)'!$G:$G,MATCH($B110,'Pliegos Tarifarios (Huechuraba)'!$A:$A,0)),H110&lt;=1000,INDEX('Pliegos Tarifarios (Huechuraba)'!$H:$H,MATCH($B110,'Pliegos Tarifarios (Huechuraba)'!$A:$A,0)),H110&lt;=5000,INDEX('Pliegos Tarifarios (Huechuraba)'!$I:$I,MATCH($B110,'Pliegos Tarifarios (Huechuraba)'!$A:$A,0)),H110&gt;5000,INDEX('Pliegos Tarifarios (Huechuraba)'!$J:$J,MATCH($B110,'Pliegos Tarifarios (Huechuraba)'!$A:$A,0)))/1.19</f>
        <v>24127.255798319329</v>
      </c>
      <c r="R110" s="19">
        <f>INDEX('Pliegos Tarifarios (Huechuraba)'!$K:$K,MATCH($B110,'Pliegos Tarifarios (Huechuraba)'!$A:$A,0))</f>
        <v>716.899</v>
      </c>
      <c r="S110" s="36">
        <f t="shared" si="3"/>
        <v>1335515.2189983192</v>
      </c>
      <c r="T110" s="36">
        <f t="shared" si="4"/>
        <v>253747.89160968066</v>
      </c>
      <c r="U110" s="19">
        <v>0</v>
      </c>
      <c r="V110" s="36">
        <f t="shared" si="5"/>
        <v>1589263.1106079998</v>
      </c>
    </row>
    <row r="111" spans="1:22" ht="23.4" thickBot="1" x14ac:dyDescent="0.35">
      <c r="A111" s="25" t="s">
        <v>145</v>
      </c>
      <c r="B111" s="26">
        <v>3</v>
      </c>
      <c r="C111" s="27" t="s">
        <v>15</v>
      </c>
      <c r="D111" s="26" t="s">
        <v>20</v>
      </c>
      <c r="E111" s="26" t="s">
        <v>21</v>
      </c>
      <c r="F111" s="27" t="s">
        <v>22</v>
      </c>
      <c r="G111" s="26" t="s">
        <v>19</v>
      </c>
      <c r="H111" s="28">
        <v>3669.65</v>
      </c>
      <c r="I111" s="26">
        <v>9.77</v>
      </c>
      <c r="J111" s="26">
        <v>9.77</v>
      </c>
      <c r="K111" s="29">
        <v>1</v>
      </c>
      <c r="L111" s="26">
        <v>131.06</v>
      </c>
      <c r="M111" s="19">
        <f>H111*INDEX('Pliegos Tarifarios (Huechuraba)'!$B:$B,MATCH($B111,'Pliegos Tarifarios (Huechuraba)'!$A:$A,0))</f>
        <v>436093.86670000001</v>
      </c>
      <c r="N111" s="19">
        <f>I111*INDEX('Pliegos Tarifarios (Huechuraba)'!$C:$C,MATCH($B111,'Pliegos Tarifarios (Huechuraba)'!$A:$A,0))</f>
        <v>34119.468129999994</v>
      </c>
      <c r="O111" s="19">
        <f>J111*INDEX('Pliegos Tarifarios (Huechuraba)'!$D:$D,MATCH($B111,'Pliegos Tarifarios (Huechuraba)'!$A:$A,0))</f>
        <v>138663.80254999999</v>
      </c>
      <c r="P111" s="19">
        <f>H111*INDEX('Pliegos Tarifarios (Huechuraba)'!$E:$E,MATCH($B111,'Pliegos Tarifarios (Huechuraba)'!$A:$A,0))</f>
        <v>47455.913800000002</v>
      </c>
      <c r="Q111" s="19" cm="1">
        <f t="array" ref="Q111">H111*_xlfn.IFS(H111&lt;=350,INDEX('Pliegos Tarifarios (Huechuraba)'!$F:$F,MATCH($B111,'Pliegos Tarifarios (Huechuraba)'!$A:$A,0)),H111&lt;=500,INDEX('Pliegos Tarifarios (Huechuraba)'!$G:$G,MATCH($B111,'Pliegos Tarifarios (Huechuraba)'!$A:$A,0)),H111&lt;=1000,INDEX('Pliegos Tarifarios (Huechuraba)'!$H:$H,MATCH($B111,'Pliegos Tarifarios (Huechuraba)'!$A:$A,0)),H111&lt;=5000,INDEX('Pliegos Tarifarios (Huechuraba)'!$I:$I,MATCH($B111,'Pliegos Tarifarios (Huechuraba)'!$A:$A,0)),H111&gt;5000,INDEX('Pliegos Tarifarios (Huechuraba)'!$J:$J,MATCH($B111,'Pliegos Tarifarios (Huechuraba)'!$A:$A,0)))/1.19</f>
        <v>11012.033739495799</v>
      </c>
      <c r="R111" s="19">
        <f>INDEX('Pliegos Tarifarios (Huechuraba)'!$K:$K,MATCH($B111,'Pliegos Tarifarios (Huechuraba)'!$A:$A,0))</f>
        <v>716.899</v>
      </c>
      <c r="S111" s="36">
        <f t="shared" si="3"/>
        <v>668061.98391949572</v>
      </c>
      <c r="T111" s="36">
        <f t="shared" si="4"/>
        <v>126931.77694470419</v>
      </c>
      <c r="U111" s="19">
        <v>0</v>
      </c>
      <c r="V111" s="36">
        <f t="shared" si="5"/>
        <v>794993.76086419995</v>
      </c>
    </row>
    <row r="112" spans="1:22" ht="23.4" thickBot="1" x14ac:dyDescent="0.35">
      <c r="A112" s="25" t="s">
        <v>145</v>
      </c>
      <c r="B112" s="26">
        <v>3</v>
      </c>
      <c r="C112" s="27" t="s">
        <v>15</v>
      </c>
      <c r="D112" s="26" t="s">
        <v>23</v>
      </c>
      <c r="E112" s="26" t="s">
        <v>21</v>
      </c>
      <c r="F112" s="27" t="s">
        <v>24</v>
      </c>
      <c r="G112" s="26" t="s">
        <v>19</v>
      </c>
      <c r="H112" s="28">
        <v>2934.95</v>
      </c>
      <c r="I112" s="26">
        <v>7.88</v>
      </c>
      <c r="J112" s="26">
        <v>7.85</v>
      </c>
      <c r="K112" s="29">
        <v>0.997</v>
      </c>
      <c r="L112" s="26">
        <v>104.82</v>
      </c>
      <c r="M112" s="19">
        <f>H112*INDEX('Pliegos Tarifarios (Huechuraba)'!$B:$B,MATCH($B112,'Pliegos Tarifarios (Huechuraba)'!$A:$A,0))</f>
        <v>348783.58809999994</v>
      </c>
      <c r="N112" s="19">
        <f>I112*INDEX('Pliegos Tarifarios (Huechuraba)'!$C:$C,MATCH($B112,'Pliegos Tarifarios (Huechuraba)'!$A:$A,0))</f>
        <v>27519.079719999998</v>
      </c>
      <c r="O112" s="19">
        <f>J112*INDEX('Pliegos Tarifarios (Huechuraba)'!$D:$D,MATCH($B112,'Pliegos Tarifarios (Huechuraba)'!$A:$A,0))</f>
        <v>111413.59775</v>
      </c>
      <c r="P112" s="19">
        <f>H112*INDEX('Pliegos Tarifarios (Huechuraba)'!$E:$E,MATCH($B112,'Pliegos Tarifarios (Huechuraba)'!$A:$A,0))</f>
        <v>37954.773399999998</v>
      </c>
      <c r="Q112" s="19" cm="1">
        <f t="array" ref="Q112">H112*_xlfn.IFS(H112&lt;=350,INDEX('Pliegos Tarifarios (Huechuraba)'!$F:$F,MATCH($B112,'Pliegos Tarifarios (Huechuraba)'!$A:$A,0)),H112&lt;=500,INDEX('Pliegos Tarifarios (Huechuraba)'!$G:$G,MATCH($B112,'Pliegos Tarifarios (Huechuraba)'!$A:$A,0)),H112&lt;=1000,INDEX('Pliegos Tarifarios (Huechuraba)'!$H:$H,MATCH($B112,'Pliegos Tarifarios (Huechuraba)'!$A:$A,0)),H112&lt;=5000,INDEX('Pliegos Tarifarios (Huechuraba)'!$I:$I,MATCH($B112,'Pliegos Tarifarios (Huechuraba)'!$A:$A,0)),H112&gt;5000,INDEX('Pliegos Tarifarios (Huechuraba)'!$J:$J,MATCH($B112,'Pliegos Tarifarios (Huechuraba)'!$A:$A,0)))/1.19</f>
        <v>8807.3163445378141</v>
      </c>
      <c r="R112" s="19">
        <f>INDEX('Pliegos Tarifarios (Huechuraba)'!$K:$K,MATCH($B112,'Pliegos Tarifarios (Huechuraba)'!$A:$A,0))</f>
        <v>716.899</v>
      </c>
      <c r="S112" s="36">
        <f t="shared" si="3"/>
        <v>535195.25431453763</v>
      </c>
      <c r="T112" s="36">
        <f t="shared" si="4"/>
        <v>101687.09831976215</v>
      </c>
      <c r="U112" s="19">
        <v>0</v>
      </c>
      <c r="V112" s="36">
        <f t="shared" si="5"/>
        <v>636882.35263429978</v>
      </c>
    </row>
    <row r="113" spans="1:22" ht="23.4" thickBot="1" x14ac:dyDescent="0.35">
      <c r="A113" s="25" t="s">
        <v>145</v>
      </c>
      <c r="B113" s="26">
        <v>3</v>
      </c>
      <c r="C113" s="27" t="s">
        <v>15</v>
      </c>
      <c r="D113" s="26" t="s">
        <v>25</v>
      </c>
      <c r="E113" s="26" t="s">
        <v>21</v>
      </c>
      <c r="F113" s="27" t="s">
        <v>26</v>
      </c>
      <c r="G113" s="26" t="s">
        <v>19</v>
      </c>
      <c r="H113" s="28">
        <v>2445.92</v>
      </c>
      <c r="I113" s="26">
        <v>6.58</v>
      </c>
      <c r="J113" s="26">
        <v>6.51</v>
      </c>
      <c r="K113" s="29">
        <v>0.98799999999999999</v>
      </c>
      <c r="L113" s="26">
        <v>87.35</v>
      </c>
      <c r="M113" s="19">
        <f>H113*INDEX('Pliegos Tarifarios (Huechuraba)'!$B:$B,MATCH($B113,'Pliegos Tarifarios (Huechuraba)'!$A:$A,0))</f>
        <v>290668.24095999997</v>
      </c>
      <c r="N113" s="19">
        <f>I113*INDEX('Pliegos Tarifarios (Huechuraba)'!$C:$C,MATCH($B113,'Pliegos Tarifarios (Huechuraba)'!$A:$A,0))</f>
        <v>22979.130020000001</v>
      </c>
      <c r="O113" s="19">
        <f>J113*INDEX('Pliegos Tarifarios (Huechuraba)'!$D:$D,MATCH($B113,'Pliegos Tarifarios (Huechuraba)'!$A:$A,0))</f>
        <v>92395.225649999993</v>
      </c>
      <c r="P113" s="19">
        <f>H113*INDEX('Pliegos Tarifarios (Huechuraba)'!$E:$E,MATCH($B113,'Pliegos Tarifarios (Huechuraba)'!$A:$A,0))</f>
        <v>31630.637440000002</v>
      </c>
      <c r="Q113" s="19" cm="1">
        <f t="array" ref="Q113">H113*_xlfn.IFS(H113&lt;=350,INDEX('Pliegos Tarifarios (Huechuraba)'!$F:$F,MATCH($B113,'Pliegos Tarifarios (Huechuraba)'!$A:$A,0)),H113&lt;=500,INDEX('Pliegos Tarifarios (Huechuraba)'!$G:$G,MATCH($B113,'Pliegos Tarifarios (Huechuraba)'!$A:$A,0)),H113&lt;=1000,INDEX('Pliegos Tarifarios (Huechuraba)'!$H:$H,MATCH($B113,'Pliegos Tarifarios (Huechuraba)'!$A:$A,0)),H113&lt;=5000,INDEX('Pliegos Tarifarios (Huechuraba)'!$I:$I,MATCH($B113,'Pliegos Tarifarios (Huechuraba)'!$A:$A,0)),H113&gt;5000,INDEX('Pliegos Tarifarios (Huechuraba)'!$J:$J,MATCH($B113,'Pliegos Tarifarios (Huechuraba)'!$A:$A,0)))/1.19</f>
        <v>7339.8153949579837</v>
      </c>
      <c r="R113" s="19">
        <f>INDEX('Pliegos Tarifarios (Huechuraba)'!$K:$K,MATCH($B113,'Pliegos Tarifarios (Huechuraba)'!$A:$A,0))</f>
        <v>716.899</v>
      </c>
      <c r="S113" s="36">
        <f t="shared" si="3"/>
        <v>445729.94846495788</v>
      </c>
      <c r="T113" s="36">
        <f t="shared" si="4"/>
        <v>84688.690208341999</v>
      </c>
      <c r="U113" s="19">
        <v>0</v>
      </c>
      <c r="V113" s="36">
        <f t="shared" si="5"/>
        <v>530418.63867329992</v>
      </c>
    </row>
    <row r="114" spans="1:22" ht="23.4" thickBot="1" x14ac:dyDescent="0.35">
      <c r="A114" s="25" t="s">
        <v>145</v>
      </c>
      <c r="B114" s="26">
        <v>3</v>
      </c>
      <c r="C114" s="27" t="s">
        <v>15</v>
      </c>
      <c r="D114" s="26" t="s">
        <v>27</v>
      </c>
      <c r="E114" s="26" t="s">
        <v>21</v>
      </c>
      <c r="F114" s="27" t="s">
        <v>28</v>
      </c>
      <c r="G114" s="26" t="s">
        <v>19</v>
      </c>
      <c r="H114" s="28">
        <v>2644.03</v>
      </c>
      <c r="I114" s="26">
        <v>7.15</v>
      </c>
      <c r="J114" s="26">
        <v>6.94</v>
      </c>
      <c r="K114" s="29">
        <v>0.97099999999999997</v>
      </c>
      <c r="L114" s="26">
        <v>94.43</v>
      </c>
      <c r="M114" s="19">
        <f>H114*INDEX('Pliegos Tarifarios (Huechuraba)'!$B:$B,MATCH($B114,'Pliegos Tarifarios (Huechuraba)'!$A:$A,0))</f>
        <v>314211.23713999998</v>
      </c>
      <c r="N114" s="19">
        <f>I114*INDEX('Pliegos Tarifarios (Huechuraba)'!$C:$C,MATCH($B114,'Pliegos Tarifarios (Huechuraba)'!$A:$A,0))</f>
        <v>24969.72335</v>
      </c>
      <c r="O114" s="19">
        <f>J114*INDEX('Pliegos Tarifarios (Huechuraba)'!$D:$D,MATCH($B114,'Pliegos Tarifarios (Huechuraba)'!$A:$A,0))</f>
        <v>98498.136100000003</v>
      </c>
      <c r="P114" s="19">
        <f>H114*INDEX('Pliegos Tarifarios (Huechuraba)'!$E:$E,MATCH($B114,'Pliegos Tarifarios (Huechuraba)'!$A:$A,0))</f>
        <v>34192.595960000006</v>
      </c>
      <c r="Q114" s="19" cm="1">
        <f t="array" ref="Q114">H114*_xlfn.IFS(H114&lt;=350,INDEX('Pliegos Tarifarios (Huechuraba)'!$F:$F,MATCH($B114,'Pliegos Tarifarios (Huechuraba)'!$A:$A,0)),H114&lt;=500,INDEX('Pliegos Tarifarios (Huechuraba)'!$G:$G,MATCH($B114,'Pliegos Tarifarios (Huechuraba)'!$A:$A,0)),H114&lt;=1000,INDEX('Pliegos Tarifarios (Huechuraba)'!$H:$H,MATCH($B114,'Pliegos Tarifarios (Huechuraba)'!$A:$A,0)),H114&lt;=5000,INDEX('Pliegos Tarifarios (Huechuraba)'!$I:$I,MATCH($B114,'Pliegos Tarifarios (Huechuraba)'!$A:$A,0)),H114&gt;5000,INDEX('Pliegos Tarifarios (Huechuraba)'!$J:$J,MATCH($B114,'Pliegos Tarifarios (Huechuraba)'!$A:$A,0)))/1.19</f>
        <v>7934.3118739495803</v>
      </c>
      <c r="R114" s="19">
        <f>INDEX('Pliegos Tarifarios (Huechuraba)'!$K:$K,MATCH($B114,'Pliegos Tarifarios (Huechuraba)'!$A:$A,0))</f>
        <v>716.899</v>
      </c>
      <c r="S114" s="36">
        <f t="shared" si="3"/>
        <v>480522.90342394955</v>
      </c>
      <c r="T114" s="36">
        <f t="shared" si="4"/>
        <v>91299.351650550423</v>
      </c>
      <c r="U114" s="19">
        <v>0</v>
      </c>
      <c r="V114" s="36">
        <f t="shared" si="5"/>
        <v>571822.25507449999</v>
      </c>
    </row>
    <row r="115" spans="1:22" ht="23.4" thickBot="1" x14ac:dyDescent="0.35">
      <c r="A115" s="25" t="s">
        <v>145</v>
      </c>
      <c r="B115" s="26">
        <v>3</v>
      </c>
      <c r="C115" s="27" t="s">
        <v>15</v>
      </c>
      <c r="D115" s="26" t="s">
        <v>29</v>
      </c>
      <c r="E115" s="26" t="s">
        <v>21</v>
      </c>
      <c r="F115" s="27" t="s">
        <v>30</v>
      </c>
      <c r="G115" s="26" t="s">
        <v>19</v>
      </c>
      <c r="H115" s="28">
        <v>1762.41</v>
      </c>
      <c r="I115" s="26">
        <v>4.72</v>
      </c>
      <c r="J115" s="26">
        <v>4.62</v>
      </c>
      <c r="K115" s="29">
        <v>0.97799999999999998</v>
      </c>
      <c r="L115" s="26">
        <v>62.94</v>
      </c>
      <c r="M115" s="19">
        <f>H115*INDEX('Pliegos Tarifarios (Huechuraba)'!$B:$B,MATCH($B115,'Pliegos Tarifarios (Huechuraba)'!$A:$A,0))</f>
        <v>209441.27958</v>
      </c>
      <c r="N115" s="19">
        <f>I115*INDEX('Pliegos Tarifarios (Huechuraba)'!$C:$C,MATCH($B115,'Pliegos Tarifarios (Huechuraba)'!$A:$A,0))</f>
        <v>16483.509679999999</v>
      </c>
      <c r="O115" s="19">
        <f>J115*INDEX('Pliegos Tarifarios (Huechuraba)'!$D:$D,MATCH($B115,'Pliegos Tarifarios (Huechuraba)'!$A:$A,0))</f>
        <v>65570.805300000007</v>
      </c>
      <c r="P115" s="19">
        <f>H115*INDEX('Pliegos Tarifarios (Huechuraba)'!$E:$E,MATCH($B115,'Pliegos Tarifarios (Huechuraba)'!$A:$A,0))</f>
        <v>22791.486120000001</v>
      </c>
      <c r="Q115" s="19" cm="1">
        <f t="array" ref="Q115">H115*_xlfn.IFS(H115&lt;=350,INDEX('Pliegos Tarifarios (Huechuraba)'!$F:$F,MATCH($B115,'Pliegos Tarifarios (Huechuraba)'!$A:$A,0)),H115&lt;=500,INDEX('Pliegos Tarifarios (Huechuraba)'!$G:$G,MATCH($B115,'Pliegos Tarifarios (Huechuraba)'!$A:$A,0)),H115&lt;=1000,INDEX('Pliegos Tarifarios (Huechuraba)'!$H:$H,MATCH($B115,'Pliegos Tarifarios (Huechuraba)'!$A:$A,0)),H115&lt;=5000,INDEX('Pliegos Tarifarios (Huechuraba)'!$I:$I,MATCH($B115,'Pliegos Tarifarios (Huechuraba)'!$A:$A,0)),H115&gt;5000,INDEX('Pliegos Tarifarios (Huechuraba)'!$J:$J,MATCH($B115,'Pliegos Tarifarios (Huechuraba)'!$A:$A,0)))/1.19</f>
        <v>5288.7110168067229</v>
      </c>
      <c r="R115" s="19">
        <f>INDEX('Pliegos Tarifarios (Huechuraba)'!$K:$K,MATCH($B115,'Pliegos Tarifarios (Huechuraba)'!$A:$A,0))</f>
        <v>716.899</v>
      </c>
      <c r="S115" s="36">
        <f t="shared" si="3"/>
        <v>320292.69069680671</v>
      </c>
      <c r="T115" s="36">
        <f t="shared" si="4"/>
        <v>60855.611232393276</v>
      </c>
      <c r="U115" s="19">
        <v>0</v>
      </c>
      <c r="V115" s="36">
        <f t="shared" si="5"/>
        <v>381148.30192919995</v>
      </c>
    </row>
    <row r="116" spans="1:22" ht="23.4" thickBot="1" x14ac:dyDescent="0.35">
      <c r="A116" s="25" t="s">
        <v>145</v>
      </c>
      <c r="B116" s="26">
        <v>3</v>
      </c>
      <c r="C116" s="27" t="s">
        <v>15</v>
      </c>
      <c r="D116" s="26" t="s">
        <v>31</v>
      </c>
      <c r="E116" s="26" t="s">
        <v>21</v>
      </c>
      <c r="F116" s="27" t="s">
        <v>32</v>
      </c>
      <c r="G116" s="26" t="s">
        <v>33</v>
      </c>
      <c r="H116" s="26">
        <v>585.91</v>
      </c>
      <c r="I116" s="26">
        <v>1.6</v>
      </c>
      <c r="J116" s="26">
        <v>1.55</v>
      </c>
      <c r="K116" s="29">
        <v>0.96699999999999997</v>
      </c>
      <c r="L116" s="26">
        <v>20.93</v>
      </c>
      <c r="M116" s="19">
        <f>H116*INDEX('Pliegos Tarifarios (Huechuraba)'!$B:$B,MATCH($B116,'Pliegos Tarifarios (Huechuraba)'!$A:$A,0))</f>
        <v>69628.372579999996</v>
      </c>
      <c r="N116" s="19">
        <f>I116*INDEX('Pliegos Tarifarios (Huechuraba)'!$C:$C,MATCH($B116,'Pliegos Tarifarios (Huechuraba)'!$A:$A,0))</f>
        <v>5587.6304</v>
      </c>
      <c r="O116" s="19">
        <f>J116*INDEX('Pliegos Tarifarios (Huechuraba)'!$D:$D,MATCH($B116,'Pliegos Tarifarios (Huechuraba)'!$A:$A,0))</f>
        <v>21998.863250000002</v>
      </c>
      <c r="P116" s="19">
        <f>H116*INDEX('Pliegos Tarifarios (Huechuraba)'!$E:$E,MATCH($B116,'Pliegos Tarifarios (Huechuraba)'!$A:$A,0))</f>
        <v>7576.98812</v>
      </c>
      <c r="Q116" s="19" cm="1">
        <f t="array" ref="Q116">H116*_xlfn.IFS(H116&lt;=350,INDEX('Pliegos Tarifarios (Huechuraba)'!$F:$F,MATCH($B116,'Pliegos Tarifarios (Huechuraba)'!$A:$A,0)),H116&lt;=500,INDEX('Pliegos Tarifarios (Huechuraba)'!$G:$G,MATCH($B116,'Pliegos Tarifarios (Huechuraba)'!$A:$A,0)),H116&lt;=1000,INDEX('Pliegos Tarifarios (Huechuraba)'!$H:$H,MATCH($B116,'Pliegos Tarifarios (Huechuraba)'!$A:$A,0)),H116&lt;=5000,INDEX('Pliegos Tarifarios (Huechuraba)'!$I:$I,MATCH($B116,'Pliegos Tarifarios (Huechuraba)'!$A:$A,0)),H116&gt;5000,INDEX('Pliegos Tarifarios (Huechuraba)'!$J:$J,MATCH($B116,'Pliegos Tarifarios (Huechuraba)'!$A:$A,0)))/1.19</f>
        <v>1374.1805126050422</v>
      </c>
      <c r="R116" s="19">
        <f>INDEX('Pliegos Tarifarios (Huechuraba)'!$K:$K,MATCH($B116,'Pliegos Tarifarios (Huechuraba)'!$A:$A,0))</f>
        <v>716.899</v>
      </c>
      <c r="S116" s="36">
        <f t="shared" si="3"/>
        <v>106882.93386260503</v>
      </c>
      <c r="T116" s="36">
        <f t="shared" si="4"/>
        <v>20307.757433894956</v>
      </c>
      <c r="U116" s="19">
        <v>0</v>
      </c>
      <c r="V116" s="36">
        <f t="shared" si="5"/>
        <v>127190.69129649998</v>
      </c>
    </row>
    <row r="117" spans="1:22" ht="23.4" thickBot="1" x14ac:dyDescent="0.35">
      <c r="A117" s="25" t="s">
        <v>145</v>
      </c>
      <c r="B117" s="26">
        <v>3</v>
      </c>
      <c r="C117" s="27" t="s">
        <v>15</v>
      </c>
      <c r="D117" s="26" t="s">
        <v>34</v>
      </c>
      <c r="E117" s="26" t="s">
        <v>21</v>
      </c>
      <c r="F117" s="27" t="s">
        <v>35</v>
      </c>
      <c r="G117" s="26" t="s">
        <v>19</v>
      </c>
      <c r="H117" s="28">
        <v>1766.26</v>
      </c>
      <c r="I117" s="26">
        <v>4.7</v>
      </c>
      <c r="J117" s="26">
        <v>4.63</v>
      </c>
      <c r="K117" s="29">
        <v>0.98599999999999999</v>
      </c>
      <c r="L117" s="26">
        <v>63.08</v>
      </c>
      <c r="M117" s="19">
        <f>H117*INDEX('Pliegos Tarifarios (Huechuraba)'!$B:$B,MATCH($B117,'Pliegos Tarifarios (Huechuraba)'!$A:$A,0))</f>
        <v>209898.80588</v>
      </c>
      <c r="N117" s="19">
        <f>I117*INDEX('Pliegos Tarifarios (Huechuraba)'!$C:$C,MATCH($B117,'Pliegos Tarifarios (Huechuraba)'!$A:$A,0))</f>
        <v>16413.6643</v>
      </c>
      <c r="O117" s="19">
        <f>J117*INDEX('Pliegos Tarifarios (Huechuraba)'!$D:$D,MATCH($B117,'Pliegos Tarifarios (Huechuraba)'!$A:$A,0))</f>
        <v>65712.73345</v>
      </c>
      <c r="P117" s="19">
        <f>H117*INDEX('Pliegos Tarifarios (Huechuraba)'!$E:$E,MATCH($B117,'Pliegos Tarifarios (Huechuraba)'!$A:$A,0))</f>
        <v>22841.27432</v>
      </c>
      <c r="Q117" s="19" cm="1">
        <f t="array" ref="Q117">H117*_xlfn.IFS(H117&lt;=350,INDEX('Pliegos Tarifarios (Huechuraba)'!$F:$F,MATCH($B117,'Pliegos Tarifarios (Huechuraba)'!$A:$A,0)),H117&lt;=500,INDEX('Pliegos Tarifarios (Huechuraba)'!$G:$G,MATCH($B117,'Pliegos Tarifarios (Huechuraba)'!$A:$A,0)),H117&lt;=1000,INDEX('Pliegos Tarifarios (Huechuraba)'!$H:$H,MATCH($B117,'Pliegos Tarifarios (Huechuraba)'!$A:$A,0)),H117&lt;=5000,INDEX('Pliegos Tarifarios (Huechuraba)'!$I:$I,MATCH($B117,'Pliegos Tarifarios (Huechuraba)'!$A:$A,0)),H117&gt;5000,INDEX('Pliegos Tarifarios (Huechuraba)'!$J:$J,MATCH($B117,'Pliegos Tarifarios (Huechuraba)'!$A:$A,0)))/1.19</f>
        <v>5300.2642521008402</v>
      </c>
      <c r="R117" s="19">
        <f>INDEX('Pliegos Tarifarios (Huechuraba)'!$K:$K,MATCH($B117,'Pliegos Tarifarios (Huechuraba)'!$A:$A,0))</f>
        <v>716.899</v>
      </c>
      <c r="S117" s="36">
        <f t="shared" si="3"/>
        <v>320883.64120210084</v>
      </c>
      <c r="T117" s="36">
        <f t="shared" si="4"/>
        <v>60967.891828399159</v>
      </c>
      <c r="U117" s="19">
        <v>0</v>
      </c>
      <c r="V117" s="36">
        <f t="shared" si="5"/>
        <v>381851.5330305</v>
      </c>
    </row>
    <row r="118" spans="1:22" ht="23.4" thickBot="1" x14ac:dyDescent="0.35">
      <c r="A118" s="25" t="s">
        <v>145</v>
      </c>
      <c r="B118" s="26">
        <v>3</v>
      </c>
      <c r="C118" s="27" t="s">
        <v>15</v>
      </c>
      <c r="D118" s="26" t="s">
        <v>36</v>
      </c>
      <c r="E118" s="26" t="s">
        <v>37</v>
      </c>
      <c r="F118" s="27" t="s">
        <v>38</v>
      </c>
      <c r="G118" s="26" t="s">
        <v>33</v>
      </c>
      <c r="H118" s="26">
        <v>735.58</v>
      </c>
      <c r="I118" s="26">
        <v>1.96</v>
      </c>
      <c r="J118" s="26">
        <v>1.93</v>
      </c>
      <c r="K118" s="29">
        <v>0.98299999999999998</v>
      </c>
      <c r="L118" s="26">
        <v>26.27</v>
      </c>
      <c r="M118" s="19">
        <f>H118*INDEX('Pliegos Tarifarios (Huechuraba)'!$B:$B,MATCH($B118,'Pliegos Tarifarios (Huechuraba)'!$A:$A,0))</f>
        <v>87414.856039999999</v>
      </c>
      <c r="N118" s="19">
        <f>I118*INDEX('Pliegos Tarifarios (Huechuraba)'!$C:$C,MATCH($B118,'Pliegos Tarifarios (Huechuraba)'!$A:$A,0))</f>
        <v>6844.8472399999991</v>
      </c>
      <c r="O118" s="19">
        <f>J118*INDEX('Pliegos Tarifarios (Huechuraba)'!$D:$D,MATCH($B118,'Pliegos Tarifarios (Huechuraba)'!$A:$A,0))</f>
        <v>27392.132949999999</v>
      </c>
      <c r="P118" s="19">
        <f>H118*INDEX('Pliegos Tarifarios (Huechuraba)'!$E:$E,MATCH($B118,'Pliegos Tarifarios (Huechuraba)'!$A:$A,0))</f>
        <v>9512.5205600000008</v>
      </c>
      <c r="Q118" s="19" cm="1">
        <f t="array" ref="Q118">H118*_xlfn.IFS(H118&lt;=350,INDEX('Pliegos Tarifarios (Huechuraba)'!$F:$F,MATCH($B118,'Pliegos Tarifarios (Huechuraba)'!$A:$A,0)),H118&lt;=500,INDEX('Pliegos Tarifarios (Huechuraba)'!$G:$G,MATCH($B118,'Pliegos Tarifarios (Huechuraba)'!$A:$A,0)),H118&lt;=1000,INDEX('Pliegos Tarifarios (Huechuraba)'!$H:$H,MATCH($B118,'Pliegos Tarifarios (Huechuraba)'!$A:$A,0)),H118&lt;=5000,INDEX('Pliegos Tarifarios (Huechuraba)'!$I:$I,MATCH($B118,'Pliegos Tarifarios (Huechuraba)'!$A:$A,0)),H118&gt;5000,INDEX('Pliegos Tarifarios (Huechuraba)'!$J:$J,MATCH($B118,'Pliegos Tarifarios (Huechuraba)'!$A:$A,0)))/1.19</f>
        <v>1725.2132605042023</v>
      </c>
      <c r="R118" s="19">
        <f>INDEX('Pliegos Tarifarios (Huechuraba)'!$K:$K,MATCH($B118,'Pliegos Tarifarios (Huechuraba)'!$A:$A,0))</f>
        <v>716.899</v>
      </c>
      <c r="S118" s="36">
        <f t="shared" si="3"/>
        <v>133606.46905050421</v>
      </c>
      <c r="T118" s="36">
        <f t="shared" si="4"/>
        <v>25385.229119595799</v>
      </c>
      <c r="U118" s="19">
        <v>0</v>
      </c>
      <c r="V118" s="36">
        <f t="shared" si="5"/>
        <v>158991.69817010002</v>
      </c>
    </row>
    <row r="119" spans="1:22" ht="23.4" thickBot="1" x14ac:dyDescent="0.35">
      <c r="A119" s="25" t="s">
        <v>145</v>
      </c>
      <c r="B119" s="26">
        <v>3</v>
      </c>
      <c r="C119" s="27" t="s">
        <v>15</v>
      </c>
      <c r="D119" s="26" t="s">
        <v>39</v>
      </c>
      <c r="E119" s="26" t="s">
        <v>37</v>
      </c>
      <c r="F119" s="27" t="s">
        <v>40</v>
      </c>
      <c r="G119" s="26" t="s">
        <v>33</v>
      </c>
      <c r="H119" s="26">
        <v>586.74</v>
      </c>
      <c r="I119" s="26">
        <v>1.58</v>
      </c>
      <c r="J119" s="26">
        <v>1.57</v>
      </c>
      <c r="K119" s="29">
        <v>0.99399999999999999</v>
      </c>
      <c r="L119" s="26">
        <v>20.96</v>
      </c>
      <c r="M119" s="19">
        <f>H119*INDEX('Pliegos Tarifarios (Huechuraba)'!$B:$B,MATCH($B119,'Pliegos Tarifarios (Huechuraba)'!$A:$A,0))</f>
        <v>69727.008119999999</v>
      </c>
      <c r="N119" s="19">
        <f>I119*INDEX('Pliegos Tarifarios (Huechuraba)'!$C:$C,MATCH($B119,'Pliegos Tarifarios (Huechuraba)'!$A:$A,0))</f>
        <v>5517.7850200000003</v>
      </c>
      <c r="O119" s="19">
        <f>J119*INDEX('Pliegos Tarifarios (Huechuraba)'!$D:$D,MATCH($B119,'Pliegos Tarifarios (Huechuraba)'!$A:$A,0))</f>
        <v>22282.719550000002</v>
      </c>
      <c r="P119" s="19">
        <f>H119*INDEX('Pliegos Tarifarios (Huechuraba)'!$E:$E,MATCH($B119,'Pliegos Tarifarios (Huechuraba)'!$A:$A,0))</f>
        <v>7587.7216800000006</v>
      </c>
      <c r="Q119" s="19" cm="1">
        <f t="array" ref="Q119">H119*_xlfn.IFS(H119&lt;=350,INDEX('Pliegos Tarifarios (Huechuraba)'!$F:$F,MATCH($B119,'Pliegos Tarifarios (Huechuraba)'!$A:$A,0)),H119&lt;=500,INDEX('Pliegos Tarifarios (Huechuraba)'!$G:$G,MATCH($B119,'Pliegos Tarifarios (Huechuraba)'!$A:$A,0)),H119&lt;=1000,INDEX('Pliegos Tarifarios (Huechuraba)'!$H:$H,MATCH($B119,'Pliegos Tarifarios (Huechuraba)'!$A:$A,0)),H119&lt;=5000,INDEX('Pliegos Tarifarios (Huechuraba)'!$I:$I,MATCH($B119,'Pliegos Tarifarios (Huechuraba)'!$A:$A,0)),H119&gt;5000,INDEX('Pliegos Tarifarios (Huechuraba)'!$J:$J,MATCH($B119,'Pliegos Tarifarios (Huechuraba)'!$A:$A,0)))/1.19</f>
        <v>1376.1271764705884</v>
      </c>
      <c r="R119" s="19">
        <f>INDEX('Pliegos Tarifarios (Huechuraba)'!$K:$K,MATCH($B119,'Pliegos Tarifarios (Huechuraba)'!$A:$A,0))</f>
        <v>716.899</v>
      </c>
      <c r="S119" s="36">
        <f t="shared" si="3"/>
        <v>107208.2605464706</v>
      </c>
      <c r="T119" s="36">
        <f t="shared" si="4"/>
        <v>20369.569503829414</v>
      </c>
      <c r="U119" s="19">
        <v>0</v>
      </c>
      <c r="V119" s="36">
        <f t="shared" si="5"/>
        <v>127577.83005030002</v>
      </c>
    </row>
    <row r="120" spans="1:22" ht="23.4" thickBot="1" x14ac:dyDescent="0.35">
      <c r="A120" s="25" t="s">
        <v>145</v>
      </c>
      <c r="B120" s="26">
        <v>3</v>
      </c>
      <c r="C120" s="27" t="s">
        <v>15</v>
      </c>
      <c r="D120" s="26" t="s">
        <v>41</v>
      </c>
      <c r="E120" s="26" t="s">
        <v>37</v>
      </c>
      <c r="F120" s="27" t="s">
        <v>42</v>
      </c>
      <c r="G120" s="26" t="s">
        <v>33</v>
      </c>
      <c r="H120" s="28">
        <v>1173.8699999999999</v>
      </c>
      <c r="I120" s="26">
        <v>3.15</v>
      </c>
      <c r="J120" s="26">
        <v>3.04</v>
      </c>
      <c r="K120" s="29">
        <v>0.96499999999999997</v>
      </c>
      <c r="L120" s="26">
        <v>41.92</v>
      </c>
      <c r="M120" s="19">
        <f>H120*INDEX('Pliegos Tarifarios (Huechuraba)'!$B:$B,MATCH($B120,'Pliegos Tarifarios (Huechuraba)'!$A:$A,0))</f>
        <v>139500.36305999997</v>
      </c>
      <c r="N120" s="19">
        <f>I120*INDEX('Pliegos Tarifarios (Huechuraba)'!$C:$C,MATCH($B120,'Pliegos Tarifarios (Huechuraba)'!$A:$A,0))</f>
        <v>11000.647349999999</v>
      </c>
      <c r="O120" s="19">
        <f>J120*INDEX('Pliegos Tarifarios (Huechuraba)'!$D:$D,MATCH($B120,'Pliegos Tarifarios (Huechuraba)'!$A:$A,0))</f>
        <v>43146.157599999999</v>
      </c>
      <c r="P120" s="19">
        <f>H120*INDEX('Pliegos Tarifarios (Huechuraba)'!$E:$E,MATCH($B120,'Pliegos Tarifarios (Huechuraba)'!$A:$A,0))</f>
        <v>15180.48684</v>
      </c>
      <c r="Q120" s="19" cm="1">
        <f t="array" ref="Q120">H120*_xlfn.IFS(H120&lt;=350,INDEX('Pliegos Tarifarios (Huechuraba)'!$F:$F,MATCH($B120,'Pliegos Tarifarios (Huechuraba)'!$A:$A,0)),H120&lt;=500,INDEX('Pliegos Tarifarios (Huechuraba)'!$G:$G,MATCH($B120,'Pliegos Tarifarios (Huechuraba)'!$A:$A,0)),H120&lt;=1000,INDEX('Pliegos Tarifarios (Huechuraba)'!$H:$H,MATCH($B120,'Pliegos Tarifarios (Huechuraba)'!$A:$A,0)),H120&lt;=5000,INDEX('Pliegos Tarifarios (Huechuraba)'!$I:$I,MATCH($B120,'Pliegos Tarifarios (Huechuraba)'!$A:$A,0)),H120&gt;5000,INDEX('Pliegos Tarifarios (Huechuraba)'!$J:$J,MATCH($B120,'Pliegos Tarifarios (Huechuraba)'!$A:$A,0)))/1.19</f>
        <v>3522.5964453781503</v>
      </c>
      <c r="R120" s="19">
        <f>INDEX('Pliegos Tarifarios (Huechuraba)'!$K:$K,MATCH($B120,'Pliegos Tarifarios (Huechuraba)'!$A:$A,0))</f>
        <v>716.899</v>
      </c>
      <c r="S120" s="36">
        <f t="shared" si="3"/>
        <v>213067.15029537815</v>
      </c>
      <c r="T120" s="36">
        <f t="shared" si="4"/>
        <v>40482.758556121851</v>
      </c>
      <c r="U120" s="19">
        <v>0</v>
      </c>
      <c r="V120" s="36">
        <f t="shared" si="5"/>
        <v>253549.90885149999</v>
      </c>
    </row>
    <row r="121" spans="1:22" ht="23.4" thickBot="1" x14ac:dyDescent="0.35">
      <c r="A121" s="25" t="s">
        <v>145</v>
      </c>
      <c r="B121" s="26">
        <v>3</v>
      </c>
      <c r="C121" s="27" t="s">
        <v>15</v>
      </c>
      <c r="D121" s="26" t="s">
        <v>43</v>
      </c>
      <c r="E121" s="26" t="s">
        <v>37</v>
      </c>
      <c r="F121" s="27" t="s">
        <v>44</v>
      </c>
      <c r="G121" s="26" t="s">
        <v>33</v>
      </c>
      <c r="H121" s="26">
        <v>439.89</v>
      </c>
      <c r="I121" s="26">
        <v>1.18</v>
      </c>
      <c r="J121" s="26">
        <v>1.1499999999999999</v>
      </c>
      <c r="K121" s="29">
        <v>0.97899999999999998</v>
      </c>
      <c r="L121" s="26">
        <v>15.71</v>
      </c>
      <c r="M121" s="19">
        <f>H121*INDEX('Pliegos Tarifarios (Huechuraba)'!$B:$B,MATCH($B121,'Pliegos Tarifarios (Huechuraba)'!$A:$A,0))</f>
        <v>52275.647819999998</v>
      </c>
      <c r="N121" s="19">
        <f>I121*INDEX('Pliegos Tarifarios (Huechuraba)'!$C:$C,MATCH($B121,'Pliegos Tarifarios (Huechuraba)'!$A:$A,0))</f>
        <v>4120.8774199999998</v>
      </c>
      <c r="O121" s="19">
        <f>J121*INDEX('Pliegos Tarifarios (Huechuraba)'!$D:$D,MATCH($B121,'Pliegos Tarifarios (Huechuraba)'!$A:$A,0))</f>
        <v>16321.73725</v>
      </c>
      <c r="P121" s="19">
        <f>H121*INDEX('Pliegos Tarifarios (Huechuraba)'!$E:$E,MATCH($B121,'Pliegos Tarifarios (Huechuraba)'!$A:$A,0))</f>
        <v>5688.6574799999999</v>
      </c>
      <c r="Q121" s="19" cm="1">
        <f t="array" ref="Q121">H121*_xlfn.IFS(H121&lt;=350,INDEX('Pliegos Tarifarios (Huechuraba)'!$F:$F,MATCH($B121,'Pliegos Tarifarios (Huechuraba)'!$A:$A,0)),H121&lt;=500,INDEX('Pliegos Tarifarios (Huechuraba)'!$G:$G,MATCH($B121,'Pliegos Tarifarios (Huechuraba)'!$A:$A,0)),H121&lt;=1000,INDEX('Pliegos Tarifarios (Huechuraba)'!$H:$H,MATCH($B121,'Pliegos Tarifarios (Huechuraba)'!$A:$A,0)),H121&lt;=5000,INDEX('Pliegos Tarifarios (Huechuraba)'!$I:$I,MATCH($B121,'Pliegos Tarifarios (Huechuraba)'!$A:$A,0)),H121&gt;5000,INDEX('Pliegos Tarifarios (Huechuraba)'!$J:$J,MATCH($B121,'Pliegos Tarifarios (Huechuraba)'!$A:$A,0)))/1.19</f>
        <v>619.54255462184881</v>
      </c>
      <c r="R121" s="19">
        <f>INDEX('Pliegos Tarifarios (Huechuraba)'!$K:$K,MATCH($B121,'Pliegos Tarifarios (Huechuraba)'!$A:$A,0))</f>
        <v>716.899</v>
      </c>
      <c r="S121" s="36">
        <f t="shared" si="3"/>
        <v>79743.36152462184</v>
      </c>
      <c r="T121" s="36">
        <f t="shared" si="4"/>
        <v>15151.23868967815</v>
      </c>
      <c r="U121" s="19">
        <v>0</v>
      </c>
      <c r="V121" s="36">
        <f t="shared" si="5"/>
        <v>94894.600214299993</v>
      </c>
    </row>
    <row r="122" spans="1:22" ht="23.4" thickBot="1" x14ac:dyDescent="0.35">
      <c r="A122" s="25" t="s">
        <v>145</v>
      </c>
      <c r="B122" s="26">
        <v>3</v>
      </c>
      <c r="C122" s="27" t="s">
        <v>15</v>
      </c>
      <c r="D122" s="26" t="s">
        <v>45</v>
      </c>
      <c r="E122" s="26" t="s">
        <v>37</v>
      </c>
      <c r="F122" s="27" t="s">
        <v>46</v>
      </c>
      <c r="G122" s="26" t="s">
        <v>33</v>
      </c>
      <c r="H122" s="26">
        <v>440.37</v>
      </c>
      <c r="I122" s="26">
        <v>1.21</v>
      </c>
      <c r="J122" s="26">
        <v>1.21</v>
      </c>
      <c r="K122" s="29">
        <v>1</v>
      </c>
      <c r="L122" s="26">
        <v>15.73</v>
      </c>
      <c r="M122" s="19">
        <f>H122*INDEX('Pliegos Tarifarios (Huechuraba)'!$B:$B,MATCH($B122,'Pliegos Tarifarios (Huechuraba)'!$A:$A,0))</f>
        <v>52332.690060000001</v>
      </c>
      <c r="N122" s="19">
        <f>I122*INDEX('Pliegos Tarifarios (Huechuraba)'!$C:$C,MATCH($B122,'Pliegos Tarifarios (Huechuraba)'!$A:$A,0))</f>
        <v>4225.6454899999999</v>
      </c>
      <c r="O122" s="19">
        <f>J122*INDEX('Pliegos Tarifarios (Huechuraba)'!$D:$D,MATCH($B122,'Pliegos Tarifarios (Huechuraba)'!$A:$A,0))</f>
        <v>17173.30615</v>
      </c>
      <c r="P122" s="19">
        <f>H122*INDEX('Pliegos Tarifarios (Huechuraba)'!$E:$E,MATCH($B122,'Pliegos Tarifarios (Huechuraba)'!$A:$A,0))</f>
        <v>5694.8648400000002</v>
      </c>
      <c r="Q122" s="19" cm="1">
        <f t="array" ref="Q122">H122*_xlfn.IFS(H122&lt;=350,INDEX('Pliegos Tarifarios (Huechuraba)'!$F:$F,MATCH($B122,'Pliegos Tarifarios (Huechuraba)'!$A:$A,0)),H122&lt;=500,INDEX('Pliegos Tarifarios (Huechuraba)'!$G:$G,MATCH($B122,'Pliegos Tarifarios (Huechuraba)'!$A:$A,0)),H122&lt;=1000,INDEX('Pliegos Tarifarios (Huechuraba)'!$H:$H,MATCH($B122,'Pliegos Tarifarios (Huechuraba)'!$A:$A,0)),H122&lt;=5000,INDEX('Pliegos Tarifarios (Huechuraba)'!$I:$I,MATCH($B122,'Pliegos Tarifarios (Huechuraba)'!$A:$A,0)),H122&gt;5000,INDEX('Pliegos Tarifarios (Huechuraba)'!$J:$J,MATCH($B122,'Pliegos Tarifarios (Huechuraba)'!$A:$A,0)))/1.19</f>
        <v>620.21858823529419</v>
      </c>
      <c r="R122" s="19">
        <f>INDEX('Pliegos Tarifarios (Huechuraba)'!$K:$K,MATCH($B122,'Pliegos Tarifarios (Huechuraba)'!$A:$A,0))</f>
        <v>716.899</v>
      </c>
      <c r="S122" s="36">
        <f t="shared" si="3"/>
        <v>80763.6241282353</v>
      </c>
      <c r="T122" s="36">
        <f t="shared" si="4"/>
        <v>15345.088584364707</v>
      </c>
      <c r="U122" s="19">
        <v>0</v>
      </c>
      <c r="V122" s="36">
        <f t="shared" si="5"/>
        <v>96108.712712600012</v>
      </c>
    </row>
    <row r="123" spans="1:22" ht="23.4" thickBot="1" x14ac:dyDescent="0.35">
      <c r="A123" s="25" t="s">
        <v>145</v>
      </c>
      <c r="B123" s="26">
        <v>3</v>
      </c>
      <c r="C123" s="27" t="s">
        <v>15</v>
      </c>
      <c r="D123" s="26" t="s">
        <v>47</v>
      </c>
      <c r="E123" s="26" t="s">
        <v>37</v>
      </c>
      <c r="F123" s="27" t="s">
        <v>48</v>
      </c>
      <c r="G123" s="26" t="s">
        <v>33</v>
      </c>
      <c r="H123" s="26">
        <v>882.63</v>
      </c>
      <c r="I123" s="26">
        <v>2.39</v>
      </c>
      <c r="J123" s="26">
        <v>2.2999999999999998</v>
      </c>
      <c r="K123" s="29">
        <v>0.96499999999999997</v>
      </c>
      <c r="L123" s="26">
        <v>31.52</v>
      </c>
      <c r="M123" s="19">
        <f>H123*INDEX('Pliegos Tarifarios (Huechuraba)'!$B:$B,MATCH($B123,'Pliegos Tarifarios (Huechuraba)'!$A:$A,0))</f>
        <v>104889.98393999999</v>
      </c>
      <c r="N123" s="19">
        <f>I123*INDEX('Pliegos Tarifarios (Huechuraba)'!$C:$C,MATCH($B123,'Pliegos Tarifarios (Huechuraba)'!$A:$A,0))</f>
        <v>8346.5229099999997</v>
      </c>
      <c r="O123" s="19">
        <f>J123*INDEX('Pliegos Tarifarios (Huechuraba)'!$D:$D,MATCH($B123,'Pliegos Tarifarios (Huechuraba)'!$A:$A,0))</f>
        <v>32643.4745</v>
      </c>
      <c r="P123" s="19">
        <f>H123*INDEX('Pliegos Tarifarios (Huechuraba)'!$E:$E,MATCH($B123,'Pliegos Tarifarios (Huechuraba)'!$A:$A,0))</f>
        <v>11414.17116</v>
      </c>
      <c r="Q123" s="19" cm="1">
        <f t="array" ref="Q123">H123*_xlfn.IFS(H123&lt;=350,INDEX('Pliegos Tarifarios (Huechuraba)'!$F:$F,MATCH($B123,'Pliegos Tarifarios (Huechuraba)'!$A:$A,0)),H123&lt;=500,INDEX('Pliegos Tarifarios (Huechuraba)'!$G:$G,MATCH($B123,'Pliegos Tarifarios (Huechuraba)'!$A:$A,0)),H123&lt;=1000,INDEX('Pliegos Tarifarios (Huechuraba)'!$H:$H,MATCH($B123,'Pliegos Tarifarios (Huechuraba)'!$A:$A,0)),H123&lt;=5000,INDEX('Pliegos Tarifarios (Huechuraba)'!$I:$I,MATCH($B123,'Pliegos Tarifarios (Huechuraba)'!$A:$A,0)),H123&gt;5000,INDEX('Pliegos Tarifarios (Huechuraba)'!$J:$J,MATCH($B123,'Pliegos Tarifarios (Huechuraba)'!$A:$A,0)))/1.19</f>
        <v>2070.1011176470593</v>
      </c>
      <c r="R123" s="19">
        <f>INDEX('Pliegos Tarifarios (Huechuraba)'!$K:$K,MATCH($B123,'Pliegos Tarifarios (Huechuraba)'!$A:$A,0))</f>
        <v>716.899</v>
      </c>
      <c r="S123" s="36">
        <f t="shared" si="3"/>
        <v>160081.15262764704</v>
      </c>
      <c r="T123" s="36">
        <f t="shared" si="4"/>
        <v>30415.418999252939</v>
      </c>
      <c r="U123" s="19">
        <v>0</v>
      </c>
      <c r="V123" s="36">
        <f t="shared" si="5"/>
        <v>190496.57162689997</v>
      </c>
    </row>
    <row r="124" spans="1:22" ht="23.4" thickBot="1" x14ac:dyDescent="0.35">
      <c r="A124" s="25" t="s">
        <v>145</v>
      </c>
      <c r="B124" s="26">
        <v>3</v>
      </c>
      <c r="C124" s="27" t="s">
        <v>15</v>
      </c>
      <c r="D124" s="26" t="s">
        <v>49</v>
      </c>
      <c r="E124" s="26" t="s">
        <v>50</v>
      </c>
      <c r="F124" s="27" t="s">
        <v>51</v>
      </c>
      <c r="G124" s="26" t="s">
        <v>33</v>
      </c>
      <c r="H124" s="26">
        <v>880.68</v>
      </c>
      <c r="I124" s="26">
        <v>2.4300000000000002</v>
      </c>
      <c r="J124" s="26">
        <v>2.39</v>
      </c>
      <c r="K124" s="29">
        <v>0.98</v>
      </c>
      <c r="L124" s="26">
        <v>31.45</v>
      </c>
      <c r="M124" s="19">
        <f>H124*INDEX('Pliegos Tarifarios (Huechuraba)'!$B:$B,MATCH($B124,'Pliegos Tarifarios (Huechuraba)'!$A:$A,0))</f>
        <v>104658.24983999999</v>
      </c>
      <c r="N124" s="19">
        <f>I124*INDEX('Pliegos Tarifarios (Huechuraba)'!$C:$C,MATCH($B124,'Pliegos Tarifarios (Huechuraba)'!$A:$A,0))</f>
        <v>8486.2136699999992</v>
      </c>
      <c r="O124" s="19">
        <f>J124*INDEX('Pliegos Tarifarios (Huechuraba)'!$D:$D,MATCH($B124,'Pliegos Tarifarios (Huechuraba)'!$A:$A,0))</f>
        <v>33920.827850000001</v>
      </c>
      <c r="P124" s="19">
        <f>H124*INDEX('Pliegos Tarifarios (Huechuraba)'!$E:$E,MATCH($B124,'Pliegos Tarifarios (Huechuraba)'!$A:$A,0))</f>
        <v>11388.95376</v>
      </c>
      <c r="Q124" s="19" cm="1">
        <f t="array" ref="Q124">H124*_xlfn.IFS(H124&lt;=350,INDEX('Pliegos Tarifarios (Huechuraba)'!$F:$F,MATCH($B124,'Pliegos Tarifarios (Huechuraba)'!$A:$A,0)),H124&lt;=500,INDEX('Pliegos Tarifarios (Huechuraba)'!$G:$G,MATCH($B124,'Pliegos Tarifarios (Huechuraba)'!$A:$A,0)),H124&lt;=1000,INDEX('Pliegos Tarifarios (Huechuraba)'!$H:$H,MATCH($B124,'Pliegos Tarifarios (Huechuraba)'!$A:$A,0)),H124&lt;=5000,INDEX('Pliegos Tarifarios (Huechuraba)'!$I:$I,MATCH($B124,'Pliegos Tarifarios (Huechuraba)'!$A:$A,0)),H124&gt;5000,INDEX('Pliegos Tarifarios (Huechuraba)'!$J:$J,MATCH($B124,'Pliegos Tarifarios (Huechuraba)'!$A:$A,0)))/1.19</f>
        <v>2065.5276302521011</v>
      </c>
      <c r="R124" s="19">
        <f>INDEX('Pliegos Tarifarios (Huechuraba)'!$K:$K,MATCH($B124,'Pliegos Tarifarios (Huechuraba)'!$A:$A,0))</f>
        <v>716.899</v>
      </c>
      <c r="S124" s="36">
        <f t="shared" si="3"/>
        <v>161236.67175025208</v>
      </c>
      <c r="T124" s="36">
        <f t="shared" si="4"/>
        <v>30634.967632547894</v>
      </c>
      <c r="U124" s="19">
        <v>0</v>
      </c>
      <c r="V124" s="36">
        <f t="shared" si="5"/>
        <v>191871.63938279997</v>
      </c>
    </row>
    <row r="125" spans="1:22" ht="23.4" thickBot="1" x14ac:dyDescent="0.35">
      <c r="A125" s="25" t="s">
        <v>145</v>
      </c>
      <c r="B125" s="26">
        <v>3</v>
      </c>
      <c r="C125" s="27" t="s">
        <v>15</v>
      </c>
      <c r="D125" s="26" t="s">
        <v>52</v>
      </c>
      <c r="E125" s="26" t="s">
        <v>50</v>
      </c>
      <c r="F125" s="27" t="s">
        <v>53</v>
      </c>
      <c r="G125" s="26" t="s">
        <v>33</v>
      </c>
      <c r="H125" s="26">
        <v>881.26</v>
      </c>
      <c r="I125" s="26">
        <v>2.41</v>
      </c>
      <c r="J125" s="26">
        <v>2.3199999999999998</v>
      </c>
      <c r="K125" s="29">
        <v>0.96299999999999997</v>
      </c>
      <c r="L125" s="26">
        <v>31.47</v>
      </c>
      <c r="M125" s="19">
        <f>H125*INDEX('Pliegos Tarifarios (Huechuraba)'!$B:$B,MATCH($B125,'Pliegos Tarifarios (Huechuraba)'!$A:$A,0))</f>
        <v>104727.17588</v>
      </c>
      <c r="N125" s="19">
        <f>I125*INDEX('Pliegos Tarifarios (Huechuraba)'!$C:$C,MATCH($B125,'Pliegos Tarifarios (Huechuraba)'!$A:$A,0))</f>
        <v>8416.3682900000003</v>
      </c>
      <c r="O125" s="19">
        <f>J125*INDEX('Pliegos Tarifarios (Huechuraba)'!$D:$D,MATCH($B125,'Pliegos Tarifarios (Huechuraba)'!$A:$A,0))</f>
        <v>32927.330799999996</v>
      </c>
      <c r="P125" s="19">
        <f>H125*INDEX('Pliegos Tarifarios (Huechuraba)'!$E:$E,MATCH($B125,'Pliegos Tarifarios (Huechuraba)'!$A:$A,0))</f>
        <v>11396.454320000001</v>
      </c>
      <c r="Q125" s="19" cm="1">
        <f t="array" ref="Q125">H125*_xlfn.IFS(H125&lt;=350,INDEX('Pliegos Tarifarios (Huechuraba)'!$F:$F,MATCH($B125,'Pliegos Tarifarios (Huechuraba)'!$A:$A,0)),H125&lt;=500,INDEX('Pliegos Tarifarios (Huechuraba)'!$G:$G,MATCH($B125,'Pliegos Tarifarios (Huechuraba)'!$A:$A,0)),H125&lt;=1000,INDEX('Pliegos Tarifarios (Huechuraba)'!$H:$H,MATCH($B125,'Pliegos Tarifarios (Huechuraba)'!$A:$A,0)),H125&lt;=5000,INDEX('Pliegos Tarifarios (Huechuraba)'!$I:$I,MATCH($B125,'Pliegos Tarifarios (Huechuraba)'!$A:$A,0)),H125&gt;5000,INDEX('Pliegos Tarifarios (Huechuraba)'!$J:$J,MATCH($B125,'Pliegos Tarifarios (Huechuraba)'!$A:$A,0)))/1.19</f>
        <v>2066.8879495798324</v>
      </c>
      <c r="R125" s="19">
        <f>INDEX('Pliegos Tarifarios (Huechuraba)'!$K:$K,MATCH($B125,'Pliegos Tarifarios (Huechuraba)'!$A:$A,0))</f>
        <v>716.899</v>
      </c>
      <c r="S125" s="36">
        <f t="shared" si="3"/>
        <v>160251.11623957983</v>
      </c>
      <c r="T125" s="36">
        <f t="shared" si="4"/>
        <v>30447.712085520168</v>
      </c>
      <c r="U125" s="19">
        <v>0</v>
      </c>
      <c r="V125" s="36">
        <f t="shared" si="5"/>
        <v>190698.82832510001</v>
      </c>
    </row>
    <row r="126" spans="1:22" ht="23.4" thickBot="1" x14ac:dyDescent="0.35">
      <c r="A126" s="25" t="s">
        <v>145</v>
      </c>
      <c r="B126" s="26">
        <v>3</v>
      </c>
      <c r="C126" s="27" t="s">
        <v>15</v>
      </c>
      <c r="D126" s="26" t="s">
        <v>54</v>
      </c>
      <c r="E126" s="26" t="s">
        <v>55</v>
      </c>
      <c r="F126" s="27" t="s">
        <v>56</v>
      </c>
      <c r="G126" s="26" t="s">
        <v>33</v>
      </c>
      <c r="H126" s="26">
        <v>441.12</v>
      </c>
      <c r="I126" s="26">
        <v>1.21</v>
      </c>
      <c r="J126" s="26">
        <v>1.1499999999999999</v>
      </c>
      <c r="K126" s="29">
        <v>0.95099999999999996</v>
      </c>
      <c r="L126" s="26">
        <v>15.75</v>
      </c>
      <c r="M126" s="19">
        <f>H126*INDEX('Pliegos Tarifarios (Huechuraba)'!$B:$B,MATCH($B126,'Pliegos Tarifarios (Huechuraba)'!$A:$A,0))</f>
        <v>52421.81856</v>
      </c>
      <c r="N126" s="19">
        <f>I126*INDEX('Pliegos Tarifarios (Huechuraba)'!$C:$C,MATCH($B126,'Pliegos Tarifarios (Huechuraba)'!$A:$A,0))</f>
        <v>4225.6454899999999</v>
      </c>
      <c r="O126" s="19">
        <f>J126*INDEX('Pliegos Tarifarios (Huechuraba)'!$D:$D,MATCH($B126,'Pliegos Tarifarios (Huechuraba)'!$A:$A,0))</f>
        <v>16321.73725</v>
      </c>
      <c r="P126" s="19">
        <f>H126*INDEX('Pliegos Tarifarios (Huechuraba)'!$E:$E,MATCH($B126,'Pliegos Tarifarios (Huechuraba)'!$A:$A,0))</f>
        <v>5704.5638399999998</v>
      </c>
      <c r="Q126" s="19" cm="1">
        <f t="array" ref="Q126">H126*_xlfn.IFS(H126&lt;=350,INDEX('Pliegos Tarifarios (Huechuraba)'!$F:$F,MATCH($B126,'Pliegos Tarifarios (Huechuraba)'!$A:$A,0)),H126&lt;=500,INDEX('Pliegos Tarifarios (Huechuraba)'!$G:$G,MATCH($B126,'Pliegos Tarifarios (Huechuraba)'!$A:$A,0)),H126&lt;=1000,INDEX('Pliegos Tarifarios (Huechuraba)'!$H:$H,MATCH($B126,'Pliegos Tarifarios (Huechuraba)'!$A:$A,0)),H126&lt;=5000,INDEX('Pliegos Tarifarios (Huechuraba)'!$I:$I,MATCH($B126,'Pliegos Tarifarios (Huechuraba)'!$A:$A,0)),H126&gt;5000,INDEX('Pliegos Tarifarios (Huechuraba)'!$J:$J,MATCH($B126,'Pliegos Tarifarios (Huechuraba)'!$A:$A,0)))/1.19</f>
        <v>621.27489075630263</v>
      </c>
      <c r="R126" s="19">
        <f>INDEX('Pliegos Tarifarios (Huechuraba)'!$K:$K,MATCH($B126,'Pliegos Tarifarios (Huechuraba)'!$A:$A,0))</f>
        <v>716.899</v>
      </c>
      <c r="S126" s="36">
        <f t="shared" si="3"/>
        <v>80011.939030756315</v>
      </c>
      <c r="T126" s="36">
        <f t="shared" si="4"/>
        <v>15202.2684158437</v>
      </c>
      <c r="U126" s="19">
        <v>0</v>
      </c>
      <c r="V126" s="36">
        <f t="shared" si="5"/>
        <v>95214.207446600019</v>
      </c>
    </row>
    <row r="127" spans="1:22" ht="23.4" thickBot="1" x14ac:dyDescent="0.35">
      <c r="A127" s="25" t="s">
        <v>145</v>
      </c>
      <c r="B127" s="26">
        <v>3</v>
      </c>
      <c r="C127" s="27" t="s">
        <v>15</v>
      </c>
      <c r="D127" s="26" t="s">
        <v>57</v>
      </c>
      <c r="E127" s="26" t="s">
        <v>58</v>
      </c>
      <c r="F127" s="27" t="s">
        <v>59</v>
      </c>
      <c r="G127" s="26" t="s">
        <v>33</v>
      </c>
      <c r="H127" s="26">
        <v>293.8</v>
      </c>
      <c r="I127" s="26">
        <v>0.78</v>
      </c>
      <c r="J127" s="26">
        <v>0.78</v>
      </c>
      <c r="K127" s="29">
        <v>1</v>
      </c>
      <c r="L127" s="26">
        <v>10.49</v>
      </c>
      <c r="M127" s="19">
        <f>H127*INDEX('Pliegos Tarifarios (Huechuraba)'!$B:$B,MATCH($B127,'Pliegos Tarifarios (Huechuraba)'!$A:$A,0))</f>
        <v>34914.604399999997</v>
      </c>
      <c r="N127" s="19">
        <f>I127*INDEX('Pliegos Tarifarios (Huechuraba)'!$C:$C,MATCH($B127,'Pliegos Tarifarios (Huechuraba)'!$A:$A,0))</f>
        <v>2723.9698199999998</v>
      </c>
      <c r="O127" s="19">
        <f>J127*INDEX('Pliegos Tarifarios (Huechuraba)'!$D:$D,MATCH($B127,'Pliegos Tarifarios (Huechuraba)'!$A:$A,0))</f>
        <v>11070.395700000001</v>
      </c>
      <c r="P127" s="19">
        <f>H127*INDEX('Pliegos Tarifarios (Huechuraba)'!$E:$E,MATCH($B127,'Pliegos Tarifarios (Huechuraba)'!$A:$A,0))</f>
        <v>3799.4216000000001</v>
      </c>
      <c r="Q127" s="19" cm="1">
        <f t="array" ref="Q127">H127*_xlfn.IFS(H127&lt;=350,INDEX('Pliegos Tarifarios (Huechuraba)'!$F:$F,MATCH($B127,'Pliegos Tarifarios (Huechuraba)'!$A:$A,0)),H127&lt;=500,INDEX('Pliegos Tarifarios (Huechuraba)'!$G:$G,MATCH($B127,'Pliegos Tarifarios (Huechuraba)'!$A:$A,0)),H127&lt;=1000,INDEX('Pliegos Tarifarios (Huechuraba)'!$H:$H,MATCH($B127,'Pliegos Tarifarios (Huechuraba)'!$A:$A,0)),H127&lt;=5000,INDEX('Pliegos Tarifarios (Huechuraba)'!$I:$I,MATCH($B127,'Pliegos Tarifarios (Huechuraba)'!$A:$A,0)),H127&gt;5000,INDEX('Pliegos Tarifarios (Huechuraba)'!$J:$J,MATCH($B127,'Pliegos Tarifarios (Huechuraba)'!$A:$A,0)))/1.19</f>
        <v>193.56235294117647</v>
      </c>
      <c r="R127" s="19">
        <f>INDEX('Pliegos Tarifarios (Huechuraba)'!$K:$K,MATCH($B127,'Pliegos Tarifarios (Huechuraba)'!$A:$A,0))</f>
        <v>716.899</v>
      </c>
      <c r="S127" s="36">
        <f t="shared" si="3"/>
        <v>53418.85287294117</v>
      </c>
      <c r="T127" s="36">
        <f t="shared" si="4"/>
        <v>10149.582045858822</v>
      </c>
      <c r="U127" s="19">
        <v>0</v>
      </c>
      <c r="V127" s="36">
        <f t="shared" si="5"/>
        <v>63568.434918799991</v>
      </c>
    </row>
    <row r="128" spans="1:22" ht="23.4" thickBot="1" x14ac:dyDescent="0.35">
      <c r="A128" s="25" t="s">
        <v>145</v>
      </c>
      <c r="B128" s="26">
        <v>3</v>
      </c>
      <c r="C128" s="27" t="s">
        <v>15</v>
      </c>
      <c r="D128" s="26" t="s">
        <v>60</v>
      </c>
      <c r="E128" s="26" t="s">
        <v>61</v>
      </c>
      <c r="F128" s="27" t="s">
        <v>62</v>
      </c>
      <c r="G128" s="26" t="s">
        <v>33</v>
      </c>
      <c r="H128" s="26">
        <v>292.95</v>
      </c>
      <c r="I128" s="26">
        <v>0.78</v>
      </c>
      <c r="J128" s="26">
        <v>0.78</v>
      </c>
      <c r="K128" s="29">
        <v>0.998</v>
      </c>
      <c r="L128" s="26">
        <v>10.46</v>
      </c>
      <c r="M128" s="19">
        <f>H128*INDEX('Pliegos Tarifarios (Huechuraba)'!$B:$B,MATCH($B128,'Pliegos Tarifarios (Huechuraba)'!$A:$A,0))</f>
        <v>34813.592099999994</v>
      </c>
      <c r="N128" s="19">
        <f>I128*INDEX('Pliegos Tarifarios (Huechuraba)'!$C:$C,MATCH($B128,'Pliegos Tarifarios (Huechuraba)'!$A:$A,0))</f>
        <v>2723.9698199999998</v>
      </c>
      <c r="O128" s="19">
        <f>J128*INDEX('Pliegos Tarifarios (Huechuraba)'!$D:$D,MATCH($B128,'Pliegos Tarifarios (Huechuraba)'!$A:$A,0))</f>
        <v>11070.395700000001</v>
      </c>
      <c r="P128" s="19">
        <f>H128*INDEX('Pliegos Tarifarios (Huechuraba)'!$E:$E,MATCH($B128,'Pliegos Tarifarios (Huechuraba)'!$A:$A,0))</f>
        <v>3788.4294</v>
      </c>
      <c r="Q128" s="19" cm="1">
        <f t="array" ref="Q128">H128*_xlfn.IFS(H128&lt;=350,INDEX('Pliegos Tarifarios (Huechuraba)'!$F:$F,MATCH($B128,'Pliegos Tarifarios (Huechuraba)'!$A:$A,0)),H128&lt;=500,INDEX('Pliegos Tarifarios (Huechuraba)'!$G:$G,MATCH($B128,'Pliegos Tarifarios (Huechuraba)'!$A:$A,0)),H128&lt;=1000,INDEX('Pliegos Tarifarios (Huechuraba)'!$H:$H,MATCH($B128,'Pliegos Tarifarios (Huechuraba)'!$A:$A,0)),H128&lt;=5000,INDEX('Pliegos Tarifarios (Huechuraba)'!$I:$I,MATCH($B128,'Pliegos Tarifarios (Huechuraba)'!$A:$A,0)),H128&gt;5000,INDEX('Pliegos Tarifarios (Huechuraba)'!$J:$J,MATCH($B128,'Pliegos Tarifarios (Huechuraba)'!$A:$A,0)))/1.19</f>
        <v>193.00235294117647</v>
      </c>
      <c r="R128" s="19">
        <f>INDEX('Pliegos Tarifarios (Huechuraba)'!$K:$K,MATCH($B128,'Pliegos Tarifarios (Huechuraba)'!$A:$A,0))</f>
        <v>716.899</v>
      </c>
      <c r="S128" s="36">
        <f t="shared" si="3"/>
        <v>53306.28837294117</v>
      </c>
      <c r="T128" s="36">
        <f t="shared" si="4"/>
        <v>10128.194790858823</v>
      </c>
      <c r="U128" s="19">
        <v>0</v>
      </c>
      <c r="V128" s="36">
        <f t="shared" si="5"/>
        <v>63434.483163799989</v>
      </c>
    </row>
    <row r="129" spans="1:22" ht="23.4" thickBot="1" x14ac:dyDescent="0.35">
      <c r="A129" s="25" t="s">
        <v>145</v>
      </c>
      <c r="B129" s="26">
        <v>3</v>
      </c>
      <c r="C129" s="27" t="s">
        <v>15</v>
      </c>
      <c r="D129" s="26" t="s">
        <v>63</v>
      </c>
      <c r="E129" s="26" t="s">
        <v>64</v>
      </c>
      <c r="F129" s="27" t="s">
        <v>65</v>
      </c>
      <c r="G129" s="26" t="s">
        <v>33</v>
      </c>
      <c r="H129" s="26">
        <v>294.14999999999998</v>
      </c>
      <c r="I129" s="26">
        <v>0.8</v>
      </c>
      <c r="J129" s="26">
        <v>0.78</v>
      </c>
      <c r="K129" s="29">
        <v>0.98499999999999999</v>
      </c>
      <c r="L129" s="26">
        <v>10.51</v>
      </c>
      <c r="M129" s="19">
        <f>H129*INDEX('Pliegos Tarifarios (Huechuraba)'!$B:$B,MATCH($B129,'Pliegos Tarifarios (Huechuraba)'!$A:$A,0))</f>
        <v>34956.197699999997</v>
      </c>
      <c r="N129" s="19">
        <f>I129*INDEX('Pliegos Tarifarios (Huechuraba)'!$C:$C,MATCH($B129,'Pliegos Tarifarios (Huechuraba)'!$A:$A,0))</f>
        <v>2793.8152</v>
      </c>
      <c r="O129" s="19">
        <f>J129*INDEX('Pliegos Tarifarios (Huechuraba)'!$D:$D,MATCH($B129,'Pliegos Tarifarios (Huechuraba)'!$A:$A,0))</f>
        <v>11070.395700000001</v>
      </c>
      <c r="P129" s="19">
        <f>H129*INDEX('Pliegos Tarifarios (Huechuraba)'!$E:$E,MATCH($B129,'Pliegos Tarifarios (Huechuraba)'!$A:$A,0))</f>
        <v>3803.9477999999999</v>
      </c>
      <c r="Q129" s="19" cm="1">
        <f t="array" ref="Q129">H129*_xlfn.IFS(H129&lt;=350,INDEX('Pliegos Tarifarios (Huechuraba)'!$F:$F,MATCH($B129,'Pliegos Tarifarios (Huechuraba)'!$A:$A,0)),H129&lt;=500,INDEX('Pliegos Tarifarios (Huechuraba)'!$G:$G,MATCH($B129,'Pliegos Tarifarios (Huechuraba)'!$A:$A,0)),H129&lt;=1000,INDEX('Pliegos Tarifarios (Huechuraba)'!$H:$H,MATCH($B129,'Pliegos Tarifarios (Huechuraba)'!$A:$A,0)),H129&lt;=5000,INDEX('Pliegos Tarifarios (Huechuraba)'!$I:$I,MATCH($B129,'Pliegos Tarifarios (Huechuraba)'!$A:$A,0)),H129&gt;5000,INDEX('Pliegos Tarifarios (Huechuraba)'!$J:$J,MATCH($B129,'Pliegos Tarifarios (Huechuraba)'!$A:$A,0)))/1.19</f>
        <v>193.79294117647058</v>
      </c>
      <c r="R129" s="19">
        <f>INDEX('Pliegos Tarifarios (Huechuraba)'!$K:$K,MATCH($B129,'Pliegos Tarifarios (Huechuraba)'!$A:$A,0))</f>
        <v>716.899</v>
      </c>
      <c r="S129" s="36">
        <f t="shared" si="3"/>
        <v>53535.048341176465</v>
      </c>
      <c r="T129" s="36">
        <f t="shared" si="4"/>
        <v>10171.659184823529</v>
      </c>
      <c r="U129" s="19">
        <v>0</v>
      </c>
      <c r="V129" s="36">
        <f t="shared" si="5"/>
        <v>63706.707525999998</v>
      </c>
    </row>
    <row r="130" spans="1:22" ht="23.4" thickBot="1" x14ac:dyDescent="0.35">
      <c r="A130" s="25" t="s">
        <v>145</v>
      </c>
      <c r="B130" s="26">
        <v>3</v>
      </c>
      <c r="C130" s="27" t="s">
        <v>15</v>
      </c>
      <c r="D130" s="26" t="s">
        <v>66</v>
      </c>
      <c r="E130" s="26" t="s">
        <v>37</v>
      </c>
      <c r="F130" s="27" t="s">
        <v>67</v>
      </c>
      <c r="G130" s="26" t="s">
        <v>33</v>
      </c>
      <c r="H130" s="26">
        <v>585.98</v>
      </c>
      <c r="I130" s="26">
        <v>1.59</v>
      </c>
      <c r="J130" s="26">
        <v>1.59</v>
      </c>
      <c r="K130" s="29">
        <v>1</v>
      </c>
      <c r="L130" s="26">
        <v>20.93</v>
      </c>
      <c r="M130" s="19">
        <f>H130*INDEX('Pliegos Tarifarios (Huechuraba)'!$B:$B,MATCH($B130,'Pliegos Tarifarios (Huechuraba)'!$A:$A,0))</f>
        <v>69636.69124</v>
      </c>
      <c r="N130" s="19">
        <f>I130*INDEX('Pliegos Tarifarios (Huechuraba)'!$C:$C,MATCH($B130,'Pliegos Tarifarios (Huechuraba)'!$A:$A,0))</f>
        <v>5552.7077099999997</v>
      </c>
      <c r="O130" s="19">
        <f>J130*INDEX('Pliegos Tarifarios (Huechuraba)'!$D:$D,MATCH($B130,'Pliegos Tarifarios (Huechuraba)'!$A:$A,0))</f>
        <v>22566.575850000001</v>
      </c>
      <c r="P130" s="19">
        <f>H130*INDEX('Pliegos Tarifarios (Huechuraba)'!$E:$E,MATCH($B130,'Pliegos Tarifarios (Huechuraba)'!$A:$A,0))</f>
        <v>7577.89336</v>
      </c>
      <c r="Q130" s="19" cm="1">
        <f t="array" ref="Q130">H130*_xlfn.IFS(H130&lt;=350,INDEX('Pliegos Tarifarios (Huechuraba)'!$F:$F,MATCH($B130,'Pliegos Tarifarios (Huechuraba)'!$A:$A,0)),H130&lt;=500,INDEX('Pliegos Tarifarios (Huechuraba)'!$G:$G,MATCH($B130,'Pliegos Tarifarios (Huechuraba)'!$A:$A,0)),H130&lt;=1000,INDEX('Pliegos Tarifarios (Huechuraba)'!$H:$H,MATCH($B130,'Pliegos Tarifarios (Huechuraba)'!$A:$A,0)),H130&lt;=5000,INDEX('Pliegos Tarifarios (Huechuraba)'!$I:$I,MATCH($B130,'Pliegos Tarifarios (Huechuraba)'!$A:$A,0)),H130&gt;5000,INDEX('Pliegos Tarifarios (Huechuraba)'!$J:$J,MATCH($B130,'Pliegos Tarifarios (Huechuraba)'!$A:$A,0)))/1.19</f>
        <v>1374.3446890756306</v>
      </c>
      <c r="R130" s="19">
        <f>INDEX('Pliegos Tarifarios (Huechuraba)'!$K:$K,MATCH($B130,'Pliegos Tarifarios (Huechuraba)'!$A:$A,0))</f>
        <v>716.899</v>
      </c>
      <c r="S130" s="36">
        <f t="shared" si="3"/>
        <v>107425.11184907563</v>
      </c>
      <c r="T130" s="36">
        <f t="shared" si="4"/>
        <v>20410.771251324371</v>
      </c>
      <c r="U130" s="19">
        <v>0</v>
      </c>
      <c r="V130" s="36">
        <f t="shared" si="5"/>
        <v>127835.88310040001</v>
      </c>
    </row>
    <row r="131" spans="1:22" ht="23.4" thickBot="1" x14ac:dyDescent="0.35">
      <c r="A131" s="25" t="s">
        <v>145</v>
      </c>
      <c r="B131" s="26">
        <v>3</v>
      </c>
      <c r="C131" s="27" t="s">
        <v>15</v>
      </c>
      <c r="D131" s="26" t="s">
        <v>68</v>
      </c>
      <c r="E131" s="26" t="s">
        <v>37</v>
      </c>
      <c r="F131" s="27" t="s">
        <v>69</v>
      </c>
      <c r="G131" s="26" t="s">
        <v>33</v>
      </c>
      <c r="H131" s="26">
        <v>587.84</v>
      </c>
      <c r="I131" s="26">
        <v>1.59</v>
      </c>
      <c r="J131" s="26">
        <v>1.58</v>
      </c>
      <c r="K131" s="29">
        <v>0.99</v>
      </c>
      <c r="L131" s="26">
        <v>20.99</v>
      </c>
      <c r="M131" s="19">
        <f>H131*INDEX('Pliegos Tarifarios (Huechuraba)'!$B:$B,MATCH($B131,'Pliegos Tarifarios (Huechuraba)'!$A:$A,0))</f>
        <v>69857.729919999998</v>
      </c>
      <c r="N131" s="19">
        <f>I131*INDEX('Pliegos Tarifarios (Huechuraba)'!$C:$C,MATCH($B131,'Pliegos Tarifarios (Huechuraba)'!$A:$A,0))</f>
        <v>5552.7077099999997</v>
      </c>
      <c r="O131" s="19">
        <f>J131*INDEX('Pliegos Tarifarios (Huechuraba)'!$D:$D,MATCH($B131,'Pliegos Tarifarios (Huechuraba)'!$A:$A,0))</f>
        <v>22424.647700000001</v>
      </c>
      <c r="P131" s="19">
        <f>H131*INDEX('Pliegos Tarifarios (Huechuraba)'!$E:$E,MATCH($B131,'Pliegos Tarifarios (Huechuraba)'!$A:$A,0))</f>
        <v>7601.9468800000004</v>
      </c>
      <c r="Q131" s="19" cm="1">
        <f t="array" ref="Q131">H131*_xlfn.IFS(H131&lt;=350,INDEX('Pliegos Tarifarios (Huechuraba)'!$F:$F,MATCH($B131,'Pliegos Tarifarios (Huechuraba)'!$A:$A,0)),H131&lt;=500,INDEX('Pliegos Tarifarios (Huechuraba)'!$G:$G,MATCH($B131,'Pliegos Tarifarios (Huechuraba)'!$A:$A,0)),H131&lt;=1000,INDEX('Pliegos Tarifarios (Huechuraba)'!$H:$H,MATCH($B131,'Pliegos Tarifarios (Huechuraba)'!$A:$A,0)),H131&lt;=5000,INDEX('Pliegos Tarifarios (Huechuraba)'!$I:$I,MATCH($B131,'Pliegos Tarifarios (Huechuraba)'!$A:$A,0)),H131&gt;5000,INDEX('Pliegos Tarifarios (Huechuraba)'!$J:$J,MATCH($B131,'Pliegos Tarifarios (Huechuraba)'!$A:$A,0)))/1.19</f>
        <v>1378.707092436975</v>
      </c>
      <c r="R131" s="19">
        <f>INDEX('Pliegos Tarifarios (Huechuraba)'!$K:$K,MATCH($B131,'Pliegos Tarifarios (Huechuraba)'!$A:$A,0))</f>
        <v>716.899</v>
      </c>
      <c r="S131" s="36">
        <f t="shared" si="3"/>
        <v>107532.63830243699</v>
      </c>
      <c r="T131" s="36">
        <f t="shared" si="4"/>
        <v>20431.201277463028</v>
      </c>
      <c r="U131" s="19">
        <v>0</v>
      </c>
      <c r="V131" s="36">
        <f t="shared" si="5"/>
        <v>127963.83957990001</v>
      </c>
    </row>
    <row r="132" spans="1:22" ht="23.4" thickBot="1" x14ac:dyDescent="0.35">
      <c r="A132" s="25" t="s">
        <v>145</v>
      </c>
      <c r="B132" s="26">
        <v>3</v>
      </c>
      <c r="C132" s="27" t="s">
        <v>15</v>
      </c>
      <c r="D132" s="26" t="s">
        <v>70</v>
      </c>
      <c r="E132" s="26" t="s">
        <v>37</v>
      </c>
      <c r="F132" s="27" t="s">
        <v>71</v>
      </c>
      <c r="G132" s="26" t="s">
        <v>33</v>
      </c>
      <c r="H132" s="26">
        <v>588.04</v>
      </c>
      <c r="I132" s="26">
        <v>1.59</v>
      </c>
      <c r="J132" s="26">
        <v>1.54</v>
      </c>
      <c r="K132" s="29">
        <v>0.96499999999999997</v>
      </c>
      <c r="L132" s="26">
        <v>21</v>
      </c>
      <c r="M132" s="19">
        <f>H132*INDEX('Pliegos Tarifarios (Huechuraba)'!$B:$B,MATCH($B132,'Pliegos Tarifarios (Huechuraba)'!$A:$A,0))</f>
        <v>69881.49751999999</v>
      </c>
      <c r="N132" s="19">
        <f>I132*INDEX('Pliegos Tarifarios (Huechuraba)'!$C:$C,MATCH($B132,'Pliegos Tarifarios (Huechuraba)'!$A:$A,0))</f>
        <v>5552.7077099999997</v>
      </c>
      <c r="O132" s="19">
        <f>J132*INDEX('Pliegos Tarifarios (Huechuraba)'!$D:$D,MATCH($B132,'Pliegos Tarifarios (Huechuraba)'!$A:$A,0))</f>
        <v>21856.935100000002</v>
      </c>
      <c r="P132" s="19">
        <f>H132*INDEX('Pliegos Tarifarios (Huechuraba)'!$E:$E,MATCH($B132,'Pliegos Tarifarios (Huechuraba)'!$A:$A,0))</f>
        <v>7604.5332799999996</v>
      </c>
      <c r="Q132" s="19" cm="1">
        <f t="array" ref="Q132">H132*_xlfn.IFS(H132&lt;=350,INDEX('Pliegos Tarifarios (Huechuraba)'!$F:$F,MATCH($B132,'Pliegos Tarifarios (Huechuraba)'!$A:$A,0)),H132&lt;=500,INDEX('Pliegos Tarifarios (Huechuraba)'!$G:$G,MATCH($B132,'Pliegos Tarifarios (Huechuraba)'!$A:$A,0)),H132&lt;=1000,INDEX('Pliegos Tarifarios (Huechuraba)'!$H:$H,MATCH($B132,'Pliegos Tarifarios (Huechuraba)'!$A:$A,0)),H132&lt;=5000,INDEX('Pliegos Tarifarios (Huechuraba)'!$I:$I,MATCH($B132,'Pliegos Tarifarios (Huechuraba)'!$A:$A,0)),H132&gt;5000,INDEX('Pliegos Tarifarios (Huechuraba)'!$J:$J,MATCH($B132,'Pliegos Tarifarios (Huechuraba)'!$A:$A,0)))/1.19</f>
        <v>1379.1761680672271</v>
      </c>
      <c r="R132" s="19">
        <f>INDEX('Pliegos Tarifarios (Huechuraba)'!$K:$K,MATCH($B132,'Pliegos Tarifarios (Huechuraba)'!$A:$A,0))</f>
        <v>716.899</v>
      </c>
      <c r="S132" s="36">
        <f t="shared" si="3"/>
        <v>106991.74877806722</v>
      </c>
      <c r="T132" s="36">
        <f t="shared" si="4"/>
        <v>20328.432267832774</v>
      </c>
      <c r="U132" s="19">
        <v>0</v>
      </c>
      <c r="V132" s="36">
        <f t="shared" si="5"/>
        <v>127320.1810459</v>
      </c>
    </row>
    <row r="133" spans="1:22" ht="23.4" thickBot="1" x14ac:dyDescent="0.35">
      <c r="A133" s="25" t="s">
        <v>145</v>
      </c>
      <c r="B133" s="26">
        <v>3</v>
      </c>
      <c r="C133" s="27" t="s">
        <v>15</v>
      </c>
      <c r="D133" s="26" t="s">
        <v>72</v>
      </c>
      <c r="E133" s="26" t="s">
        <v>73</v>
      </c>
      <c r="F133" s="27" t="s">
        <v>74</v>
      </c>
      <c r="G133" s="26" t="s">
        <v>33</v>
      </c>
      <c r="H133" s="26">
        <v>735.39</v>
      </c>
      <c r="I133" s="26">
        <v>1.99</v>
      </c>
      <c r="J133" s="26">
        <v>1.97</v>
      </c>
      <c r="K133" s="29">
        <v>0.98699999999999999</v>
      </c>
      <c r="L133" s="26">
        <v>26.26</v>
      </c>
      <c r="M133" s="19">
        <f>H133*INDEX('Pliegos Tarifarios (Huechuraba)'!$B:$B,MATCH($B133,'Pliegos Tarifarios (Huechuraba)'!$A:$A,0))</f>
        <v>87392.276819999999</v>
      </c>
      <c r="N133" s="19">
        <f>I133*INDEX('Pliegos Tarifarios (Huechuraba)'!$C:$C,MATCH($B133,'Pliegos Tarifarios (Huechuraba)'!$A:$A,0))</f>
        <v>6949.6153099999992</v>
      </c>
      <c r="O133" s="19">
        <f>J133*INDEX('Pliegos Tarifarios (Huechuraba)'!$D:$D,MATCH($B133,'Pliegos Tarifarios (Huechuraba)'!$A:$A,0))</f>
        <v>27959.845550000002</v>
      </c>
      <c r="P133" s="19">
        <f>H133*INDEX('Pliegos Tarifarios (Huechuraba)'!$E:$E,MATCH($B133,'Pliegos Tarifarios (Huechuraba)'!$A:$A,0))</f>
        <v>9510.0634800000007</v>
      </c>
      <c r="Q133" s="19" cm="1">
        <f t="array" ref="Q133">H133*_xlfn.IFS(H133&lt;=350,INDEX('Pliegos Tarifarios (Huechuraba)'!$F:$F,MATCH($B133,'Pliegos Tarifarios (Huechuraba)'!$A:$A,0)),H133&lt;=500,INDEX('Pliegos Tarifarios (Huechuraba)'!$G:$G,MATCH($B133,'Pliegos Tarifarios (Huechuraba)'!$A:$A,0)),H133&lt;=1000,INDEX('Pliegos Tarifarios (Huechuraba)'!$H:$H,MATCH($B133,'Pliegos Tarifarios (Huechuraba)'!$A:$A,0)),H133&lt;=5000,INDEX('Pliegos Tarifarios (Huechuraba)'!$I:$I,MATCH($B133,'Pliegos Tarifarios (Huechuraba)'!$A:$A,0)),H133&gt;5000,INDEX('Pliegos Tarifarios (Huechuraba)'!$J:$J,MATCH($B133,'Pliegos Tarifarios (Huechuraba)'!$A:$A,0)))/1.19</f>
        <v>1724.7676386554626</v>
      </c>
      <c r="R133" s="19">
        <f>INDEX('Pliegos Tarifarios (Huechuraba)'!$K:$K,MATCH($B133,'Pliegos Tarifarios (Huechuraba)'!$A:$A,0))</f>
        <v>716.899</v>
      </c>
      <c r="S133" s="36">
        <f t="shared" ref="S133:S196" si="6">SUM(M133:R133)</f>
        <v>134253.46779865547</v>
      </c>
      <c r="T133" s="36">
        <f t="shared" ref="T133:T196" si="7">S133*0.19</f>
        <v>25508.158881744541</v>
      </c>
      <c r="U133" s="19">
        <v>0</v>
      </c>
      <c r="V133" s="36">
        <f t="shared" ref="V133:V196" si="8">SUM(S133:T133)</f>
        <v>159761.62668040002</v>
      </c>
    </row>
    <row r="134" spans="1:22" ht="23.4" thickBot="1" x14ac:dyDescent="0.35">
      <c r="A134" s="25" t="s">
        <v>145</v>
      </c>
      <c r="B134" s="26">
        <v>3</v>
      </c>
      <c r="C134" s="27" t="s">
        <v>15</v>
      </c>
      <c r="D134" s="26" t="s">
        <v>75</v>
      </c>
      <c r="E134" s="26" t="s">
        <v>76</v>
      </c>
      <c r="F134" s="27" t="s">
        <v>77</v>
      </c>
      <c r="G134" s="26" t="s">
        <v>19</v>
      </c>
      <c r="H134" s="28">
        <v>1176.24</v>
      </c>
      <c r="I134" s="26">
        <v>3.17</v>
      </c>
      <c r="J134" s="26">
        <v>3.12</v>
      </c>
      <c r="K134" s="29">
        <v>0.98299999999999998</v>
      </c>
      <c r="L134" s="26">
        <v>42.01</v>
      </c>
      <c r="M134" s="19">
        <f>H134*INDEX('Pliegos Tarifarios (Huechuraba)'!$B:$B,MATCH($B134,'Pliegos Tarifarios (Huechuraba)'!$A:$A,0))</f>
        <v>139782.00912</v>
      </c>
      <c r="N134" s="19">
        <f>I134*INDEX('Pliegos Tarifarios (Huechuraba)'!$C:$C,MATCH($B134,'Pliegos Tarifarios (Huechuraba)'!$A:$A,0))</f>
        <v>11070.49273</v>
      </c>
      <c r="O134" s="19">
        <f>J134*INDEX('Pliegos Tarifarios (Huechuraba)'!$D:$D,MATCH($B134,'Pliegos Tarifarios (Huechuraba)'!$A:$A,0))</f>
        <v>44281.582800000004</v>
      </c>
      <c r="P134" s="19">
        <f>H134*INDEX('Pliegos Tarifarios (Huechuraba)'!$E:$E,MATCH($B134,'Pliegos Tarifarios (Huechuraba)'!$A:$A,0))</f>
        <v>15211.135680000001</v>
      </c>
      <c r="Q134" s="19" cm="1">
        <f t="array" ref="Q134">H134*_xlfn.IFS(H134&lt;=350,INDEX('Pliegos Tarifarios (Huechuraba)'!$F:$F,MATCH($B134,'Pliegos Tarifarios (Huechuraba)'!$A:$A,0)),H134&lt;=500,INDEX('Pliegos Tarifarios (Huechuraba)'!$G:$G,MATCH($B134,'Pliegos Tarifarios (Huechuraba)'!$A:$A,0)),H134&lt;=1000,INDEX('Pliegos Tarifarios (Huechuraba)'!$H:$H,MATCH($B134,'Pliegos Tarifarios (Huechuraba)'!$A:$A,0)),H134&lt;=5000,INDEX('Pliegos Tarifarios (Huechuraba)'!$I:$I,MATCH($B134,'Pliegos Tarifarios (Huechuraba)'!$A:$A,0)),H134&gt;5000,INDEX('Pliegos Tarifarios (Huechuraba)'!$J:$J,MATCH($B134,'Pliegos Tarifarios (Huechuraba)'!$A:$A,0)))/1.19</f>
        <v>3529.7084369747899</v>
      </c>
      <c r="R134" s="19">
        <f>INDEX('Pliegos Tarifarios (Huechuraba)'!$K:$K,MATCH($B134,'Pliegos Tarifarios (Huechuraba)'!$A:$A,0))</f>
        <v>716.899</v>
      </c>
      <c r="S134" s="36">
        <f t="shared" si="6"/>
        <v>214591.82776697481</v>
      </c>
      <c r="T134" s="36">
        <f t="shared" si="7"/>
        <v>40772.447275725215</v>
      </c>
      <c r="U134" s="19">
        <v>0</v>
      </c>
      <c r="V134" s="36">
        <f t="shared" si="8"/>
        <v>255364.27504270003</v>
      </c>
    </row>
    <row r="135" spans="1:22" ht="23.4" thickBot="1" x14ac:dyDescent="0.35">
      <c r="A135" s="25" t="s">
        <v>145</v>
      </c>
      <c r="B135" s="26">
        <v>3</v>
      </c>
      <c r="C135" s="27" t="s">
        <v>15</v>
      </c>
      <c r="D135" s="26" t="s">
        <v>78</v>
      </c>
      <c r="E135" s="26" t="s">
        <v>76</v>
      </c>
      <c r="F135" s="27" t="s">
        <v>79</v>
      </c>
      <c r="G135" s="26" t="s">
        <v>19</v>
      </c>
      <c r="H135" s="26">
        <v>881.63</v>
      </c>
      <c r="I135" s="26">
        <v>2.38</v>
      </c>
      <c r="J135" s="26">
        <v>2.38</v>
      </c>
      <c r="K135" s="29">
        <v>1</v>
      </c>
      <c r="L135" s="26">
        <v>31.49</v>
      </c>
      <c r="M135" s="19">
        <f>H135*INDEX('Pliegos Tarifarios (Huechuraba)'!$B:$B,MATCH($B135,'Pliegos Tarifarios (Huechuraba)'!$A:$A,0))</f>
        <v>104771.14593999999</v>
      </c>
      <c r="N135" s="19">
        <f>I135*INDEX('Pliegos Tarifarios (Huechuraba)'!$C:$C,MATCH($B135,'Pliegos Tarifarios (Huechuraba)'!$A:$A,0))</f>
        <v>8311.6002199999984</v>
      </c>
      <c r="O135" s="19">
        <f>J135*INDEX('Pliegos Tarifarios (Huechuraba)'!$D:$D,MATCH($B135,'Pliegos Tarifarios (Huechuraba)'!$A:$A,0))</f>
        <v>33778.899700000002</v>
      </c>
      <c r="P135" s="19">
        <f>H135*INDEX('Pliegos Tarifarios (Huechuraba)'!$E:$E,MATCH($B135,'Pliegos Tarifarios (Huechuraba)'!$A:$A,0))</f>
        <v>11401.239160000001</v>
      </c>
      <c r="Q135" s="19" cm="1">
        <f t="array" ref="Q135">H135*_xlfn.IFS(H135&lt;=350,INDEX('Pliegos Tarifarios (Huechuraba)'!$F:$F,MATCH($B135,'Pliegos Tarifarios (Huechuraba)'!$A:$A,0)),H135&lt;=500,INDEX('Pliegos Tarifarios (Huechuraba)'!$G:$G,MATCH($B135,'Pliegos Tarifarios (Huechuraba)'!$A:$A,0)),H135&lt;=1000,INDEX('Pliegos Tarifarios (Huechuraba)'!$H:$H,MATCH($B135,'Pliegos Tarifarios (Huechuraba)'!$A:$A,0)),H135&lt;=5000,INDEX('Pliegos Tarifarios (Huechuraba)'!$I:$I,MATCH($B135,'Pliegos Tarifarios (Huechuraba)'!$A:$A,0)),H135&gt;5000,INDEX('Pliegos Tarifarios (Huechuraba)'!$J:$J,MATCH($B135,'Pliegos Tarifarios (Huechuraba)'!$A:$A,0)))/1.19</f>
        <v>2067.7557394957985</v>
      </c>
      <c r="R135" s="19">
        <f>INDEX('Pliegos Tarifarios (Huechuraba)'!$K:$K,MATCH($B135,'Pliegos Tarifarios (Huechuraba)'!$A:$A,0))</f>
        <v>716.899</v>
      </c>
      <c r="S135" s="36">
        <f t="shared" si="6"/>
        <v>161047.53975949579</v>
      </c>
      <c r="T135" s="36">
        <f t="shared" si="7"/>
        <v>30599.032554304202</v>
      </c>
      <c r="U135" s="19">
        <v>0</v>
      </c>
      <c r="V135" s="36">
        <f t="shared" si="8"/>
        <v>191646.57231379999</v>
      </c>
    </row>
    <row r="136" spans="1:22" ht="23.4" thickBot="1" x14ac:dyDescent="0.35">
      <c r="A136" s="25" t="s">
        <v>145</v>
      </c>
      <c r="B136" s="26">
        <v>3</v>
      </c>
      <c r="C136" s="27" t="s">
        <v>15</v>
      </c>
      <c r="D136" s="26" t="s">
        <v>80</v>
      </c>
      <c r="E136" s="26" t="s">
        <v>81</v>
      </c>
      <c r="F136" s="27" t="s">
        <v>82</v>
      </c>
      <c r="G136" s="26" t="s">
        <v>19</v>
      </c>
      <c r="H136" s="26">
        <v>735.25</v>
      </c>
      <c r="I136" s="26">
        <v>1.96</v>
      </c>
      <c r="J136" s="26">
        <v>1.96</v>
      </c>
      <c r="K136" s="29">
        <v>1</v>
      </c>
      <c r="L136" s="26">
        <v>26.26</v>
      </c>
      <c r="M136" s="19">
        <f>H136*INDEX('Pliegos Tarifarios (Huechuraba)'!$B:$B,MATCH($B136,'Pliegos Tarifarios (Huechuraba)'!$A:$A,0))</f>
        <v>87375.63949999999</v>
      </c>
      <c r="N136" s="19">
        <f>I136*INDEX('Pliegos Tarifarios (Huechuraba)'!$C:$C,MATCH($B136,'Pliegos Tarifarios (Huechuraba)'!$A:$A,0))</f>
        <v>6844.8472399999991</v>
      </c>
      <c r="O136" s="19">
        <f>J136*INDEX('Pliegos Tarifarios (Huechuraba)'!$D:$D,MATCH($B136,'Pliegos Tarifarios (Huechuraba)'!$A:$A,0))</f>
        <v>27817.917400000002</v>
      </c>
      <c r="P136" s="19">
        <f>H136*INDEX('Pliegos Tarifarios (Huechuraba)'!$E:$E,MATCH($B136,'Pliegos Tarifarios (Huechuraba)'!$A:$A,0))</f>
        <v>9508.2530000000006</v>
      </c>
      <c r="Q136" s="19" cm="1">
        <f t="array" ref="Q136">H136*_xlfn.IFS(H136&lt;=350,INDEX('Pliegos Tarifarios (Huechuraba)'!$F:$F,MATCH($B136,'Pliegos Tarifarios (Huechuraba)'!$A:$A,0)),H136&lt;=500,INDEX('Pliegos Tarifarios (Huechuraba)'!$G:$G,MATCH($B136,'Pliegos Tarifarios (Huechuraba)'!$A:$A,0)),H136&lt;=1000,INDEX('Pliegos Tarifarios (Huechuraba)'!$H:$H,MATCH($B136,'Pliegos Tarifarios (Huechuraba)'!$A:$A,0)),H136&lt;=5000,INDEX('Pliegos Tarifarios (Huechuraba)'!$I:$I,MATCH($B136,'Pliegos Tarifarios (Huechuraba)'!$A:$A,0)),H136&gt;5000,INDEX('Pliegos Tarifarios (Huechuraba)'!$J:$J,MATCH($B136,'Pliegos Tarifarios (Huechuraba)'!$A:$A,0)))/1.19</f>
        <v>1724.4392857142861</v>
      </c>
      <c r="R136" s="19">
        <f>INDEX('Pliegos Tarifarios (Huechuraba)'!$K:$K,MATCH($B136,'Pliegos Tarifarios (Huechuraba)'!$A:$A,0))</f>
        <v>716.899</v>
      </c>
      <c r="S136" s="36">
        <f t="shared" si="6"/>
        <v>133987.9954257143</v>
      </c>
      <c r="T136" s="36">
        <f t="shared" si="7"/>
        <v>25457.719130885718</v>
      </c>
      <c r="U136" s="19">
        <v>0</v>
      </c>
      <c r="V136" s="36">
        <f t="shared" si="8"/>
        <v>159445.71455660003</v>
      </c>
    </row>
    <row r="137" spans="1:22" ht="23.4" thickBot="1" x14ac:dyDescent="0.35">
      <c r="A137" s="25" t="s">
        <v>145</v>
      </c>
      <c r="B137" s="26">
        <v>3</v>
      </c>
      <c r="C137" s="27" t="s">
        <v>15</v>
      </c>
      <c r="D137" s="26" t="s">
        <v>83</v>
      </c>
      <c r="E137" s="26" t="s">
        <v>81</v>
      </c>
      <c r="F137" s="27" t="s">
        <v>84</v>
      </c>
      <c r="G137" s="26" t="s">
        <v>19</v>
      </c>
      <c r="H137" s="26">
        <v>489.61</v>
      </c>
      <c r="I137" s="26">
        <v>1.33</v>
      </c>
      <c r="J137" s="26">
        <v>1.29</v>
      </c>
      <c r="K137" s="29">
        <v>0.96799999999999997</v>
      </c>
      <c r="L137" s="26">
        <v>17.489999999999998</v>
      </c>
      <c r="M137" s="19">
        <f>H137*INDEX('Pliegos Tarifarios (Huechuraba)'!$B:$B,MATCH($B137,'Pliegos Tarifarios (Huechuraba)'!$A:$A,0))</f>
        <v>58184.273179999997</v>
      </c>
      <c r="N137" s="19">
        <f>I137*INDEX('Pliegos Tarifarios (Huechuraba)'!$C:$C,MATCH($B137,'Pliegos Tarifarios (Huechuraba)'!$A:$A,0))</f>
        <v>4644.7177700000002</v>
      </c>
      <c r="O137" s="19">
        <f>J137*INDEX('Pliegos Tarifarios (Huechuraba)'!$D:$D,MATCH($B137,'Pliegos Tarifarios (Huechuraba)'!$A:$A,0))</f>
        <v>18308.731350000002</v>
      </c>
      <c r="P137" s="19">
        <f>H137*INDEX('Pliegos Tarifarios (Huechuraba)'!$E:$E,MATCH($B137,'Pliegos Tarifarios (Huechuraba)'!$A:$A,0))</f>
        <v>6331.63652</v>
      </c>
      <c r="Q137" s="19" cm="1">
        <f t="array" ref="Q137">H137*_xlfn.IFS(H137&lt;=350,INDEX('Pliegos Tarifarios (Huechuraba)'!$F:$F,MATCH($B137,'Pliegos Tarifarios (Huechuraba)'!$A:$A,0)),H137&lt;=500,INDEX('Pliegos Tarifarios (Huechuraba)'!$G:$G,MATCH($B137,'Pliegos Tarifarios (Huechuraba)'!$A:$A,0)),H137&lt;=1000,INDEX('Pliegos Tarifarios (Huechuraba)'!$H:$H,MATCH($B137,'Pliegos Tarifarios (Huechuraba)'!$A:$A,0)),H137&lt;=5000,INDEX('Pliegos Tarifarios (Huechuraba)'!$I:$I,MATCH($B137,'Pliegos Tarifarios (Huechuraba)'!$A:$A,0)),H137&gt;5000,INDEX('Pliegos Tarifarios (Huechuraba)'!$J:$J,MATCH($B137,'Pliegos Tarifarios (Huechuraba)'!$A:$A,0)))/1.19</f>
        <v>689.56836974789928</v>
      </c>
      <c r="R137" s="19">
        <f>INDEX('Pliegos Tarifarios (Huechuraba)'!$K:$K,MATCH($B137,'Pliegos Tarifarios (Huechuraba)'!$A:$A,0))</f>
        <v>716.899</v>
      </c>
      <c r="S137" s="36">
        <f t="shared" si="6"/>
        <v>88875.826189747895</v>
      </c>
      <c r="T137" s="36">
        <f t="shared" si="7"/>
        <v>16886.406976052102</v>
      </c>
      <c r="U137" s="19">
        <v>0</v>
      </c>
      <c r="V137" s="36">
        <f t="shared" si="8"/>
        <v>105762.23316579999</v>
      </c>
    </row>
    <row r="138" spans="1:22" ht="23.4" thickBot="1" x14ac:dyDescent="0.35">
      <c r="A138" s="25" t="s">
        <v>145</v>
      </c>
      <c r="B138" s="26">
        <v>3</v>
      </c>
      <c r="C138" s="27" t="s">
        <v>15</v>
      </c>
      <c r="D138" s="26" t="s">
        <v>85</v>
      </c>
      <c r="E138" s="26" t="s">
        <v>81</v>
      </c>
      <c r="F138" s="27" t="s">
        <v>86</v>
      </c>
      <c r="G138" s="26" t="s">
        <v>19</v>
      </c>
      <c r="H138" s="26">
        <v>586.34</v>
      </c>
      <c r="I138" s="26">
        <v>1.56</v>
      </c>
      <c r="J138" s="26">
        <v>1.55</v>
      </c>
      <c r="K138" s="29">
        <v>0.995</v>
      </c>
      <c r="L138" s="26">
        <v>20.94</v>
      </c>
      <c r="M138" s="19">
        <f>H138*INDEX('Pliegos Tarifarios (Huechuraba)'!$B:$B,MATCH($B138,'Pliegos Tarifarios (Huechuraba)'!$A:$A,0))</f>
        <v>69679.47292</v>
      </c>
      <c r="N138" s="19">
        <f>I138*INDEX('Pliegos Tarifarios (Huechuraba)'!$C:$C,MATCH($B138,'Pliegos Tarifarios (Huechuraba)'!$A:$A,0))</f>
        <v>5447.9396399999996</v>
      </c>
      <c r="O138" s="19">
        <f>J138*INDEX('Pliegos Tarifarios (Huechuraba)'!$D:$D,MATCH($B138,'Pliegos Tarifarios (Huechuraba)'!$A:$A,0))</f>
        <v>21998.863250000002</v>
      </c>
      <c r="P138" s="19">
        <f>H138*INDEX('Pliegos Tarifarios (Huechuraba)'!$E:$E,MATCH($B138,'Pliegos Tarifarios (Huechuraba)'!$A:$A,0))</f>
        <v>7582.5488800000003</v>
      </c>
      <c r="Q138" s="19" cm="1">
        <f t="array" ref="Q138">H138*_xlfn.IFS(H138&lt;=350,INDEX('Pliegos Tarifarios (Huechuraba)'!$F:$F,MATCH($B138,'Pliegos Tarifarios (Huechuraba)'!$A:$A,0)),H138&lt;=500,INDEX('Pliegos Tarifarios (Huechuraba)'!$G:$G,MATCH($B138,'Pliegos Tarifarios (Huechuraba)'!$A:$A,0)),H138&lt;=1000,INDEX('Pliegos Tarifarios (Huechuraba)'!$H:$H,MATCH($B138,'Pliegos Tarifarios (Huechuraba)'!$A:$A,0)),H138&lt;=5000,INDEX('Pliegos Tarifarios (Huechuraba)'!$I:$I,MATCH($B138,'Pliegos Tarifarios (Huechuraba)'!$A:$A,0)),H138&gt;5000,INDEX('Pliegos Tarifarios (Huechuraba)'!$J:$J,MATCH($B138,'Pliegos Tarifarios (Huechuraba)'!$A:$A,0)))/1.19</f>
        <v>1375.1890252100843</v>
      </c>
      <c r="R138" s="19">
        <f>INDEX('Pliegos Tarifarios (Huechuraba)'!$K:$K,MATCH($B138,'Pliegos Tarifarios (Huechuraba)'!$A:$A,0))</f>
        <v>716.899</v>
      </c>
      <c r="S138" s="36">
        <f t="shared" si="6"/>
        <v>106800.91271521008</v>
      </c>
      <c r="T138" s="36">
        <f t="shared" si="7"/>
        <v>20292.173415889916</v>
      </c>
      <c r="U138" s="19">
        <v>0</v>
      </c>
      <c r="V138" s="36">
        <f t="shared" si="8"/>
        <v>127093.0861311</v>
      </c>
    </row>
    <row r="139" spans="1:22" ht="23.4" thickBot="1" x14ac:dyDescent="0.35">
      <c r="A139" s="25" t="s">
        <v>145</v>
      </c>
      <c r="B139" s="26">
        <v>3</v>
      </c>
      <c r="C139" s="27" t="s">
        <v>15</v>
      </c>
      <c r="D139" s="26" t="s">
        <v>87</v>
      </c>
      <c r="E139" s="26" t="s">
        <v>81</v>
      </c>
      <c r="F139" s="27" t="s">
        <v>88</v>
      </c>
      <c r="G139" s="26" t="s">
        <v>19</v>
      </c>
      <c r="H139" s="26">
        <v>587.04</v>
      </c>
      <c r="I139" s="26">
        <v>1.56</v>
      </c>
      <c r="J139" s="26">
        <v>1.56</v>
      </c>
      <c r="K139" s="29">
        <v>1</v>
      </c>
      <c r="L139" s="26">
        <v>20.97</v>
      </c>
      <c r="M139" s="19">
        <f>H139*INDEX('Pliegos Tarifarios (Huechuraba)'!$B:$B,MATCH($B139,'Pliegos Tarifarios (Huechuraba)'!$A:$A,0))</f>
        <v>69762.659519999987</v>
      </c>
      <c r="N139" s="19">
        <f>I139*INDEX('Pliegos Tarifarios (Huechuraba)'!$C:$C,MATCH($B139,'Pliegos Tarifarios (Huechuraba)'!$A:$A,0))</f>
        <v>5447.9396399999996</v>
      </c>
      <c r="O139" s="19">
        <f>J139*INDEX('Pliegos Tarifarios (Huechuraba)'!$D:$D,MATCH($B139,'Pliegos Tarifarios (Huechuraba)'!$A:$A,0))</f>
        <v>22140.791400000002</v>
      </c>
      <c r="P139" s="19">
        <f>H139*INDEX('Pliegos Tarifarios (Huechuraba)'!$E:$E,MATCH($B139,'Pliegos Tarifarios (Huechuraba)'!$A:$A,0))</f>
        <v>7591.6012799999999</v>
      </c>
      <c r="Q139" s="19" cm="1">
        <f t="array" ref="Q139">H139*_xlfn.IFS(H139&lt;=350,INDEX('Pliegos Tarifarios (Huechuraba)'!$F:$F,MATCH($B139,'Pliegos Tarifarios (Huechuraba)'!$A:$A,0)),H139&lt;=500,INDEX('Pliegos Tarifarios (Huechuraba)'!$G:$G,MATCH($B139,'Pliegos Tarifarios (Huechuraba)'!$A:$A,0)),H139&lt;=1000,INDEX('Pliegos Tarifarios (Huechuraba)'!$H:$H,MATCH($B139,'Pliegos Tarifarios (Huechuraba)'!$A:$A,0)),H139&lt;=5000,INDEX('Pliegos Tarifarios (Huechuraba)'!$I:$I,MATCH($B139,'Pliegos Tarifarios (Huechuraba)'!$A:$A,0)),H139&gt;5000,INDEX('Pliegos Tarifarios (Huechuraba)'!$J:$J,MATCH($B139,'Pliegos Tarifarios (Huechuraba)'!$A:$A,0)))/1.19</f>
        <v>1376.8307899159665</v>
      </c>
      <c r="R139" s="19">
        <f>INDEX('Pliegos Tarifarios (Huechuraba)'!$K:$K,MATCH($B139,'Pliegos Tarifarios (Huechuraba)'!$A:$A,0))</f>
        <v>716.899</v>
      </c>
      <c r="S139" s="36">
        <f t="shared" si="6"/>
        <v>107036.72162991596</v>
      </c>
      <c r="T139" s="36">
        <f t="shared" si="7"/>
        <v>20336.977109684034</v>
      </c>
      <c r="U139" s="19">
        <v>0</v>
      </c>
      <c r="V139" s="36">
        <f t="shared" si="8"/>
        <v>127373.69873959999</v>
      </c>
    </row>
    <row r="140" spans="1:22" ht="23.4" thickBot="1" x14ac:dyDescent="0.35">
      <c r="A140" s="25" t="s">
        <v>145</v>
      </c>
      <c r="B140" s="26">
        <v>3</v>
      </c>
      <c r="C140" s="27" t="s">
        <v>15</v>
      </c>
      <c r="D140" s="26" t="s">
        <v>89</v>
      </c>
      <c r="E140" s="26" t="s">
        <v>81</v>
      </c>
      <c r="F140" s="27" t="s">
        <v>90</v>
      </c>
      <c r="G140" s="26" t="s">
        <v>19</v>
      </c>
      <c r="H140" s="26">
        <v>588</v>
      </c>
      <c r="I140" s="26">
        <v>1.63</v>
      </c>
      <c r="J140" s="26">
        <v>1.53</v>
      </c>
      <c r="K140" s="29">
        <v>0.93700000000000006</v>
      </c>
      <c r="L140" s="26">
        <v>21</v>
      </c>
      <c r="M140" s="19">
        <f>H140*INDEX('Pliegos Tarifarios (Huechuraba)'!$B:$B,MATCH($B140,'Pliegos Tarifarios (Huechuraba)'!$A:$A,0))</f>
        <v>69876.743999999992</v>
      </c>
      <c r="N140" s="19">
        <f>I140*INDEX('Pliegos Tarifarios (Huechuraba)'!$C:$C,MATCH($B140,'Pliegos Tarifarios (Huechuraba)'!$A:$A,0))</f>
        <v>5692.3984699999992</v>
      </c>
      <c r="O140" s="19">
        <f>J140*INDEX('Pliegos Tarifarios (Huechuraba)'!$D:$D,MATCH($B140,'Pliegos Tarifarios (Huechuraba)'!$A:$A,0))</f>
        <v>21715.006950000003</v>
      </c>
      <c r="P140" s="19">
        <f>H140*INDEX('Pliegos Tarifarios (Huechuraba)'!$E:$E,MATCH($B140,'Pliegos Tarifarios (Huechuraba)'!$A:$A,0))</f>
        <v>7604.0160000000005</v>
      </c>
      <c r="Q140" s="19" cm="1">
        <f t="array" ref="Q140">H140*_xlfn.IFS(H140&lt;=350,INDEX('Pliegos Tarifarios (Huechuraba)'!$F:$F,MATCH($B140,'Pliegos Tarifarios (Huechuraba)'!$A:$A,0)),H140&lt;=500,INDEX('Pliegos Tarifarios (Huechuraba)'!$G:$G,MATCH($B140,'Pliegos Tarifarios (Huechuraba)'!$A:$A,0)),H140&lt;=1000,INDEX('Pliegos Tarifarios (Huechuraba)'!$H:$H,MATCH($B140,'Pliegos Tarifarios (Huechuraba)'!$A:$A,0)),H140&lt;=5000,INDEX('Pliegos Tarifarios (Huechuraba)'!$I:$I,MATCH($B140,'Pliegos Tarifarios (Huechuraba)'!$A:$A,0)),H140&gt;5000,INDEX('Pliegos Tarifarios (Huechuraba)'!$J:$J,MATCH($B140,'Pliegos Tarifarios (Huechuraba)'!$A:$A,0)))/1.19</f>
        <v>1379.0823529411766</v>
      </c>
      <c r="R140" s="19">
        <f>INDEX('Pliegos Tarifarios (Huechuraba)'!$K:$K,MATCH($B140,'Pliegos Tarifarios (Huechuraba)'!$A:$A,0))</f>
        <v>716.899</v>
      </c>
      <c r="S140" s="36">
        <f t="shared" si="6"/>
        <v>106984.14677294118</v>
      </c>
      <c r="T140" s="36">
        <f t="shared" si="7"/>
        <v>20326.987886858824</v>
      </c>
      <c r="U140" s="19">
        <v>0</v>
      </c>
      <c r="V140" s="36">
        <f t="shared" si="8"/>
        <v>127311.13465980001</v>
      </c>
    </row>
    <row r="141" spans="1:22" ht="23.4" thickBot="1" x14ac:dyDescent="0.35">
      <c r="A141" s="25" t="s">
        <v>145</v>
      </c>
      <c r="B141" s="26">
        <v>3</v>
      </c>
      <c r="C141" s="27" t="s">
        <v>15</v>
      </c>
      <c r="D141" s="26" t="s">
        <v>91</v>
      </c>
      <c r="E141" s="26" t="s">
        <v>81</v>
      </c>
      <c r="F141" s="27" t="s">
        <v>92</v>
      </c>
      <c r="G141" s="26" t="s">
        <v>19</v>
      </c>
      <c r="H141" s="26">
        <v>734.44</v>
      </c>
      <c r="I141" s="26">
        <v>1.99</v>
      </c>
      <c r="J141" s="26">
        <v>1.96</v>
      </c>
      <c r="K141" s="29">
        <v>0.98499999999999999</v>
      </c>
      <c r="L141" s="26">
        <v>26.23</v>
      </c>
      <c r="M141" s="19">
        <f>H141*INDEX('Pliegos Tarifarios (Huechuraba)'!$B:$B,MATCH($B141,'Pliegos Tarifarios (Huechuraba)'!$A:$A,0))</f>
        <v>87279.380720000001</v>
      </c>
      <c r="N141" s="19">
        <f>I141*INDEX('Pliegos Tarifarios (Huechuraba)'!$C:$C,MATCH($B141,'Pliegos Tarifarios (Huechuraba)'!$A:$A,0))</f>
        <v>6949.6153099999992</v>
      </c>
      <c r="O141" s="19">
        <f>J141*INDEX('Pliegos Tarifarios (Huechuraba)'!$D:$D,MATCH($B141,'Pliegos Tarifarios (Huechuraba)'!$A:$A,0))</f>
        <v>27817.917400000002</v>
      </c>
      <c r="P141" s="19">
        <f>H141*INDEX('Pliegos Tarifarios (Huechuraba)'!$E:$E,MATCH($B141,'Pliegos Tarifarios (Huechuraba)'!$A:$A,0))</f>
        <v>9497.7780800000019</v>
      </c>
      <c r="Q141" s="19" cm="1">
        <f t="array" ref="Q141">H141*_xlfn.IFS(H141&lt;=350,INDEX('Pliegos Tarifarios (Huechuraba)'!$F:$F,MATCH($B141,'Pliegos Tarifarios (Huechuraba)'!$A:$A,0)),H141&lt;=500,INDEX('Pliegos Tarifarios (Huechuraba)'!$G:$G,MATCH($B141,'Pliegos Tarifarios (Huechuraba)'!$A:$A,0)),H141&lt;=1000,INDEX('Pliegos Tarifarios (Huechuraba)'!$H:$H,MATCH($B141,'Pliegos Tarifarios (Huechuraba)'!$A:$A,0)),H141&lt;=5000,INDEX('Pliegos Tarifarios (Huechuraba)'!$I:$I,MATCH($B141,'Pliegos Tarifarios (Huechuraba)'!$A:$A,0)),H141&gt;5000,INDEX('Pliegos Tarifarios (Huechuraba)'!$J:$J,MATCH($B141,'Pliegos Tarifarios (Huechuraba)'!$A:$A,0)))/1.19</f>
        <v>1722.5395294117652</v>
      </c>
      <c r="R141" s="19">
        <f>INDEX('Pliegos Tarifarios (Huechuraba)'!$K:$K,MATCH($B141,'Pliegos Tarifarios (Huechuraba)'!$A:$A,0))</f>
        <v>716.899</v>
      </c>
      <c r="S141" s="36">
        <f t="shared" si="6"/>
        <v>133984.13003941177</v>
      </c>
      <c r="T141" s="36">
        <f t="shared" si="7"/>
        <v>25456.984707488238</v>
      </c>
      <c r="U141" s="19">
        <v>0</v>
      </c>
      <c r="V141" s="36">
        <f t="shared" si="8"/>
        <v>159441.11474690001</v>
      </c>
    </row>
    <row r="142" spans="1:22" ht="23.4" thickBot="1" x14ac:dyDescent="0.35">
      <c r="A142" s="25" t="s">
        <v>145</v>
      </c>
      <c r="B142" s="26">
        <v>3</v>
      </c>
      <c r="C142" s="27" t="s">
        <v>15</v>
      </c>
      <c r="D142" s="26" t="s">
        <v>93</v>
      </c>
      <c r="E142" s="26" t="s">
        <v>94</v>
      </c>
      <c r="F142" s="27" t="s">
        <v>95</v>
      </c>
      <c r="G142" s="26" t="s">
        <v>19</v>
      </c>
      <c r="H142" s="26">
        <v>586.53</v>
      </c>
      <c r="I142" s="26">
        <v>1.59</v>
      </c>
      <c r="J142" s="26">
        <v>1.59</v>
      </c>
      <c r="K142" s="29">
        <v>0.999</v>
      </c>
      <c r="L142" s="26">
        <v>20.95</v>
      </c>
      <c r="M142" s="19">
        <f>H142*INDEX('Pliegos Tarifarios (Huechuraba)'!$B:$B,MATCH($B142,'Pliegos Tarifarios (Huechuraba)'!$A:$A,0))</f>
        <v>69702.05214</v>
      </c>
      <c r="N142" s="19">
        <f>I142*INDEX('Pliegos Tarifarios (Huechuraba)'!$C:$C,MATCH($B142,'Pliegos Tarifarios (Huechuraba)'!$A:$A,0))</f>
        <v>5552.7077099999997</v>
      </c>
      <c r="O142" s="19">
        <f>J142*INDEX('Pliegos Tarifarios (Huechuraba)'!$D:$D,MATCH($B142,'Pliegos Tarifarios (Huechuraba)'!$A:$A,0))</f>
        <v>22566.575850000001</v>
      </c>
      <c r="P142" s="19">
        <f>H142*INDEX('Pliegos Tarifarios (Huechuraba)'!$E:$E,MATCH($B142,'Pliegos Tarifarios (Huechuraba)'!$A:$A,0))</f>
        <v>7585.0059599999995</v>
      </c>
      <c r="Q142" s="19" cm="1">
        <f t="array" ref="Q142">H142*_xlfn.IFS(H142&lt;=350,INDEX('Pliegos Tarifarios (Huechuraba)'!$F:$F,MATCH($B142,'Pliegos Tarifarios (Huechuraba)'!$A:$A,0)),H142&lt;=500,INDEX('Pliegos Tarifarios (Huechuraba)'!$G:$G,MATCH($B142,'Pliegos Tarifarios (Huechuraba)'!$A:$A,0)),H142&lt;=1000,INDEX('Pliegos Tarifarios (Huechuraba)'!$H:$H,MATCH($B142,'Pliegos Tarifarios (Huechuraba)'!$A:$A,0)),H142&lt;=5000,INDEX('Pliegos Tarifarios (Huechuraba)'!$I:$I,MATCH($B142,'Pliegos Tarifarios (Huechuraba)'!$A:$A,0)),H142&gt;5000,INDEX('Pliegos Tarifarios (Huechuraba)'!$J:$J,MATCH($B142,'Pliegos Tarifarios (Huechuraba)'!$A:$A,0)))/1.19</f>
        <v>1375.6346470588237</v>
      </c>
      <c r="R142" s="19">
        <f>INDEX('Pliegos Tarifarios (Huechuraba)'!$K:$K,MATCH($B142,'Pliegos Tarifarios (Huechuraba)'!$A:$A,0))</f>
        <v>716.899</v>
      </c>
      <c r="S142" s="36">
        <f t="shared" si="6"/>
        <v>107498.87530705881</v>
      </c>
      <c r="T142" s="36">
        <f t="shared" si="7"/>
        <v>20424.786308341176</v>
      </c>
      <c r="U142" s="19">
        <v>0</v>
      </c>
      <c r="V142" s="36">
        <f t="shared" si="8"/>
        <v>127923.66161539999</v>
      </c>
    </row>
    <row r="143" spans="1:22" ht="23.4" thickBot="1" x14ac:dyDescent="0.35">
      <c r="A143" s="25" t="s">
        <v>145</v>
      </c>
      <c r="B143" s="26">
        <v>3</v>
      </c>
      <c r="C143" s="27" t="s">
        <v>15</v>
      </c>
      <c r="D143" s="26" t="s">
        <v>96</v>
      </c>
      <c r="E143" s="26" t="s">
        <v>97</v>
      </c>
      <c r="F143" s="27" t="s">
        <v>98</v>
      </c>
      <c r="G143" s="26" t="s">
        <v>19</v>
      </c>
      <c r="H143" s="26">
        <v>880.6</v>
      </c>
      <c r="I143" s="26">
        <v>2.35</v>
      </c>
      <c r="J143" s="26">
        <v>2.34</v>
      </c>
      <c r="K143" s="29">
        <v>0.998</v>
      </c>
      <c r="L143" s="26">
        <v>31.45</v>
      </c>
      <c r="M143" s="19">
        <f>H143*INDEX('Pliegos Tarifarios (Huechuraba)'!$B:$B,MATCH($B143,'Pliegos Tarifarios (Huechuraba)'!$A:$A,0))</f>
        <v>104648.74279999999</v>
      </c>
      <c r="N143" s="19">
        <f>I143*INDEX('Pliegos Tarifarios (Huechuraba)'!$C:$C,MATCH($B143,'Pliegos Tarifarios (Huechuraba)'!$A:$A,0))</f>
        <v>8206.8321500000002</v>
      </c>
      <c r="O143" s="19">
        <f>J143*INDEX('Pliegos Tarifarios (Huechuraba)'!$D:$D,MATCH($B143,'Pliegos Tarifarios (Huechuraba)'!$A:$A,0))</f>
        <v>33211.187099999996</v>
      </c>
      <c r="P143" s="19">
        <f>H143*INDEX('Pliegos Tarifarios (Huechuraba)'!$E:$E,MATCH($B143,'Pliegos Tarifarios (Huechuraba)'!$A:$A,0))</f>
        <v>11387.9192</v>
      </c>
      <c r="Q143" s="19" cm="1">
        <f t="array" ref="Q143">H143*_xlfn.IFS(H143&lt;=350,INDEX('Pliegos Tarifarios (Huechuraba)'!$F:$F,MATCH($B143,'Pliegos Tarifarios (Huechuraba)'!$A:$A,0)),H143&lt;=500,INDEX('Pliegos Tarifarios (Huechuraba)'!$G:$G,MATCH($B143,'Pliegos Tarifarios (Huechuraba)'!$A:$A,0)),H143&lt;=1000,INDEX('Pliegos Tarifarios (Huechuraba)'!$H:$H,MATCH($B143,'Pliegos Tarifarios (Huechuraba)'!$A:$A,0)),H143&lt;=5000,INDEX('Pliegos Tarifarios (Huechuraba)'!$I:$I,MATCH($B143,'Pliegos Tarifarios (Huechuraba)'!$A:$A,0)),H143&gt;5000,INDEX('Pliegos Tarifarios (Huechuraba)'!$J:$J,MATCH($B143,'Pliegos Tarifarios (Huechuraba)'!$A:$A,0)))/1.19</f>
        <v>2065.34</v>
      </c>
      <c r="R143" s="19">
        <f>INDEX('Pliegos Tarifarios (Huechuraba)'!$K:$K,MATCH($B143,'Pliegos Tarifarios (Huechuraba)'!$A:$A,0))</f>
        <v>716.899</v>
      </c>
      <c r="S143" s="36">
        <f t="shared" si="6"/>
        <v>160236.92025</v>
      </c>
      <c r="T143" s="36">
        <f t="shared" si="7"/>
        <v>30445.014847499999</v>
      </c>
      <c r="U143" s="19">
        <v>0</v>
      </c>
      <c r="V143" s="36">
        <f t="shared" si="8"/>
        <v>190681.93509749998</v>
      </c>
    </row>
    <row r="144" spans="1:22" ht="23.4" thickBot="1" x14ac:dyDescent="0.35">
      <c r="A144" s="25" t="s">
        <v>145</v>
      </c>
      <c r="B144" s="26">
        <v>3</v>
      </c>
      <c r="C144" s="27" t="s">
        <v>15</v>
      </c>
      <c r="D144" s="26" t="s">
        <v>99</v>
      </c>
      <c r="E144" s="26" t="s">
        <v>94</v>
      </c>
      <c r="F144" s="27" t="s">
        <v>100</v>
      </c>
      <c r="G144" s="26" t="s">
        <v>19</v>
      </c>
      <c r="H144" s="26">
        <v>879.78</v>
      </c>
      <c r="I144" s="26">
        <v>2.33</v>
      </c>
      <c r="J144" s="26">
        <v>2.33</v>
      </c>
      <c r="K144" s="29">
        <v>1</v>
      </c>
      <c r="L144" s="26">
        <v>31.42</v>
      </c>
      <c r="M144" s="19">
        <f>H144*INDEX('Pliegos Tarifarios (Huechuraba)'!$B:$B,MATCH($B144,'Pliegos Tarifarios (Huechuraba)'!$A:$A,0))</f>
        <v>104551.29564</v>
      </c>
      <c r="N144" s="19">
        <f>I144*INDEX('Pliegos Tarifarios (Huechuraba)'!$C:$C,MATCH($B144,'Pliegos Tarifarios (Huechuraba)'!$A:$A,0))</f>
        <v>8136.9867699999995</v>
      </c>
      <c r="O144" s="19">
        <f>J144*INDEX('Pliegos Tarifarios (Huechuraba)'!$D:$D,MATCH($B144,'Pliegos Tarifarios (Huechuraba)'!$A:$A,0))</f>
        <v>33069.258950000003</v>
      </c>
      <c r="P144" s="19">
        <f>H144*INDEX('Pliegos Tarifarios (Huechuraba)'!$E:$E,MATCH($B144,'Pliegos Tarifarios (Huechuraba)'!$A:$A,0))</f>
        <v>11377.31496</v>
      </c>
      <c r="Q144" s="19" cm="1">
        <f t="array" ref="Q144">H144*_xlfn.IFS(H144&lt;=350,INDEX('Pliegos Tarifarios (Huechuraba)'!$F:$F,MATCH($B144,'Pliegos Tarifarios (Huechuraba)'!$A:$A,0)),H144&lt;=500,INDEX('Pliegos Tarifarios (Huechuraba)'!$G:$G,MATCH($B144,'Pliegos Tarifarios (Huechuraba)'!$A:$A,0)),H144&lt;=1000,INDEX('Pliegos Tarifarios (Huechuraba)'!$H:$H,MATCH($B144,'Pliegos Tarifarios (Huechuraba)'!$A:$A,0)),H144&lt;=5000,INDEX('Pliegos Tarifarios (Huechuraba)'!$I:$I,MATCH($B144,'Pliegos Tarifarios (Huechuraba)'!$A:$A,0)),H144&gt;5000,INDEX('Pliegos Tarifarios (Huechuraba)'!$J:$J,MATCH($B144,'Pliegos Tarifarios (Huechuraba)'!$A:$A,0)))/1.19</f>
        <v>2063.416789915967</v>
      </c>
      <c r="R144" s="19">
        <f>INDEX('Pliegos Tarifarios (Huechuraba)'!$K:$K,MATCH($B144,'Pliegos Tarifarios (Huechuraba)'!$A:$A,0))</f>
        <v>716.899</v>
      </c>
      <c r="S144" s="36">
        <f t="shared" si="6"/>
        <v>159915.17210991596</v>
      </c>
      <c r="T144" s="36">
        <f t="shared" si="7"/>
        <v>30383.882700884034</v>
      </c>
      <c r="U144" s="19">
        <v>0</v>
      </c>
      <c r="V144" s="36">
        <f t="shared" si="8"/>
        <v>190299.05481080001</v>
      </c>
    </row>
    <row r="145" spans="1:22" ht="23.4" thickBot="1" x14ac:dyDescent="0.35">
      <c r="A145" s="25" t="s">
        <v>145</v>
      </c>
      <c r="B145" s="26">
        <v>3</v>
      </c>
      <c r="C145" s="27" t="s">
        <v>15</v>
      </c>
      <c r="D145" s="26" t="s">
        <v>101</v>
      </c>
      <c r="E145" s="26" t="s">
        <v>102</v>
      </c>
      <c r="F145" s="27" t="s">
        <v>103</v>
      </c>
      <c r="G145" s="26" t="s">
        <v>19</v>
      </c>
      <c r="H145" s="28">
        <v>2357.2199999999998</v>
      </c>
      <c r="I145" s="26">
        <v>6.31</v>
      </c>
      <c r="J145" s="26">
        <v>6.14</v>
      </c>
      <c r="K145" s="29">
        <v>0.97299999999999998</v>
      </c>
      <c r="L145" s="26">
        <v>84.19</v>
      </c>
      <c r="M145" s="19">
        <f>H145*INDEX('Pliegos Tarifarios (Huechuraba)'!$B:$B,MATCH($B145,'Pliegos Tarifarios (Huechuraba)'!$A:$A,0))</f>
        <v>280127.31035999994</v>
      </c>
      <c r="N145" s="19">
        <f>I145*INDEX('Pliegos Tarifarios (Huechuraba)'!$C:$C,MATCH($B145,'Pliegos Tarifarios (Huechuraba)'!$A:$A,0))</f>
        <v>22036.217389999998</v>
      </c>
      <c r="O145" s="19">
        <f>J145*INDEX('Pliegos Tarifarios (Huechuraba)'!$D:$D,MATCH($B145,'Pliegos Tarifarios (Huechuraba)'!$A:$A,0))</f>
        <v>87143.884099999996</v>
      </c>
      <c r="P145" s="19">
        <f>H145*INDEX('Pliegos Tarifarios (Huechuraba)'!$E:$E,MATCH($B145,'Pliegos Tarifarios (Huechuraba)'!$A:$A,0))</f>
        <v>30483.569039999998</v>
      </c>
      <c r="Q145" s="19" cm="1">
        <f t="array" ref="Q145">H145*_xlfn.IFS(H145&lt;=350,INDEX('Pliegos Tarifarios (Huechuraba)'!$F:$F,MATCH($B145,'Pliegos Tarifarios (Huechuraba)'!$A:$A,0)),H145&lt;=500,INDEX('Pliegos Tarifarios (Huechuraba)'!$G:$G,MATCH($B145,'Pliegos Tarifarios (Huechuraba)'!$A:$A,0)),H145&lt;=1000,INDEX('Pliegos Tarifarios (Huechuraba)'!$H:$H,MATCH($B145,'Pliegos Tarifarios (Huechuraba)'!$A:$A,0)),H145&lt;=5000,INDEX('Pliegos Tarifarios (Huechuraba)'!$I:$I,MATCH($B145,'Pliegos Tarifarios (Huechuraba)'!$A:$A,0)),H145&gt;5000,INDEX('Pliegos Tarifarios (Huechuraba)'!$J:$J,MATCH($B145,'Pliegos Tarifarios (Huechuraba)'!$A:$A,0)))/1.19</f>
        <v>7073.6408571428565</v>
      </c>
      <c r="R145" s="19">
        <f>INDEX('Pliegos Tarifarios (Huechuraba)'!$K:$K,MATCH($B145,'Pliegos Tarifarios (Huechuraba)'!$A:$A,0))</f>
        <v>716.899</v>
      </c>
      <c r="S145" s="36">
        <f t="shared" si="6"/>
        <v>427581.52074714273</v>
      </c>
      <c r="T145" s="36">
        <f t="shared" si="7"/>
        <v>81240.488941957126</v>
      </c>
      <c r="U145" s="19">
        <v>0</v>
      </c>
      <c r="V145" s="36">
        <f t="shared" si="8"/>
        <v>508822.00968909985</v>
      </c>
    </row>
    <row r="146" spans="1:22" ht="23.4" thickBot="1" x14ac:dyDescent="0.35">
      <c r="A146" s="25" t="s">
        <v>145</v>
      </c>
      <c r="B146" s="26">
        <v>3</v>
      </c>
      <c r="C146" s="27" t="s">
        <v>15</v>
      </c>
      <c r="D146" s="26" t="s">
        <v>104</v>
      </c>
      <c r="E146" s="26" t="s">
        <v>105</v>
      </c>
      <c r="F146" s="27" t="s">
        <v>106</v>
      </c>
      <c r="G146" s="26" t="s">
        <v>19</v>
      </c>
      <c r="H146" s="28">
        <v>1759.93</v>
      </c>
      <c r="I146" s="26">
        <v>4.8600000000000003</v>
      </c>
      <c r="J146" s="26">
        <v>4.8600000000000003</v>
      </c>
      <c r="K146" s="29">
        <v>1</v>
      </c>
      <c r="L146" s="26">
        <v>62.85</v>
      </c>
      <c r="M146" s="19">
        <f>H146*INDEX('Pliegos Tarifarios (Huechuraba)'!$B:$B,MATCH($B146,'Pliegos Tarifarios (Huechuraba)'!$A:$A,0))</f>
        <v>209146.56133999999</v>
      </c>
      <c r="N146" s="19">
        <f>I146*INDEX('Pliegos Tarifarios (Huechuraba)'!$C:$C,MATCH($B146,'Pliegos Tarifarios (Huechuraba)'!$A:$A,0))</f>
        <v>16972.427339999998</v>
      </c>
      <c r="O146" s="19">
        <f>J146*INDEX('Pliegos Tarifarios (Huechuraba)'!$D:$D,MATCH($B146,'Pliegos Tarifarios (Huechuraba)'!$A:$A,0))</f>
        <v>68977.080900000001</v>
      </c>
      <c r="P146" s="19">
        <f>H146*INDEX('Pliegos Tarifarios (Huechuraba)'!$E:$E,MATCH($B146,'Pliegos Tarifarios (Huechuraba)'!$A:$A,0))</f>
        <v>22759.414760000003</v>
      </c>
      <c r="Q146" s="19" cm="1">
        <f t="array" ref="Q146">H146*_xlfn.IFS(H146&lt;=350,INDEX('Pliegos Tarifarios (Huechuraba)'!$F:$F,MATCH($B146,'Pliegos Tarifarios (Huechuraba)'!$A:$A,0)),H146&lt;=500,INDEX('Pliegos Tarifarios (Huechuraba)'!$G:$G,MATCH($B146,'Pliegos Tarifarios (Huechuraba)'!$A:$A,0)),H146&lt;=1000,INDEX('Pliegos Tarifarios (Huechuraba)'!$H:$H,MATCH($B146,'Pliegos Tarifarios (Huechuraba)'!$A:$A,0)),H146&lt;=5000,INDEX('Pliegos Tarifarios (Huechuraba)'!$I:$I,MATCH($B146,'Pliegos Tarifarios (Huechuraba)'!$A:$A,0)),H146&gt;5000,INDEX('Pliegos Tarifarios (Huechuraba)'!$J:$J,MATCH($B146,'Pliegos Tarifarios (Huechuraba)'!$A:$A,0)))/1.19</f>
        <v>5281.2689327731096</v>
      </c>
      <c r="R146" s="19">
        <f>INDEX('Pliegos Tarifarios (Huechuraba)'!$K:$K,MATCH($B146,'Pliegos Tarifarios (Huechuraba)'!$A:$A,0))</f>
        <v>716.899</v>
      </c>
      <c r="S146" s="36">
        <f t="shared" si="6"/>
        <v>323853.65227277309</v>
      </c>
      <c r="T146" s="36">
        <f t="shared" si="7"/>
        <v>61532.193931826885</v>
      </c>
      <c r="U146" s="19">
        <v>0</v>
      </c>
      <c r="V146" s="36">
        <f t="shared" si="8"/>
        <v>385385.84620459995</v>
      </c>
    </row>
    <row r="147" spans="1:22" ht="23.4" thickBot="1" x14ac:dyDescent="0.35">
      <c r="A147" s="25" t="s">
        <v>145</v>
      </c>
      <c r="B147" s="26">
        <v>3</v>
      </c>
      <c r="C147" s="27" t="s">
        <v>15</v>
      </c>
      <c r="D147" s="26" t="s">
        <v>107</v>
      </c>
      <c r="E147" s="26" t="s">
        <v>108</v>
      </c>
      <c r="F147" s="27" t="s">
        <v>109</v>
      </c>
      <c r="G147" s="26" t="s">
        <v>33</v>
      </c>
      <c r="H147" s="26">
        <v>586.39</v>
      </c>
      <c r="I147" s="26">
        <v>1.56</v>
      </c>
      <c r="J147" s="26">
        <v>1.54</v>
      </c>
      <c r="K147" s="29">
        <v>0.98799999999999999</v>
      </c>
      <c r="L147" s="26">
        <v>20.94</v>
      </c>
      <c r="M147" s="19">
        <f>H147*INDEX('Pliegos Tarifarios (Huechuraba)'!$B:$B,MATCH($B147,'Pliegos Tarifarios (Huechuraba)'!$A:$A,0))</f>
        <v>69685.414819999991</v>
      </c>
      <c r="N147" s="19">
        <f>I147*INDEX('Pliegos Tarifarios (Huechuraba)'!$C:$C,MATCH($B147,'Pliegos Tarifarios (Huechuraba)'!$A:$A,0))</f>
        <v>5447.9396399999996</v>
      </c>
      <c r="O147" s="19">
        <f>J147*INDEX('Pliegos Tarifarios (Huechuraba)'!$D:$D,MATCH($B147,'Pliegos Tarifarios (Huechuraba)'!$A:$A,0))</f>
        <v>21856.935100000002</v>
      </c>
      <c r="P147" s="19">
        <f>H147*INDEX('Pliegos Tarifarios (Huechuraba)'!$E:$E,MATCH($B147,'Pliegos Tarifarios (Huechuraba)'!$A:$A,0))</f>
        <v>7583.1954800000003</v>
      </c>
      <c r="Q147" s="19" cm="1">
        <f t="array" ref="Q147">H147*_xlfn.IFS(H147&lt;=350,INDEX('Pliegos Tarifarios (Huechuraba)'!$F:$F,MATCH($B147,'Pliegos Tarifarios (Huechuraba)'!$A:$A,0)),H147&lt;=500,INDEX('Pliegos Tarifarios (Huechuraba)'!$G:$G,MATCH($B147,'Pliegos Tarifarios (Huechuraba)'!$A:$A,0)),H147&lt;=1000,INDEX('Pliegos Tarifarios (Huechuraba)'!$H:$H,MATCH($B147,'Pliegos Tarifarios (Huechuraba)'!$A:$A,0)),H147&lt;=5000,INDEX('Pliegos Tarifarios (Huechuraba)'!$I:$I,MATCH($B147,'Pliegos Tarifarios (Huechuraba)'!$A:$A,0)),H147&gt;5000,INDEX('Pliegos Tarifarios (Huechuraba)'!$J:$J,MATCH($B147,'Pliegos Tarifarios (Huechuraba)'!$A:$A,0)))/1.19</f>
        <v>1375.3062941176472</v>
      </c>
      <c r="R147" s="19">
        <f>INDEX('Pliegos Tarifarios (Huechuraba)'!$K:$K,MATCH($B147,'Pliegos Tarifarios (Huechuraba)'!$A:$A,0))</f>
        <v>716.899</v>
      </c>
      <c r="S147" s="36">
        <f t="shared" si="6"/>
        <v>106665.69033411764</v>
      </c>
      <c r="T147" s="36">
        <f t="shared" si="7"/>
        <v>20266.481163482353</v>
      </c>
      <c r="U147" s="19">
        <v>0</v>
      </c>
      <c r="V147" s="36">
        <f t="shared" si="8"/>
        <v>126932.17149759999</v>
      </c>
    </row>
    <row r="148" spans="1:22" ht="23.4" thickBot="1" x14ac:dyDescent="0.35">
      <c r="A148" s="25" t="s">
        <v>145</v>
      </c>
      <c r="B148" s="26">
        <v>3</v>
      </c>
      <c r="C148" s="27" t="s">
        <v>15</v>
      </c>
      <c r="D148" s="26" t="s">
        <v>110</v>
      </c>
      <c r="E148" s="26" t="s">
        <v>108</v>
      </c>
      <c r="F148" s="27" t="s">
        <v>111</v>
      </c>
      <c r="G148" s="26" t="s">
        <v>33</v>
      </c>
      <c r="H148" s="28">
        <v>1077.52</v>
      </c>
      <c r="I148" s="26">
        <v>2.93</v>
      </c>
      <c r="J148" s="26">
        <v>2.86</v>
      </c>
      <c r="K148" s="29">
        <v>0.97399999999999998</v>
      </c>
      <c r="L148" s="26">
        <v>38.479999999999997</v>
      </c>
      <c r="M148" s="19">
        <f>H148*INDEX('Pliegos Tarifarios (Huechuraba)'!$B:$B,MATCH($B148,'Pliegos Tarifarios (Huechuraba)'!$A:$A,0))</f>
        <v>128050.32175999999</v>
      </c>
      <c r="N148" s="19">
        <f>I148*INDEX('Pliegos Tarifarios (Huechuraba)'!$C:$C,MATCH($B148,'Pliegos Tarifarios (Huechuraba)'!$A:$A,0))</f>
        <v>10232.348169999999</v>
      </c>
      <c r="O148" s="19">
        <f>J148*INDEX('Pliegos Tarifarios (Huechuraba)'!$D:$D,MATCH($B148,'Pliegos Tarifarios (Huechuraba)'!$A:$A,0))</f>
        <v>40591.450899999996</v>
      </c>
      <c r="P148" s="19">
        <f>H148*INDEX('Pliegos Tarifarios (Huechuraba)'!$E:$E,MATCH($B148,'Pliegos Tarifarios (Huechuraba)'!$A:$A,0))</f>
        <v>13934.48864</v>
      </c>
      <c r="Q148" s="19" cm="1">
        <f t="array" ref="Q148">H148*_xlfn.IFS(H148&lt;=350,INDEX('Pliegos Tarifarios (Huechuraba)'!$F:$F,MATCH($B148,'Pliegos Tarifarios (Huechuraba)'!$A:$A,0)),H148&lt;=500,INDEX('Pliegos Tarifarios (Huechuraba)'!$G:$G,MATCH($B148,'Pliegos Tarifarios (Huechuraba)'!$A:$A,0)),H148&lt;=1000,INDEX('Pliegos Tarifarios (Huechuraba)'!$H:$H,MATCH($B148,'Pliegos Tarifarios (Huechuraba)'!$A:$A,0)),H148&lt;=5000,INDEX('Pliegos Tarifarios (Huechuraba)'!$I:$I,MATCH($B148,'Pliegos Tarifarios (Huechuraba)'!$A:$A,0)),H148&gt;5000,INDEX('Pliegos Tarifarios (Huechuraba)'!$J:$J,MATCH($B148,'Pliegos Tarifarios (Huechuraba)'!$A:$A,0)))/1.19</f>
        <v>3233.4654789915967</v>
      </c>
      <c r="R148" s="19">
        <f>INDEX('Pliegos Tarifarios (Huechuraba)'!$K:$K,MATCH($B148,'Pliegos Tarifarios (Huechuraba)'!$A:$A,0))</f>
        <v>716.899</v>
      </c>
      <c r="S148" s="36">
        <f t="shared" si="6"/>
        <v>196758.9739489916</v>
      </c>
      <c r="T148" s="36">
        <f t="shared" si="7"/>
        <v>37384.205050308403</v>
      </c>
      <c r="U148" s="19">
        <v>0</v>
      </c>
      <c r="V148" s="36">
        <f t="shared" si="8"/>
        <v>234143.1789993</v>
      </c>
    </row>
    <row r="149" spans="1:22" ht="23.4" thickBot="1" x14ac:dyDescent="0.35">
      <c r="A149" s="25" t="s">
        <v>145</v>
      </c>
      <c r="B149" s="26">
        <v>3</v>
      </c>
      <c r="C149" s="27" t="s">
        <v>15</v>
      </c>
      <c r="D149" s="26" t="s">
        <v>112</v>
      </c>
      <c r="E149" s="26" t="s">
        <v>113</v>
      </c>
      <c r="F149" s="27" t="s">
        <v>114</v>
      </c>
      <c r="G149" s="26" t="s">
        <v>33</v>
      </c>
      <c r="H149" s="26">
        <v>390.92</v>
      </c>
      <c r="I149" s="26">
        <v>1.06</v>
      </c>
      <c r="J149" s="26">
        <v>1.05</v>
      </c>
      <c r="K149" s="29">
        <v>0.99099999999999999</v>
      </c>
      <c r="L149" s="26">
        <v>13.96</v>
      </c>
      <c r="M149" s="19">
        <f>H149*INDEX('Pliegos Tarifarios (Huechuraba)'!$B:$B,MATCH($B149,'Pliegos Tarifarios (Huechuraba)'!$A:$A,0))</f>
        <v>46456.150959999999</v>
      </c>
      <c r="N149" s="19">
        <f>I149*INDEX('Pliegos Tarifarios (Huechuraba)'!$C:$C,MATCH($B149,'Pliegos Tarifarios (Huechuraba)'!$A:$A,0))</f>
        <v>3701.8051399999999</v>
      </c>
      <c r="O149" s="19">
        <f>J149*INDEX('Pliegos Tarifarios (Huechuraba)'!$D:$D,MATCH($B149,'Pliegos Tarifarios (Huechuraba)'!$A:$A,0))</f>
        <v>14902.455750000001</v>
      </c>
      <c r="P149" s="19">
        <f>H149*INDEX('Pliegos Tarifarios (Huechuraba)'!$E:$E,MATCH($B149,'Pliegos Tarifarios (Huechuraba)'!$A:$A,0))</f>
        <v>5055.3774400000002</v>
      </c>
      <c r="Q149" s="19" cm="1">
        <f t="array" ref="Q149">H149*_xlfn.IFS(H149&lt;=350,INDEX('Pliegos Tarifarios (Huechuraba)'!$F:$F,MATCH($B149,'Pliegos Tarifarios (Huechuraba)'!$A:$A,0)),H149&lt;=500,INDEX('Pliegos Tarifarios (Huechuraba)'!$G:$G,MATCH($B149,'Pliegos Tarifarios (Huechuraba)'!$A:$A,0)),H149&lt;=1000,INDEX('Pliegos Tarifarios (Huechuraba)'!$H:$H,MATCH($B149,'Pliegos Tarifarios (Huechuraba)'!$A:$A,0)),H149&lt;=5000,INDEX('Pliegos Tarifarios (Huechuraba)'!$I:$I,MATCH($B149,'Pliegos Tarifarios (Huechuraba)'!$A:$A,0)),H149&gt;5000,INDEX('Pliegos Tarifarios (Huechuraba)'!$J:$J,MATCH($B149,'Pliegos Tarifarios (Huechuraba)'!$A:$A,0)))/1.19</f>
        <v>550.57304201680688</v>
      </c>
      <c r="R149" s="19">
        <f>INDEX('Pliegos Tarifarios (Huechuraba)'!$K:$K,MATCH($B149,'Pliegos Tarifarios (Huechuraba)'!$A:$A,0))</f>
        <v>716.899</v>
      </c>
      <c r="S149" s="36">
        <f t="shared" si="6"/>
        <v>71383.261332016817</v>
      </c>
      <c r="T149" s="36">
        <f t="shared" si="7"/>
        <v>13562.819653083196</v>
      </c>
      <c r="U149" s="19">
        <v>0</v>
      </c>
      <c r="V149" s="36">
        <f t="shared" si="8"/>
        <v>84946.080985100009</v>
      </c>
    </row>
    <row r="150" spans="1:22" ht="23.4" thickBot="1" x14ac:dyDescent="0.35">
      <c r="A150" s="25" t="s">
        <v>145</v>
      </c>
      <c r="B150" s="26">
        <v>3</v>
      </c>
      <c r="C150" s="27" t="s">
        <v>15</v>
      </c>
      <c r="D150" s="26" t="s">
        <v>115</v>
      </c>
      <c r="E150" s="26" t="s">
        <v>116</v>
      </c>
      <c r="F150" s="27" t="s">
        <v>117</v>
      </c>
      <c r="G150" s="26" t="s">
        <v>33</v>
      </c>
      <c r="H150" s="26">
        <v>441.43</v>
      </c>
      <c r="I150" s="26">
        <v>1.19</v>
      </c>
      <c r="J150" s="26">
        <v>1.19</v>
      </c>
      <c r="K150" s="29">
        <v>1</v>
      </c>
      <c r="L150" s="26">
        <v>15.77</v>
      </c>
      <c r="M150" s="19">
        <f>H150*INDEX('Pliegos Tarifarios (Huechuraba)'!$B:$B,MATCH($B150,'Pliegos Tarifarios (Huechuraba)'!$A:$A,0))</f>
        <v>52458.658339999994</v>
      </c>
      <c r="N150" s="19">
        <f>I150*INDEX('Pliegos Tarifarios (Huechuraba)'!$C:$C,MATCH($B150,'Pliegos Tarifarios (Huechuraba)'!$A:$A,0))</f>
        <v>4155.8001099999992</v>
      </c>
      <c r="O150" s="19">
        <f>J150*INDEX('Pliegos Tarifarios (Huechuraba)'!$D:$D,MATCH($B150,'Pliegos Tarifarios (Huechuraba)'!$A:$A,0))</f>
        <v>16889.449850000001</v>
      </c>
      <c r="P150" s="19">
        <f>H150*INDEX('Pliegos Tarifarios (Huechuraba)'!$E:$E,MATCH($B150,'Pliegos Tarifarios (Huechuraba)'!$A:$A,0))</f>
        <v>5708.57276</v>
      </c>
      <c r="Q150" s="19" cm="1">
        <f t="array" ref="Q150">H150*_xlfn.IFS(H150&lt;=350,INDEX('Pliegos Tarifarios (Huechuraba)'!$F:$F,MATCH($B150,'Pliegos Tarifarios (Huechuraba)'!$A:$A,0)),H150&lt;=500,INDEX('Pliegos Tarifarios (Huechuraba)'!$G:$G,MATCH($B150,'Pliegos Tarifarios (Huechuraba)'!$A:$A,0)),H150&lt;=1000,INDEX('Pliegos Tarifarios (Huechuraba)'!$H:$H,MATCH($B150,'Pliegos Tarifarios (Huechuraba)'!$A:$A,0)),H150&lt;=5000,INDEX('Pliegos Tarifarios (Huechuraba)'!$I:$I,MATCH($B150,'Pliegos Tarifarios (Huechuraba)'!$A:$A,0)),H150&gt;5000,INDEX('Pliegos Tarifarios (Huechuraba)'!$J:$J,MATCH($B150,'Pliegos Tarifarios (Huechuraba)'!$A:$A,0)))/1.19</f>
        <v>621.71149579831945</v>
      </c>
      <c r="R150" s="19">
        <f>INDEX('Pliegos Tarifarios (Huechuraba)'!$K:$K,MATCH($B150,'Pliegos Tarifarios (Huechuraba)'!$A:$A,0))</f>
        <v>716.899</v>
      </c>
      <c r="S150" s="36">
        <f t="shared" si="6"/>
        <v>80551.09155579831</v>
      </c>
      <c r="T150" s="36">
        <f t="shared" si="7"/>
        <v>15304.707395601679</v>
      </c>
      <c r="U150" s="19">
        <v>0</v>
      </c>
      <c r="V150" s="36">
        <f t="shared" si="8"/>
        <v>95855.798951399993</v>
      </c>
    </row>
    <row r="151" spans="1:22" ht="23.4" thickBot="1" x14ac:dyDescent="0.35">
      <c r="A151" s="25" t="s">
        <v>145</v>
      </c>
      <c r="B151" s="26">
        <v>3</v>
      </c>
      <c r="C151" s="27" t="s">
        <v>15</v>
      </c>
      <c r="D151" s="26" t="s">
        <v>118</v>
      </c>
      <c r="E151" s="26" t="s">
        <v>119</v>
      </c>
      <c r="F151" s="27" t="s">
        <v>120</v>
      </c>
      <c r="G151" s="26" t="s">
        <v>33</v>
      </c>
      <c r="H151" s="26">
        <v>73.489999999999995</v>
      </c>
      <c r="I151" s="26">
        <v>0.2</v>
      </c>
      <c r="J151" s="26">
        <v>0.2</v>
      </c>
      <c r="K151" s="29">
        <v>1</v>
      </c>
      <c r="L151" s="26">
        <v>2.62</v>
      </c>
      <c r="M151" s="19">
        <f>H151*INDEX('Pliegos Tarifarios (Huechuraba)'!$B:$B,MATCH($B151,'Pliegos Tarifarios (Huechuraba)'!$A:$A,0))</f>
        <v>8733.4046199999993</v>
      </c>
      <c r="N151" s="19">
        <f>I151*INDEX('Pliegos Tarifarios (Huechuraba)'!$C:$C,MATCH($B151,'Pliegos Tarifarios (Huechuraba)'!$A:$A,0))</f>
        <v>698.4538</v>
      </c>
      <c r="O151" s="19">
        <f>J151*INDEX('Pliegos Tarifarios (Huechuraba)'!$D:$D,MATCH($B151,'Pliegos Tarifarios (Huechuraba)'!$A:$A,0))</f>
        <v>2838.5630000000001</v>
      </c>
      <c r="P151" s="19">
        <f>H151*INDEX('Pliegos Tarifarios (Huechuraba)'!$E:$E,MATCH($B151,'Pliegos Tarifarios (Huechuraba)'!$A:$A,0))</f>
        <v>950.37267999999995</v>
      </c>
      <c r="Q151" s="19" cm="1">
        <f t="array" ref="Q151">H151*_xlfn.IFS(H151&lt;=350,INDEX('Pliegos Tarifarios (Huechuraba)'!$F:$F,MATCH($B151,'Pliegos Tarifarios (Huechuraba)'!$A:$A,0)),H151&lt;=500,INDEX('Pliegos Tarifarios (Huechuraba)'!$G:$G,MATCH($B151,'Pliegos Tarifarios (Huechuraba)'!$A:$A,0)),H151&lt;=1000,INDEX('Pliegos Tarifarios (Huechuraba)'!$H:$H,MATCH($B151,'Pliegos Tarifarios (Huechuraba)'!$A:$A,0)),H151&lt;=5000,INDEX('Pliegos Tarifarios (Huechuraba)'!$I:$I,MATCH($B151,'Pliegos Tarifarios (Huechuraba)'!$A:$A,0)),H151&gt;5000,INDEX('Pliegos Tarifarios (Huechuraba)'!$J:$J,MATCH($B151,'Pliegos Tarifarios (Huechuraba)'!$A:$A,0)))/1.19</f>
        <v>48.416941176470594</v>
      </c>
      <c r="R151" s="19">
        <f>INDEX('Pliegos Tarifarios (Huechuraba)'!$K:$K,MATCH($B151,'Pliegos Tarifarios (Huechuraba)'!$A:$A,0))</f>
        <v>716.899</v>
      </c>
      <c r="S151" s="36">
        <f t="shared" si="6"/>
        <v>13986.110041176469</v>
      </c>
      <c r="T151" s="36">
        <f t="shared" si="7"/>
        <v>2657.360907823529</v>
      </c>
      <c r="U151" s="19">
        <v>0</v>
      </c>
      <c r="V151" s="36">
        <f t="shared" si="8"/>
        <v>16643.470948999999</v>
      </c>
    </row>
    <row r="152" spans="1:22" ht="23.4" thickBot="1" x14ac:dyDescent="0.35">
      <c r="A152" s="25" t="s">
        <v>145</v>
      </c>
      <c r="B152" s="26">
        <v>3</v>
      </c>
      <c r="C152" s="27" t="s">
        <v>15</v>
      </c>
      <c r="D152" s="26" t="s">
        <v>121</v>
      </c>
      <c r="E152" s="26" t="s">
        <v>119</v>
      </c>
      <c r="F152" s="27" t="s">
        <v>122</v>
      </c>
      <c r="G152" s="26" t="s">
        <v>33</v>
      </c>
      <c r="H152" s="26">
        <v>73.38</v>
      </c>
      <c r="I152" s="26">
        <v>0.2</v>
      </c>
      <c r="J152" s="26">
        <v>0.2</v>
      </c>
      <c r="K152" s="29">
        <v>0.99199999999999999</v>
      </c>
      <c r="L152" s="26">
        <v>2.62</v>
      </c>
      <c r="M152" s="19">
        <f>H152*INDEX('Pliegos Tarifarios (Huechuraba)'!$B:$B,MATCH($B152,'Pliegos Tarifarios (Huechuraba)'!$A:$A,0))</f>
        <v>8720.3324399999983</v>
      </c>
      <c r="N152" s="19">
        <f>I152*INDEX('Pliegos Tarifarios (Huechuraba)'!$C:$C,MATCH($B152,'Pliegos Tarifarios (Huechuraba)'!$A:$A,0))</f>
        <v>698.4538</v>
      </c>
      <c r="O152" s="19">
        <f>J152*INDEX('Pliegos Tarifarios (Huechuraba)'!$D:$D,MATCH($B152,'Pliegos Tarifarios (Huechuraba)'!$A:$A,0))</f>
        <v>2838.5630000000001</v>
      </c>
      <c r="P152" s="19">
        <f>H152*INDEX('Pliegos Tarifarios (Huechuraba)'!$E:$E,MATCH($B152,'Pliegos Tarifarios (Huechuraba)'!$A:$A,0))</f>
        <v>948.95015999999998</v>
      </c>
      <c r="Q152" s="19" cm="1">
        <f t="array" ref="Q152">H152*_xlfn.IFS(H152&lt;=350,INDEX('Pliegos Tarifarios (Huechuraba)'!$F:$F,MATCH($B152,'Pliegos Tarifarios (Huechuraba)'!$A:$A,0)),H152&lt;=500,INDEX('Pliegos Tarifarios (Huechuraba)'!$G:$G,MATCH($B152,'Pliegos Tarifarios (Huechuraba)'!$A:$A,0)),H152&lt;=1000,INDEX('Pliegos Tarifarios (Huechuraba)'!$H:$H,MATCH($B152,'Pliegos Tarifarios (Huechuraba)'!$A:$A,0)),H152&lt;=5000,INDEX('Pliegos Tarifarios (Huechuraba)'!$I:$I,MATCH($B152,'Pliegos Tarifarios (Huechuraba)'!$A:$A,0)),H152&gt;5000,INDEX('Pliegos Tarifarios (Huechuraba)'!$J:$J,MATCH($B152,'Pliegos Tarifarios (Huechuraba)'!$A:$A,0)))/1.19</f>
        <v>48.344470588235296</v>
      </c>
      <c r="R152" s="19">
        <f>INDEX('Pliegos Tarifarios (Huechuraba)'!$K:$K,MATCH($B152,'Pliegos Tarifarios (Huechuraba)'!$A:$A,0))</f>
        <v>716.899</v>
      </c>
      <c r="S152" s="36">
        <f t="shared" si="6"/>
        <v>13971.542870588233</v>
      </c>
      <c r="T152" s="36">
        <f t="shared" si="7"/>
        <v>2654.5931454117645</v>
      </c>
      <c r="U152" s="19">
        <v>0</v>
      </c>
      <c r="V152" s="36">
        <f t="shared" si="8"/>
        <v>16626.136015999997</v>
      </c>
    </row>
    <row r="153" spans="1:22" ht="23.4" thickBot="1" x14ac:dyDescent="0.35">
      <c r="A153" s="25" t="s">
        <v>145</v>
      </c>
      <c r="B153" s="26">
        <v>3</v>
      </c>
      <c r="C153" s="27" t="s">
        <v>15</v>
      </c>
      <c r="D153" s="26" t="s">
        <v>123</v>
      </c>
      <c r="E153" s="26" t="s">
        <v>124</v>
      </c>
      <c r="F153" s="27" t="s">
        <v>125</v>
      </c>
      <c r="G153" s="26" t="s">
        <v>33</v>
      </c>
      <c r="H153" s="26">
        <v>73.55</v>
      </c>
      <c r="I153" s="26">
        <v>0.2</v>
      </c>
      <c r="J153" s="26">
        <v>0.2</v>
      </c>
      <c r="K153" s="29">
        <v>1</v>
      </c>
      <c r="L153" s="26">
        <v>2.63</v>
      </c>
      <c r="M153" s="19">
        <f>H153*INDEX('Pliegos Tarifarios (Huechuraba)'!$B:$B,MATCH($B153,'Pliegos Tarifarios (Huechuraba)'!$A:$A,0))</f>
        <v>8740.5348999999987</v>
      </c>
      <c r="N153" s="19">
        <f>I153*INDEX('Pliegos Tarifarios (Huechuraba)'!$C:$C,MATCH($B153,'Pliegos Tarifarios (Huechuraba)'!$A:$A,0))</f>
        <v>698.4538</v>
      </c>
      <c r="O153" s="19">
        <f>J153*INDEX('Pliegos Tarifarios (Huechuraba)'!$D:$D,MATCH($B153,'Pliegos Tarifarios (Huechuraba)'!$A:$A,0))</f>
        <v>2838.5630000000001</v>
      </c>
      <c r="P153" s="19">
        <f>H153*INDEX('Pliegos Tarifarios (Huechuraba)'!$E:$E,MATCH($B153,'Pliegos Tarifarios (Huechuraba)'!$A:$A,0))</f>
        <v>951.14859999999999</v>
      </c>
      <c r="Q153" s="19" cm="1">
        <f t="array" ref="Q153">H153*_xlfn.IFS(H153&lt;=350,INDEX('Pliegos Tarifarios (Huechuraba)'!$F:$F,MATCH($B153,'Pliegos Tarifarios (Huechuraba)'!$A:$A,0)),H153&lt;=500,INDEX('Pliegos Tarifarios (Huechuraba)'!$G:$G,MATCH($B153,'Pliegos Tarifarios (Huechuraba)'!$A:$A,0)),H153&lt;=1000,INDEX('Pliegos Tarifarios (Huechuraba)'!$H:$H,MATCH($B153,'Pliegos Tarifarios (Huechuraba)'!$A:$A,0)),H153&lt;=5000,INDEX('Pliegos Tarifarios (Huechuraba)'!$I:$I,MATCH($B153,'Pliegos Tarifarios (Huechuraba)'!$A:$A,0)),H153&gt;5000,INDEX('Pliegos Tarifarios (Huechuraba)'!$J:$J,MATCH($B153,'Pliegos Tarifarios (Huechuraba)'!$A:$A,0)))/1.19</f>
        <v>48.456470588235298</v>
      </c>
      <c r="R153" s="19">
        <f>INDEX('Pliegos Tarifarios (Huechuraba)'!$K:$K,MATCH($B153,'Pliegos Tarifarios (Huechuraba)'!$A:$A,0))</f>
        <v>716.899</v>
      </c>
      <c r="S153" s="36">
        <f t="shared" si="6"/>
        <v>13994.055770588233</v>
      </c>
      <c r="T153" s="36">
        <f t="shared" si="7"/>
        <v>2658.8705964117644</v>
      </c>
      <c r="U153" s="19">
        <v>0</v>
      </c>
      <c r="V153" s="36">
        <f t="shared" si="8"/>
        <v>16652.926366999996</v>
      </c>
    </row>
    <row r="154" spans="1:22" ht="23.4" thickBot="1" x14ac:dyDescent="0.35">
      <c r="A154" s="25" t="s">
        <v>145</v>
      </c>
      <c r="B154" s="26">
        <v>3</v>
      </c>
      <c r="C154" s="27" t="s">
        <v>15</v>
      </c>
      <c r="D154" s="26" t="s">
        <v>126</v>
      </c>
      <c r="E154" s="26" t="s">
        <v>124</v>
      </c>
      <c r="F154" s="27" t="s">
        <v>127</v>
      </c>
      <c r="G154" s="26" t="s">
        <v>33</v>
      </c>
      <c r="H154" s="26">
        <v>122.31</v>
      </c>
      <c r="I154" s="26">
        <v>0.33</v>
      </c>
      <c r="J154" s="26">
        <v>0.32</v>
      </c>
      <c r="K154" s="29">
        <v>0.95799999999999996</v>
      </c>
      <c r="L154" s="26">
        <v>4.37</v>
      </c>
      <c r="M154" s="19">
        <f>H154*INDEX('Pliegos Tarifarios (Huechuraba)'!$B:$B,MATCH($B154,'Pliegos Tarifarios (Huechuraba)'!$A:$A,0))</f>
        <v>14535.075779999999</v>
      </c>
      <c r="N154" s="19">
        <f>I154*INDEX('Pliegos Tarifarios (Huechuraba)'!$C:$C,MATCH($B154,'Pliegos Tarifarios (Huechuraba)'!$A:$A,0))</f>
        <v>1152.44877</v>
      </c>
      <c r="O154" s="19">
        <f>J154*INDEX('Pliegos Tarifarios (Huechuraba)'!$D:$D,MATCH($B154,'Pliegos Tarifarios (Huechuraba)'!$A:$A,0))</f>
        <v>4541.7008000000005</v>
      </c>
      <c r="P154" s="19">
        <f>H154*INDEX('Pliegos Tarifarios (Huechuraba)'!$E:$E,MATCH($B154,'Pliegos Tarifarios (Huechuraba)'!$A:$A,0))</f>
        <v>1581.7129200000002</v>
      </c>
      <c r="Q154" s="19" cm="1">
        <f t="array" ref="Q154">H154*_xlfn.IFS(H154&lt;=350,INDEX('Pliegos Tarifarios (Huechuraba)'!$F:$F,MATCH($B154,'Pliegos Tarifarios (Huechuraba)'!$A:$A,0)),H154&lt;=500,INDEX('Pliegos Tarifarios (Huechuraba)'!$G:$G,MATCH($B154,'Pliegos Tarifarios (Huechuraba)'!$A:$A,0)),H154&lt;=1000,INDEX('Pliegos Tarifarios (Huechuraba)'!$H:$H,MATCH($B154,'Pliegos Tarifarios (Huechuraba)'!$A:$A,0)),H154&lt;=5000,INDEX('Pliegos Tarifarios (Huechuraba)'!$I:$I,MATCH($B154,'Pliegos Tarifarios (Huechuraba)'!$A:$A,0)),H154&gt;5000,INDEX('Pliegos Tarifarios (Huechuraba)'!$J:$J,MATCH($B154,'Pliegos Tarifarios (Huechuraba)'!$A:$A,0)))/1.19</f>
        <v>80.580705882352945</v>
      </c>
      <c r="R154" s="19">
        <f>INDEX('Pliegos Tarifarios (Huechuraba)'!$K:$K,MATCH($B154,'Pliegos Tarifarios (Huechuraba)'!$A:$A,0))</f>
        <v>716.899</v>
      </c>
      <c r="S154" s="36">
        <f t="shared" si="6"/>
        <v>22608.417975882356</v>
      </c>
      <c r="T154" s="36">
        <f t="shared" si="7"/>
        <v>4295.5994154176478</v>
      </c>
      <c r="U154" s="19">
        <v>0</v>
      </c>
      <c r="V154" s="36">
        <f t="shared" si="8"/>
        <v>26904.017391300004</v>
      </c>
    </row>
    <row r="155" spans="1:22" ht="23.4" thickBot="1" x14ac:dyDescent="0.35">
      <c r="A155" s="25" t="s">
        <v>145</v>
      </c>
      <c r="B155" s="26">
        <v>3</v>
      </c>
      <c r="C155" s="27" t="s">
        <v>15</v>
      </c>
      <c r="D155" s="26" t="s">
        <v>128</v>
      </c>
      <c r="E155" s="26" t="s">
        <v>124</v>
      </c>
      <c r="F155" s="27" t="s">
        <v>129</v>
      </c>
      <c r="G155" s="26" t="s">
        <v>33</v>
      </c>
      <c r="H155" s="26">
        <v>73.63</v>
      </c>
      <c r="I155" s="26">
        <v>0.21</v>
      </c>
      <c r="J155" s="26">
        <v>0.21</v>
      </c>
      <c r="K155" s="29">
        <v>1</v>
      </c>
      <c r="L155" s="26">
        <v>2.63</v>
      </c>
      <c r="M155" s="19">
        <f>H155*INDEX('Pliegos Tarifarios (Huechuraba)'!$B:$B,MATCH($B155,'Pliegos Tarifarios (Huechuraba)'!$A:$A,0))</f>
        <v>8750.0419399999992</v>
      </c>
      <c r="N155" s="19">
        <f>I155*INDEX('Pliegos Tarifarios (Huechuraba)'!$C:$C,MATCH($B155,'Pliegos Tarifarios (Huechuraba)'!$A:$A,0))</f>
        <v>733.37648999999988</v>
      </c>
      <c r="O155" s="19">
        <f>J155*INDEX('Pliegos Tarifarios (Huechuraba)'!$D:$D,MATCH($B155,'Pliegos Tarifarios (Huechuraba)'!$A:$A,0))</f>
        <v>2980.4911499999998</v>
      </c>
      <c r="P155" s="19">
        <f>H155*INDEX('Pliegos Tarifarios (Huechuraba)'!$E:$E,MATCH($B155,'Pliegos Tarifarios (Huechuraba)'!$A:$A,0))</f>
        <v>952.18315999999993</v>
      </c>
      <c r="Q155" s="19" cm="1">
        <f t="array" ref="Q155">H155*_xlfn.IFS(H155&lt;=350,INDEX('Pliegos Tarifarios (Huechuraba)'!$F:$F,MATCH($B155,'Pliegos Tarifarios (Huechuraba)'!$A:$A,0)),H155&lt;=500,INDEX('Pliegos Tarifarios (Huechuraba)'!$G:$G,MATCH($B155,'Pliegos Tarifarios (Huechuraba)'!$A:$A,0)),H155&lt;=1000,INDEX('Pliegos Tarifarios (Huechuraba)'!$H:$H,MATCH($B155,'Pliegos Tarifarios (Huechuraba)'!$A:$A,0)),H155&lt;=5000,INDEX('Pliegos Tarifarios (Huechuraba)'!$I:$I,MATCH($B155,'Pliegos Tarifarios (Huechuraba)'!$A:$A,0)),H155&gt;5000,INDEX('Pliegos Tarifarios (Huechuraba)'!$J:$J,MATCH($B155,'Pliegos Tarifarios (Huechuraba)'!$A:$A,0)))/1.19</f>
        <v>48.509176470588237</v>
      </c>
      <c r="R155" s="19">
        <f>INDEX('Pliegos Tarifarios (Huechuraba)'!$K:$K,MATCH($B155,'Pliegos Tarifarios (Huechuraba)'!$A:$A,0))</f>
        <v>716.899</v>
      </c>
      <c r="S155" s="36">
        <f t="shared" si="6"/>
        <v>14181.500916470588</v>
      </c>
      <c r="T155" s="36">
        <f t="shared" si="7"/>
        <v>2694.4851741294119</v>
      </c>
      <c r="U155" s="19">
        <v>0</v>
      </c>
      <c r="V155" s="36">
        <f t="shared" si="8"/>
        <v>16875.986090599999</v>
      </c>
    </row>
    <row r="156" spans="1:22" ht="23.4" thickBot="1" x14ac:dyDescent="0.35">
      <c r="A156" s="25" t="s">
        <v>145</v>
      </c>
      <c r="B156" s="26">
        <v>3</v>
      </c>
      <c r="C156" s="27" t="s">
        <v>15</v>
      </c>
      <c r="D156" s="26" t="s">
        <v>130</v>
      </c>
      <c r="E156" s="26" t="s">
        <v>124</v>
      </c>
      <c r="F156" s="27" t="s">
        <v>131</v>
      </c>
      <c r="G156" s="26" t="s">
        <v>33</v>
      </c>
      <c r="H156" s="26">
        <v>73.400000000000006</v>
      </c>
      <c r="I156" s="26">
        <v>0.2</v>
      </c>
      <c r="J156" s="26">
        <v>0.2</v>
      </c>
      <c r="K156" s="29">
        <v>1</v>
      </c>
      <c r="L156" s="26">
        <v>2.62</v>
      </c>
      <c r="M156" s="19">
        <f>H156*INDEX('Pliegos Tarifarios (Huechuraba)'!$B:$B,MATCH($B156,'Pliegos Tarifarios (Huechuraba)'!$A:$A,0))</f>
        <v>8722.7091999999993</v>
      </c>
      <c r="N156" s="19">
        <f>I156*INDEX('Pliegos Tarifarios (Huechuraba)'!$C:$C,MATCH($B156,'Pliegos Tarifarios (Huechuraba)'!$A:$A,0))</f>
        <v>698.4538</v>
      </c>
      <c r="O156" s="19">
        <f>J156*INDEX('Pliegos Tarifarios (Huechuraba)'!$D:$D,MATCH($B156,'Pliegos Tarifarios (Huechuraba)'!$A:$A,0))</f>
        <v>2838.5630000000001</v>
      </c>
      <c r="P156" s="19">
        <f>H156*INDEX('Pliegos Tarifarios (Huechuraba)'!$E:$E,MATCH($B156,'Pliegos Tarifarios (Huechuraba)'!$A:$A,0))</f>
        <v>949.20880000000011</v>
      </c>
      <c r="Q156" s="19" cm="1">
        <f t="array" ref="Q156">H156*_xlfn.IFS(H156&lt;=350,INDEX('Pliegos Tarifarios (Huechuraba)'!$F:$F,MATCH($B156,'Pliegos Tarifarios (Huechuraba)'!$A:$A,0)),H156&lt;=500,INDEX('Pliegos Tarifarios (Huechuraba)'!$G:$G,MATCH($B156,'Pliegos Tarifarios (Huechuraba)'!$A:$A,0)),H156&lt;=1000,INDEX('Pliegos Tarifarios (Huechuraba)'!$H:$H,MATCH($B156,'Pliegos Tarifarios (Huechuraba)'!$A:$A,0)),H156&lt;=5000,INDEX('Pliegos Tarifarios (Huechuraba)'!$I:$I,MATCH($B156,'Pliegos Tarifarios (Huechuraba)'!$A:$A,0)),H156&gt;5000,INDEX('Pliegos Tarifarios (Huechuraba)'!$J:$J,MATCH($B156,'Pliegos Tarifarios (Huechuraba)'!$A:$A,0)))/1.19</f>
        <v>48.357647058823538</v>
      </c>
      <c r="R156" s="19">
        <f>INDEX('Pliegos Tarifarios (Huechuraba)'!$K:$K,MATCH($B156,'Pliegos Tarifarios (Huechuraba)'!$A:$A,0))</f>
        <v>716.899</v>
      </c>
      <c r="S156" s="36">
        <f t="shared" si="6"/>
        <v>13974.191447058822</v>
      </c>
      <c r="T156" s="36">
        <f t="shared" si="7"/>
        <v>2655.0963749411762</v>
      </c>
      <c r="U156" s="19">
        <v>0</v>
      </c>
      <c r="V156" s="36">
        <f t="shared" si="8"/>
        <v>16629.287821999998</v>
      </c>
    </row>
    <row r="157" spans="1:22" ht="23.4" thickBot="1" x14ac:dyDescent="0.35">
      <c r="A157" s="25" t="s">
        <v>145</v>
      </c>
      <c r="B157" s="26">
        <v>3</v>
      </c>
      <c r="C157" s="27" t="s">
        <v>15</v>
      </c>
      <c r="D157" s="26" t="s">
        <v>132</v>
      </c>
      <c r="E157" s="26" t="s">
        <v>124</v>
      </c>
      <c r="F157" s="27" t="s">
        <v>133</v>
      </c>
      <c r="G157" s="26" t="s">
        <v>33</v>
      </c>
      <c r="H157" s="26">
        <v>73.540000000000006</v>
      </c>
      <c r="I157" s="26">
        <v>0.2</v>
      </c>
      <c r="J157" s="26">
        <v>0.2</v>
      </c>
      <c r="K157" s="29">
        <v>1</v>
      </c>
      <c r="L157" s="26">
        <v>2.63</v>
      </c>
      <c r="M157" s="19">
        <f>H157*INDEX('Pliegos Tarifarios (Huechuraba)'!$B:$B,MATCH($B157,'Pliegos Tarifarios (Huechuraba)'!$A:$A,0))</f>
        <v>8739.346520000001</v>
      </c>
      <c r="N157" s="19">
        <f>I157*INDEX('Pliegos Tarifarios (Huechuraba)'!$C:$C,MATCH($B157,'Pliegos Tarifarios (Huechuraba)'!$A:$A,0))</f>
        <v>698.4538</v>
      </c>
      <c r="O157" s="19">
        <f>J157*INDEX('Pliegos Tarifarios (Huechuraba)'!$D:$D,MATCH($B157,'Pliegos Tarifarios (Huechuraba)'!$A:$A,0))</f>
        <v>2838.5630000000001</v>
      </c>
      <c r="P157" s="19">
        <f>H157*INDEX('Pliegos Tarifarios (Huechuraba)'!$E:$E,MATCH($B157,'Pliegos Tarifarios (Huechuraba)'!$A:$A,0))</f>
        <v>951.01928000000009</v>
      </c>
      <c r="Q157" s="19" cm="1">
        <f t="array" ref="Q157">H157*_xlfn.IFS(H157&lt;=350,INDEX('Pliegos Tarifarios (Huechuraba)'!$F:$F,MATCH($B157,'Pliegos Tarifarios (Huechuraba)'!$A:$A,0)),H157&lt;=500,INDEX('Pliegos Tarifarios (Huechuraba)'!$G:$G,MATCH($B157,'Pliegos Tarifarios (Huechuraba)'!$A:$A,0)),H157&lt;=1000,INDEX('Pliegos Tarifarios (Huechuraba)'!$H:$H,MATCH($B157,'Pliegos Tarifarios (Huechuraba)'!$A:$A,0)),H157&lt;=5000,INDEX('Pliegos Tarifarios (Huechuraba)'!$I:$I,MATCH($B157,'Pliegos Tarifarios (Huechuraba)'!$A:$A,0)),H157&gt;5000,INDEX('Pliegos Tarifarios (Huechuraba)'!$J:$J,MATCH($B157,'Pliegos Tarifarios (Huechuraba)'!$A:$A,0)))/1.19</f>
        <v>48.449882352941188</v>
      </c>
      <c r="R157" s="19">
        <f>INDEX('Pliegos Tarifarios (Huechuraba)'!$K:$K,MATCH($B157,'Pliegos Tarifarios (Huechuraba)'!$A:$A,0))</f>
        <v>716.899</v>
      </c>
      <c r="S157" s="36">
        <f t="shared" si="6"/>
        <v>13992.731482352941</v>
      </c>
      <c r="T157" s="36">
        <f t="shared" si="7"/>
        <v>2658.6189816470587</v>
      </c>
      <c r="U157" s="19">
        <v>0</v>
      </c>
      <c r="V157" s="36">
        <f t="shared" si="8"/>
        <v>16651.350463999999</v>
      </c>
    </row>
    <row r="158" spans="1:22" ht="23.4" thickBot="1" x14ac:dyDescent="0.35">
      <c r="A158" s="25" t="s">
        <v>145</v>
      </c>
      <c r="B158" s="26">
        <v>3</v>
      </c>
      <c r="C158" s="27" t="s">
        <v>15</v>
      </c>
      <c r="D158" s="26" t="s">
        <v>134</v>
      </c>
      <c r="E158" s="26" t="s">
        <v>124</v>
      </c>
      <c r="F158" s="27" t="s">
        <v>135</v>
      </c>
      <c r="G158" s="26" t="s">
        <v>33</v>
      </c>
      <c r="H158" s="26">
        <v>146.61000000000001</v>
      </c>
      <c r="I158" s="26">
        <v>0.41</v>
      </c>
      <c r="J158" s="26">
        <v>0.41</v>
      </c>
      <c r="K158" s="29">
        <v>1</v>
      </c>
      <c r="L158" s="26">
        <v>5.24</v>
      </c>
      <c r="M158" s="19">
        <f>H158*INDEX('Pliegos Tarifarios (Huechuraba)'!$B:$B,MATCH($B158,'Pliegos Tarifarios (Huechuraba)'!$A:$A,0))</f>
        <v>17422.839179999999</v>
      </c>
      <c r="N158" s="19">
        <f>I158*INDEX('Pliegos Tarifarios (Huechuraba)'!$C:$C,MATCH($B158,'Pliegos Tarifarios (Huechuraba)'!$A:$A,0))</f>
        <v>1431.8302899999999</v>
      </c>
      <c r="O158" s="19">
        <f>J158*INDEX('Pliegos Tarifarios (Huechuraba)'!$D:$D,MATCH($B158,'Pliegos Tarifarios (Huechuraba)'!$A:$A,0))</f>
        <v>5819.0541499999999</v>
      </c>
      <c r="P158" s="19">
        <f>H158*INDEX('Pliegos Tarifarios (Huechuraba)'!$E:$E,MATCH($B158,'Pliegos Tarifarios (Huechuraba)'!$A:$A,0))</f>
        <v>1895.9605200000003</v>
      </c>
      <c r="Q158" s="19" cm="1">
        <f t="array" ref="Q158">H158*_xlfn.IFS(H158&lt;=350,INDEX('Pliegos Tarifarios (Huechuraba)'!$F:$F,MATCH($B158,'Pliegos Tarifarios (Huechuraba)'!$A:$A,0)),H158&lt;=500,INDEX('Pliegos Tarifarios (Huechuraba)'!$G:$G,MATCH($B158,'Pliegos Tarifarios (Huechuraba)'!$A:$A,0)),H158&lt;=1000,INDEX('Pliegos Tarifarios (Huechuraba)'!$H:$H,MATCH($B158,'Pliegos Tarifarios (Huechuraba)'!$A:$A,0)),H158&lt;=5000,INDEX('Pliegos Tarifarios (Huechuraba)'!$I:$I,MATCH($B158,'Pliegos Tarifarios (Huechuraba)'!$A:$A,0)),H158&gt;5000,INDEX('Pliegos Tarifarios (Huechuraba)'!$J:$J,MATCH($B158,'Pliegos Tarifarios (Huechuraba)'!$A:$A,0)))/1.19</f>
        <v>96.590117647058833</v>
      </c>
      <c r="R158" s="19">
        <f>INDEX('Pliegos Tarifarios (Huechuraba)'!$K:$K,MATCH($B158,'Pliegos Tarifarios (Huechuraba)'!$A:$A,0))</f>
        <v>716.899</v>
      </c>
      <c r="S158" s="36">
        <f t="shared" si="6"/>
        <v>27383.17325764706</v>
      </c>
      <c r="T158" s="36">
        <f t="shared" si="7"/>
        <v>5202.8029189529416</v>
      </c>
      <c r="U158" s="19">
        <v>0</v>
      </c>
      <c r="V158" s="36">
        <f t="shared" si="8"/>
        <v>32585.976176600001</v>
      </c>
    </row>
    <row r="159" spans="1:22" ht="23.4" thickBot="1" x14ac:dyDescent="0.35">
      <c r="A159" s="25" t="s">
        <v>145</v>
      </c>
      <c r="B159" s="26">
        <v>3</v>
      </c>
      <c r="C159" s="27" t="s">
        <v>15</v>
      </c>
      <c r="D159" s="26" t="s">
        <v>136</v>
      </c>
      <c r="E159" s="26" t="s">
        <v>124</v>
      </c>
      <c r="F159" s="27" t="s">
        <v>137</v>
      </c>
      <c r="G159" s="26" t="s">
        <v>33</v>
      </c>
      <c r="H159" s="26">
        <v>147.07</v>
      </c>
      <c r="I159" s="26">
        <v>0.39</v>
      </c>
      <c r="J159" s="26">
        <v>0.39</v>
      </c>
      <c r="K159" s="29">
        <v>1</v>
      </c>
      <c r="L159" s="26">
        <v>5.25</v>
      </c>
      <c r="M159" s="19">
        <f>H159*INDEX('Pliegos Tarifarios (Huechuraba)'!$B:$B,MATCH($B159,'Pliegos Tarifarios (Huechuraba)'!$A:$A,0))</f>
        <v>17477.504659999999</v>
      </c>
      <c r="N159" s="19">
        <f>I159*INDEX('Pliegos Tarifarios (Huechuraba)'!$C:$C,MATCH($B159,'Pliegos Tarifarios (Huechuraba)'!$A:$A,0))</f>
        <v>1361.9849099999999</v>
      </c>
      <c r="O159" s="19">
        <f>J159*INDEX('Pliegos Tarifarios (Huechuraba)'!$D:$D,MATCH($B159,'Pliegos Tarifarios (Huechuraba)'!$A:$A,0))</f>
        <v>5535.1978500000005</v>
      </c>
      <c r="P159" s="19">
        <f>H159*INDEX('Pliegos Tarifarios (Huechuraba)'!$E:$E,MATCH($B159,'Pliegos Tarifarios (Huechuraba)'!$A:$A,0))</f>
        <v>1901.90924</v>
      </c>
      <c r="Q159" s="19" cm="1">
        <f t="array" ref="Q159">H159*_xlfn.IFS(H159&lt;=350,INDEX('Pliegos Tarifarios (Huechuraba)'!$F:$F,MATCH($B159,'Pliegos Tarifarios (Huechuraba)'!$A:$A,0)),H159&lt;=500,INDEX('Pliegos Tarifarios (Huechuraba)'!$G:$G,MATCH($B159,'Pliegos Tarifarios (Huechuraba)'!$A:$A,0)),H159&lt;=1000,INDEX('Pliegos Tarifarios (Huechuraba)'!$H:$H,MATCH($B159,'Pliegos Tarifarios (Huechuraba)'!$A:$A,0)),H159&lt;=5000,INDEX('Pliegos Tarifarios (Huechuraba)'!$I:$I,MATCH($B159,'Pliegos Tarifarios (Huechuraba)'!$A:$A,0)),H159&gt;5000,INDEX('Pliegos Tarifarios (Huechuraba)'!$J:$J,MATCH($B159,'Pliegos Tarifarios (Huechuraba)'!$A:$A,0)))/1.19</f>
        <v>96.893176470588244</v>
      </c>
      <c r="R159" s="19">
        <f>INDEX('Pliegos Tarifarios (Huechuraba)'!$K:$K,MATCH($B159,'Pliegos Tarifarios (Huechuraba)'!$A:$A,0))</f>
        <v>716.899</v>
      </c>
      <c r="S159" s="36">
        <f t="shared" si="6"/>
        <v>27090.388836470589</v>
      </c>
      <c r="T159" s="36">
        <f t="shared" si="7"/>
        <v>5147.1738789294122</v>
      </c>
      <c r="U159" s="19">
        <v>0</v>
      </c>
      <c r="V159" s="36">
        <f t="shared" si="8"/>
        <v>32237.562715400003</v>
      </c>
    </row>
    <row r="160" spans="1:22" ht="23.4" thickBot="1" x14ac:dyDescent="0.35">
      <c r="A160" s="25" t="s">
        <v>145</v>
      </c>
      <c r="B160" s="26">
        <v>3</v>
      </c>
      <c r="C160" s="27" t="s">
        <v>15</v>
      </c>
      <c r="D160" s="26" t="s">
        <v>138</v>
      </c>
      <c r="E160" s="26" t="s">
        <v>124</v>
      </c>
      <c r="F160" s="27" t="s">
        <v>139</v>
      </c>
      <c r="G160" s="26" t="s">
        <v>33</v>
      </c>
      <c r="H160" s="26">
        <v>147.03</v>
      </c>
      <c r="I160" s="26">
        <v>0.39</v>
      </c>
      <c r="J160" s="26">
        <v>0.38</v>
      </c>
      <c r="K160" s="29">
        <v>0.98099999999999998</v>
      </c>
      <c r="L160" s="26">
        <v>5.25</v>
      </c>
      <c r="M160" s="19">
        <f>H160*INDEX('Pliegos Tarifarios (Huechuraba)'!$B:$B,MATCH($B160,'Pliegos Tarifarios (Huechuraba)'!$A:$A,0))</f>
        <v>17472.75114</v>
      </c>
      <c r="N160" s="19">
        <f>I160*INDEX('Pliegos Tarifarios (Huechuraba)'!$C:$C,MATCH($B160,'Pliegos Tarifarios (Huechuraba)'!$A:$A,0))</f>
        <v>1361.9849099999999</v>
      </c>
      <c r="O160" s="19">
        <f>J160*INDEX('Pliegos Tarifarios (Huechuraba)'!$D:$D,MATCH($B160,'Pliegos Tarifarios (Huechuraba)'!$A:$A,0))</f>
        <v>5393.2696999999998</v>
      </c>
      <c r="P160" s="19">
        <f>H160*INDEX('Pliegos Tarifarios (Huechuraba)'!$E:$E,MATCH($B160,'Pliegos Tarifarios (Huechuraba)'!$A:$A,0))</f>
        <v>1901.3919600000002</v>
      </c>
      <c r="Q160" s="19" cm="1">
        <f t="array" ref="Q160">H160*_xlfn.IFS(H160&lt;=350,INDEX('Pliegos Tarifarios (Huechuraba)'!$F:$F,MATCH($B160,'Pliegos Tarifarios (Huechuraba)'!$A:$A,0)),H160&lt;=500,INDEX('Pliegos Tarifarios (Huechuraba)'!$G:$G,MATCH($B160,'Pliegos Tarifarios (Huechuraba)'!$A:$A,0)),H160&lt;=1000,INDEX('Pliegos Tarifarios (Huechuraba)'!$H:$H,MATCH($B160,'Pliegos Tarifarios (Huechuraba)'!$A:$A,0)),H160&lt;=5000,INDEX('Pliegos Tarifarios (Huechuraba)'!$I:$I,MATCH($B160,'Pliegos Tarifarios (Huechuraba)'!$A:$A,0)),H160&gt;5000,INDEX('Pliegos Tarifarios (Huechuraba)'!$J:$J,MATCH($B160,'Pliegos Tarifarios (Huechuraba)'!$A:$A,0)))/1.19</f>
        <v>96.866823529411775</v>
      </c>
      <c r="R160" s="19">
        <f>INDEX('Pliegos Tarifarios (Huechuraba)'!$K:$K,MATCH($B160,'Pliegos Tarifarios (Huechuraba)'!$A:$A,0))</f>
        <v>716.899</v>
      </c>
      <c r="S160" s="36">
        <f t="shared" si="6"/>
        <v>26943.163533529416</v>
      </c>
      <c r="T160" s="36">
        <f t="shared" si="7"/>
        <v>5119.2010713705895</v>
      </c>
      <c r="U160" s="19">
        <v>0</v>
      </c>
      <c r="V160" s="36">
        <f t="shared" si="8"/>
        <v>32062.364604900005</v>
      </c>
    </row>
    <row r="161" spans="1:22" ht="23.4" thickBot="1" x14ac:dyDescent="0.35">
      <c r="A161" s="25" t="s">
        <v>145</v>
      </c>
      <c r="B161" s="26">
        <v>3</v>
      </c>
      <c r="C161" s="27" t="s">
        <v>15</v>
      </c>
      <c r="D161" s="26" t="s">
        <v>140</v>
      </c>
      <c r="E161" s="26" t="s">
        <v>124</v>
      </c>
      <c r="F161" s="27" t="s">
        <v>141</v>
      </c>
      <c r="G161" s="26" t="s">
        <v>33</v>
      </c>
      <c r="H161" s="26">
        <v>73.31</v>
      </c>
      <c r="I161" s="26">
        <v>0.19</v>
      </c>
      <c r="J161" s="26">
        <v>0.19</v>
      </c>
      <c r="K161" s="29">
        <v>0.98599999999999999</v>
      </c>
      <c r="L161" s="26">
        <v>2.62</v>
      </c>
      <c r="M161" s="19">
        <f>H161*INDEX('Pliegos Tarifarios (Huechuraba)'!$B:$B,MATCH($B161,'Pliegos Tarifarios (Huechuraba)'!$A:$A,0))</f>
        <v>8712.0137799999993</v>
      </c>
      <c r="N161" s="19">
        <f>I161*INDEX('Pliegos Tarifarios (Huechuraba)'!$C:$C,MATCH($B161,'Pliegos Tarifarios (Huechuraba)'!$A:$A,0))</f>
        <v>663.53111000000001</v>
      </c>
      <c r="O161" s="19">
        <f>J161*INDEX('Pliegos Tarifarios (Huechuraba)'!$D:$D,MATCH($B161,'Pliegos Tarifarios (Huechuraba)'!$A:$A,0))</f>
        <v>2696.6348499999999</v>
      </c>
      <c r="P161" s="19">
        <f>H161*INDEX('Pliegos Tarifarios (Huechuraba)'!$E:$E,MATCH($B161,'Pliegos Tarifarios (Huechuraba)'!$A:$A,0))</f>
        <v>948.04492000000005</v>
      </c>
      <c r="Q161" s="19" cm="1">
        <f t="array" ref="Q161">H161*_xlfn.IFS(H161&lt;=350,INDEX('Pliegos Tarifarios (Huechuraba)'!$F:$F,MATCH($B161,'Pliegos Tarifarios (Huechuraba)'!$A:$A,0)),H161&lt;=500,INDEX('Pliegos Tarifarios (Huechuraba)'!$G:$G,MATCH($B161,'Pliegos Tarifarios (Huechuraba)'!$A:$A,0)),H161&lt;=1000,INDEX('Pliegos Tarifarios (Huechuraba)'!$H:$H,MATCH($B161,'Pliegos Tarifarios (Huechuraba)'!$A:$A,0)),H161&lt;=5000,INDEX('Pliegos Tarifarios (Huechuraba)'!$I:$I,MATCH($B161,'Pliegos Tarifarios (Huechuraba)'!$A:$A,0)),H161&gt;5000,INDEX('Pliegos Tarifarios (Huechuraba)'!$J:$J,MATCH($B161,'Pliegos Tarifarios (Huechuraba)'!$A:$A,0)))/1.19</f>
        <v>48.298352941176482</v>
      </c>
      <c r="R161" s="19">
        <f>INDEX('Pliegos Tarifarios (Huechuraba)'!$K:$K,MATCH($B161,'Pliegos Tarifarios (Huechuraba)'!$A:$A,0))</f>
        <v>716.899</v>
      </c>
      <c r="S161" s="36">
        <f t="shared" si="6"/>
        <v>13785.422012941175</v>
      </c>
      <c r="T161" s="36">
        <f t="shared" si="7"/>
        <v>2619.2301824588235</v>
      </c>
      <c r="U161" s="19">
        <v>0</v>
      </c>
      <c r="V161" s="36">
        <f t="shared" si="8"/>
        <v>16404.652195399998</v>
      </c>
    </row>
    <row r="162" spans="1:22" ht="23.4" thickBot="1" x14ac:dyDescent="0.35">
      <c r="A162" s="25" t="s">
        <v>145</v>
      </c>
      <c r="B162" s="26">
        <v>3</v>
      </c>
      <c r="C162" s="27" t="s">
        <v>15</v>
      </c>
      <c r="D162" s="26" t="s">
        <v>142</v>
      </c>
      <c r="E162" s="26" t="s">
        <v>124</v>
      </c>
      <c r="F162" s="27" t="s">
        <v>143</v>
      </c>
      <c r="G162" s="26" t="s">
        <v>33</v>
      </c>
      <c r="H162" s="26">
        <v>146.66999999999999</v>
      </c>
      <c r="I162" s="26">
        <v>0.4</v>
      </c>
      <c r="J162" s="26">
        <v>0.4</v>
      </c>
      <c r="K162" s="29">
        <v>0.999</v>
      </c>
      <c r="L162" s="26">
        <v>5.24</v>
      </c>
      <c r="M162" s="19">
        <f>H162*INDEX('Pliegos Tarifarios (Huechuraba)'!$B:$B,MATCH($B162,'Pliegos Tarifarios (Huechuraba)'!$A:$A,0))</f>
        <v>17429.969459999997</v>
      </c>
      <c r="N162" s="19">
        <f>I162*INDEX('Pliegos Tarifarios (Huechuraba)'!$C:$C,MATCH($B162,'Pliegos Tarifarios (Huechuraba)'!$A:$A,0))</f>
        <v>1396.9076</v>
      </c>
      <c r="O162" s="19">
        <f>J162*INDEX('Pliegos Tarifarios (Huechuraba)'!$D:$D,MATCH($B162,'Pliegos Tarifarios (Huechuraba)'!$A:$A,0))</f>
        <v>5677.1260000000002</v>
      </c>
      <c r="P162" s="19">
        <f>H162*INDEX('Pliegos Tarifarios (Huechuraba)'!$E:$E,MATCH($B162,'Pliegos Tarifarios (Huechuraba)'!$A:$A,0))</f>
        <v>1896.7364399999999</v>
      </c>
      <c r="Q162" s="19" cm="1">
        <f t="array" ref="Q162">H162*_xlfn.IFS(H162&lt;=350,INDEX('Pliegos Tarifarios (Huechuraba)'!$F:$F,MATCH($B162,'Pliegos Tarifarios (Huechuraba)'!$A:$A,0)),H162&lt;=500,INDEX('Pliegos Tarifarios (Huechuraba)'!$G:$G,MATCH($B162,'Pliegos Tarifarios (Huechuraba)'!$A:$A,0)),H162&lt;=1000,INDEX('Pliegos Tarifarios (Huechuraba)'!$H:$H,MATCH($B162,'Pliegos Tarifarios (Huechuraba)'!$A:$A,0)),H162&lt;=5000,INDEX('Pliegos Tarifarios (Huechuraba)'!$I:$I,MATCH($B162,'Pliegos Tarifarios (Huechuraba)'!$A:$A,0)),H162&gt;5000,INDEX('Pliegos Tarifarios (Huechuraba)'!$J:$J,MATCH($B162,'Pliegos Tarifarios (Huechuraba)'!$A:$A,0)))/1.19</f>
        <v>96.629647058823522</v>
      </c>
      <c r="R162" s="19">
        <f>INDEX('Pliegos Tarifarios (Huechuraba)'!$K:$K,MATCH($B162,'Pliegos Tarifarios (Huechuraba)'!$A:$A,0))</f>
        <v>716.899</v>
      </c>
      <c r="S162" s="36">
        <f t="shared" si="6"/>
        <v>27214.268147058821</v>
      </c>
      <c r="T162" s="36">
        <f t="shared" si="7"/>
        <v>5170.7109479411765</v>
      </c>
      <c r="U162" s="19">
        <v>0</v>
      </c>
      <c r="V162" s="36">
        <f t="shared" si="8"/>
        <v>32384.979094999999</v>
      </c>
    </row>
    <row r="163" spans="1:22" ht="23.4" thickBot="1" x14ac:dyDescent="0.35">
      <c r="A163" s="30" t="s">
        <v>146</v>
      </c>
      <c r="B163" s="31">
        <v>4</v>
      </c>
      <c r="C163" s="32" t="s">
        <v>15</v>
      </c>
      <c r="D163" s="31" t="s">
        <v>16</v>
      </c>
      <c r="E163" s="31" t="s">
        <v>17</v>
      </c>
      <c r="F163" s="32" t="s">
        <v>18</v>
      </c>
      <c r="G163" s="31" t="s">
        <v>19</v>
      </c>
      <c r="H163" s="33">
        <v>6277.26</v>
      </c>
      <c r="I163" s="31">
        <v>17.87</v>
      </c>
      <c r="J163" s="31">
        <v>17.87</v>
      </c>
      <c r="K163" s="34">
        <v>1</v>
      </c>
      <c r="L163" s="31">
        <v>202.49</v>
      </c>
      <c r="M163" s="19">
        <f>H163*INDEX('Pliegos Tarifarios (Huechuraba)'!$B:$B,MATCH($B163,'Pliegos Tarifarios (Huechuraba)'!$A:$A,0))</f>
        <v>745977.02387999999</v>
      </c>
      <c r="N163" s="19">
        <f>I163*INDEX('Pliegos Tarifarios (Huechuraba)'!$C:$C,MATCH($B163,'Pliegos Tarifarios (Huechuraba)'!$A:$A,0))</f>
        <v>61291.544590000005</v>
      </c>
      <c r="O163" s="19">
        <f>J163*INDEX('Pliegos Tarifarios (Huechuraba)'!$D:$D,MATCH($B163,'Pliegos Tarifarios (Huechuraba)'!$A:$A,0))</f>
        <v>252474.86540000001</v>
      </c>
      <c r="P163" s="19">
        <f>H163*INDEX('Pliegos Tarifarios (Huechuraba)'!$E:$E,MATCH($B163,'Pliegos Tarifarios (Huechuraba)'!$A:$A,0))</f>
        <v>81177.526320000004</v>
      </c>
      <c r="Q163" s="19" cm="1">
        <f t="array" ref="Q163">H163*_xlfn.IFS(H163&lt;=350,INDEX('Pliegos Tarifarios (Huechuraba)'!$F:$F,MATCH($B163,'Pliegos Tarifarios (Huechuraba)'!$A:$A,0)),H163&lt;=500,INDEX('Pliegos Tarifarios (Huechuraba)'!$G:$G,MATCH($B163,'Pliegos Tarifarios (Huechuraba)'!$A:$A,0)),H163&lt;=1000,INDEX('Pliegos Tarifarios (Huechuraba)'!$H:$H,MATCH($B163,'Pliegos Tarifarios (Huechuraba)'!$A:$A,0)),H163&lt;=5000,INDEX('Pliegos Tarifarios (Huechuraba)'!$I:$I,MATCH($B163,'Pliegos Tarifarios (Huechuraba)'!$A:$A,0)),H163&gt;5000,INDEX('Pliegos Tarifarios (Huechuraba)'!$J:$J,MATCH($B163,'Pliegos Tarifarios (Huechuraba)'!$A:$A,0)))/1.19</f>
        <v>20598.907815126055</v>
      </c>
      <c r="R163" s="19">
        <f>INDEX('Pliegos Tarifarios (Huechuraba)'!$K:$K,MATCH($B163,'Pliegos Tarifarios (Huechuraba)'!$A:$A,0))</f>
        <v>719.68899999999996</v>
      </c>
      <c r="S163" s="36">
        <f t="shared" si="6"/>
        <v>1162239.557005126</v>
      </c>
      <c r="T163" s="36">
        <f t="shared" si="7"/>
        <v>220825.51583097395</v>
      </c>
      <c r="U163" s="19">
        <v>0</v>
      </c>
      <c r="V163" s="36">
        <f t="shared" si="8"/>
        <v>1383065.0728360999</v>
      </c>
    </row>
    <row r="164" spans="1:22" ht="23.4" thickBot="1" x14ac:dyDescent="0.35">
      <c r="A164" s="30" t="s">
        <v>146</v>
      </c>
      <c r="B164" s="31">
        <v>4</v>
      </c>
      <c r="C164" s="32" t="s">
        <v>15</v>
      </c>
      <c r="D164" s="31" t="s">
        <v>20</v>
      </c>
      <c r="E164" s="31" t="s">
        <v>21</v>
      </c>
      <c r="F164" s="32" t="s">
        <v>22</v>
      </c>
      <c r="G164" s="31" t="s">
        <v>19</v>
      </c>
      <c r="H164" s="33">
        <v>3144.18</v>
      </c>
      <c r="I164" s="31">
        <v>8.86</v>
      </c>
      <c r="J164" s="31">
        <v>8.82</v>
      </c>
      <c r="K164" s="34">
        <v>0.995</v>
      </c>
      <c r="L164" s="31">
        <v>101.43</v>
      </c>
      <c r="M164" s="19">
        <f>H164*INDEX('Pliegos Tarifarios (Huechuraba)'!$B:$B,MATCH($B164,'Pliegos Tarifarios (Huechuraba)'!$A:$A,0))</f>
        <v>373648.06283999997</v>
      </c>
      <c r="N164" s="19">
        <f>I164*INDEX('Pliegos Tarifarios (Huechuraba)'!$C:$C,MATCH($B164,'Pliegos Tarifarios (Huechuraba)'!$A:$A,0))</f>
        <v>30388.533019999999</v>
      </c>
      <c r="O164" s="19">
        <f>J164*INDEX('Pliegos Tarifarios (Huechuraba)'!$D:$D,MATCH($B164,'Pliegos Tarifarios (Huechuraba)'!$A:$A,0))</f>
        <v>124612.66440000001</v>
      </c>
      <c r="P164" s="19">
        <f>H164*INDEX('Pliegos Tarifarios (Huechuraba)'!$E:$E,MATCH($B164,'Pliegos Tarifarios (Huechuraba)'!$A:$A,0))</f>
        <v>40660.535759999999</v>
      </c>
      <c r="Q164" s="19" cm="1">
        <f t="array" ref="Q164">H164*_xlfn.IFS(H164&lt;=350,INDEX('Pliegos Tarifarios (Huechuraba)'!$F:$F,MATCH($B164,'Pliegos Tarifarios (Huechuraba)'!$A:$A,0)),H164&lt;=500,INDEX('Pliegos Tarifarios (Huechuraba)'!$G:$G,MATCH($B164,'Pliegos Tarifarios (Huechuraba)'!$A:$A,0)),H164&lt;=1000,INDEX('Pliegos Tarifarios (Huechuraba)'!$H:$H,MATCH($B164,'Pliegos Tarifarios (Huechuraba)'!$A:$A,0)),H164&lt;=5000,INDEX('Pliegos Tarifarios (Huechuraba)'!$I:$I,MATCH($B164,'Pliegos Tarifarios (Huechuraba)'!$A:$A,0)),H164&gt;5000,INDEX('Pliegos Tarifarios (Huechuraba)'!$J:$J,MATCH($B164,'Pliegos Tarifarios (Huechuraba)'!$A:$A,0)))/1.19</f>
        <v>9435.1821680672256</v>
      </c>
      <c r="R164" s="19">
        <f>INDEX('Pliegos Tarifarios (Huechuraba)'!$K:$K,MATCH($B164,'Pliegos Tarifarios (Huechuraba)'!$A:$A,0))</f>
        <v>719.68899999999996</v>
      </c>
      <c r="S164" s="36">
        <f t="shared" si="6"/>
        <v>579464.66718806711</v>
      </c>
      <c r="T164" s="36">
        <f t="shared" si="7"/>
        <v>110098.28676573274</v>
      </c>
      <c r="U164" s="19">
        <v>0</v>
      </c>
      <c r="V164" s="36">
        <f t="shared" si="8"/>
        <v>689562.95395379979</v>
      </c>
    </row>
    <row r="165" spans="1:22" ht="23.4" thickBot="1" x14ac:dyDescent="0.35">
      <c r="A165" s="30" t="s">
        <v>146</v>
      </c>
      <c r="B165" s="31">
        <v>4</v>
      </c>
      <c r="C165" s="32" t="s">
        <v>15</v>
      </c>
      <c r="D165" s="31" t="s">
        <v>23</v>
      </c>
      <c r="E165" s="31" t="s">
        <v>21</v>
      </c>
      <c r="F165" s="32" t="s">
        <v>24</v>
      </c>
      <c r="G165" s="31" t="s">
        <v>19</v>
      </c>
      <c r="H165" s="33">
        <v>2510.09</v>
      </c>
      <c r="I165" s="31">
        <v>7.07</v>
      </c>
      <c r="J165" s="31">
        <v>6.98</v>
      </c>
      <c r="K165" s="34">
        <v>0.98799999999999999</v>
      </c>
      <c r="L165" s="31">
        <v>80.97</v>
      </c>
      <c r="M165" s="19">
        <f>H165*INDEX('Pliegos Tarifarios (Huechuraba)'!$B:$B,MATCH($B165,'Pliegos Tarifarios (Huechuraba)'!$A:$A,0))</f>
        <v>298294.07542000001</v>
      </c>
      <c r="N165" s="19">
        <f>I165*INDEX('Pliegos Tarifarios (Huechuraba)'!$C:$C,MATCH($B165,'Pliegos Tarifarios (Huechuraba)'!$A:$A,0))</f>
        <v>24249.08899</v>
      </c>
      <c r="O165" s="19">
        <f>J165*INDEX('Pliegos Tarifarios (Huechuraba)'!$D:$D,MATCH($B165,'Pliegos Tarifarios (Huechuraba)'!$A:$A,0))</f>
        <v>98616.371600000013</v>
      </c>
      <c r="P165" s="19">
        <f>H165*INDEX('Pliegos Tarifarios (Huechuraba)'!$E:$E,MATCH($B165,'Pliegos Tarifarios (Huechuraba)'!$A:$A,0))</f>
        <v>32460.483880000003</v>
      </c>
      <c r="Q165" s="19" cm="1">
        <f t="array" ref="Q165">H165*_xlfn.IFS(H165&lt;=350,INDEX('Pliegos Tarifarios (Huechuraba)'!$F:$F,MATCH($B165,'Pliegos Tarifarios (Huechuraba)'!$A:$A,0)),H165&lt;=500,INDEX('Pliegos Tarifarios (Huechuraba)'!$G:$G,MATCH($B165,'Pliegos Tarifarios (Huechuraba)'!$A:$A,0)),H165&lt;=1000,INDEX('Pliegos Tarifarios (Huechuraba)'!$H:$H,MATCH($B165,'Pliegos Tarifarios (Huechuraba)'!$A:$A,0)),H165&lt;=5000,INDEX('Pliegos Tarifarios (Huechuraba)'!$I:$I,MATCH($B165,'Pliegos Tarifarios (Huechuraba)'!$A:$A,0)),H165&gt;5000,INDEX('Pliegos Tarifarios (Huechuraba)'!$J:$J,MATCH($B165,'Pliegos Tarifarios (Huechuraba)'!$A:$A,0)))/1.19</f>
        <v>7532.3793193277315</v>
      </c>
      <c r="R165" s="19">
        <f>INDEX('Pliegos Tarifarios (Huechuraba)'!$K:$K,MATCH($B165,'Pliegos Tarifarios (Huechuraba)'!$A:$A,0))</f>
        <v>719.68899999999996</v>
      </c>
      <c r="S165" s="36">
        <f t="shared" si="6"/>
        <v>461872.08820932778</v>
      </c>
      <c r="T165" s="36">
        <f t="shared" si="7"/>
        <v>87755.696759772283</v>
      </c>
      <c r="U165" s="19">
        <v>0</v>
      </c>
      <c r="V165" s="36">
        <f t="shared" si="8"/>
        <v>549627.78496910003</v>
      </c>
    </row>
    <row r="166" spans="1:22" ht="23.4" thickBot="1" x14ac:dyDescent="0.35">
      <c r="A166" s="30" t="s">
        <v>146</v>
      </c>
      <c r="B166" s="31">
        <v>4</v>
      </c>
      <c r="C166" s="32" t="s">
        <v>15</v>
      </c>
      <c r="D166" s="31" t="s">
        <v>25</v>
      </c>
      <c r="E166" s="31" t="s">
        <v>21</v>
      </c>
      <c r="F166" s="32" t="s">
        <v>26</v>
      </c>
      <c r="G166" s="31" t="s">
        <v>19</v>
      </c>
      <c r="H166" s="33">
        <v>2098.83</v>
      </c>
      <c r="I166" s="31">
        <v>5.95</v>
      </c>
      <c r="J166" s="31">
        <v>5.91</v>
      </c>
      <c r="K166" s="34">
        <v>0.99199999999999999</v>
      </c>
      <c r="L166" s="31">
        <v>67.7</v>
      </c>
      <c r="M166" s="19">
        <f>H166*INDEX('Pliegos Tarifarios (Huechuraba)'!$B:$B,MATCH($B166,'Pliegos Tarifarios (Huechuraba)'!$A:$A,0))</f>
        <v>249420.75953999997</v>
      </c>
      <c r="N166" s="19">
        <f>I166*INDEX('Pliegos Tarifarios (Huechuraba)'!$C:$C,MATCH($B166,'Pliegos Tarifarios (Huechuraba)'!$A:$A,0))</f>
        <v>20407.649150000001</v>
      </c>
      <c r="O166" s="19">
        <f>J166*INDEX('Pliegos Tarifarios (Huechuraba)'!$D:$D,MATCH($B166,'Pliegos Tarifarios (Huechuraba)'!$A:$A,0))</f>
        <v>83498.962200000009</v>
      </c>
      <c r="P166" s="19">
        <f>H166*INDEX('Pliegos Tarifarios (Huechuraba)'!$E:$E,MATCH($B166,'Pliegos Tarifarios (Huechuraba)'!$A:$A,0))</f>
        <v>27142.06956</v>
      </c>
      <c r="Q166" s="19" cm="1">
        <f t="array" ref="Q166">H166*_xlfn.IFS(H166&lt;=350,INDEX('Pliegos Tarifarios (Huechuraba)'!$F:$F,MATCH($B166,'Pliegos Tarifarios (Huechuraba)'!$A:$A,0)),H166&lt;=500,INDEX('Pliegos Tarifarios (Huechuraba)'!$G:$G,MATCH($B166,'Pliegos Tarifarios (Huechuraba)'!$A:$A,0)),H166&lt;=1000,INDEX('Pliegos Tarifarios (Huechuraba)'!$H:$H,MATCH($B166,'Pliegos Tarifarios (Huechuraba)'!$A:$A,0)),H166&lt;=5000,INDEX('Pliegos Tarifarios (Huechuraba)'!$I:$I,MATCH($B166,'Pliegos Tarifarios (Huechuraba)'!$A:$A,0)),H166&gt;5000,INDEX('Pliegos Tarifarios (Huechuraba)'!$J:$J,MATCH($B166,'Pliegos Tarifarios (Huechuraba)'!$A:$A,0)))/1.19</f>
        <v>6298.2537226890754</v>
      </c>
      <c r="R166" s="19">
        <f>INDEX('Pliegos Tarifarios (Huechuraba)'!$K:$K,MATCH($B166,'Pliegos Tarifarios (Huechuraba)'!$A:$A,0))</f>
        <v>719.68899999999996</v>
      </c>
      <c r="S166" s="36">
        <f t="shared" si="6"/>
        <v>387487.38317268901</v>
      </c>
      <c r="T166" s="36">
        <f t="shared" si="7"/>
        <v>73622.602802810914</v>
      </c>
      <c r="U166" s="19">
        <v>0</v>
      </c>
      <c r="V166" s="36">
        <f t="shared" si="8"/>
        <v>461109.98597549991</v>
      </c>
    </row>
    <row r="167" spans="1:22" ht="23.4" thickBot="1" x14ac:dyDescent="0.35">
      <c r="A167" s="30" t="s">
        <v>146</v>
      </c>
      <c r="B167" s="31">
        <v>4</v>
      </c>
      <c r="C167" s="32" t="s">
        <v>15</v>
      </c>
      <c r="D167" s="31" t="s">
        <v>27</v>
      </c>
      <c r="E167" s="31" t="s">
        <v>21</v>
      </c>
      <c r="F167" s="32" t="s">
        <v>28</v>
      </c>
      <c r="G167" s="31" t="s">
        <v>19</v>
      </c>
      <c r="H167" s="33">
        <v>2267.58</v>
      </c>
      <c r="I167" s="31">
        <v>6.41</v>
      </c>
      <c r="J167" s="31">
        <v>6.31</v>
      </c>
      <c r="K167" s="34">
        <v>0.98399999999999999</v>
      </c>
      <c r="L167" s="31">
        <v>73.150000000000006</v>
      </c>
      <c r="M167" s="19">
        <f>H167*INDEX('Pliegos Tarifarios (Huechuraba)'!$B:$B,MATCH($B167,'Pliegos Tarifarios (Huechuraba)'!$A:$A,0))</f>
        <v>269474.67203999998</v>
      </c>
      <c r="N167" s="19">
        <f>I167*INDEX('Pliegos Tarifarios (Huechuraba)'!$C:$C,MATCH($B167,'Pliegos Tarifarios (Huechuraba)'!$A:$A,0))</f>
        <v>21985.38337</v>
      </c>
      <c r="O167" s="19">
        <f>J167*INDEX('Pliegos Tarifarios (Huechuraba)'!$D:$D,MATCH($B167,'Pliegos Tarifarios (Huechuraba)'!$A:$A,0))</f>
        <v>89150.330199999997</v>
      </c>
      <c r="P167" s="19">
        <f>H167*INDEX('Pliegos Tarifarios (Huechuraba)'!$E:$E,MATCH($B167,'Pliegos Tarifarios (Huechuraba)'!$A:$A,0))</f>
        <v>29324.344560000001</v>
      </c>
      <c r="Q167" s="19" cm="1">
        <f t="array" ref="Q167">H167*_xlfn.IFS(H167&lt;=350,INDEX('Pliegos Tarifarios (Huechuraba)'!$F:$F,MATCH($B167,'Pliegos Tarifarios (Huechuraba)'!$A:$A,0)),H167&lt;=500,INDEX('Pliegos Tarifarios (Huechuraba)'!$G:$G,MATCH($B167,'Pliegos Tarifarios (Huechuraba)'!$A:$A,0)),H167&lt;=1000,INDEX('Pliegos Tarifarios (Huechuraba)'!$H:$H,MATCH($B167,'Pliegos Tarifarios (Huechuraba)'!$A:$A,0)),H167&lt;=5000,INDEX('Pliegos Tarifarios (Huechuraba)'!$I:$I,MATCH($B167,'Pliegos Tarifarios (Huechuraba)'!$A:$A,0)),H167&gt;5000,INDEX('Pliegos Tarifarios (Huechuraba)'!$J:$J,MATCH($B167,'Pliegos Tarifarios (Huechuraba)'!$A:$A,0)))/1.19</f>
        <v>6804.6455294117641</v>
      </c>
      <c r="R167" s="19">
        <f>INDEX('Pliegos Tarifarios (Huechuraba)'!$K:$K,MATCH($B167,'Pliegos Tarifarios (Huechuraba)'!$A:$A,0))</f>
        <v>719.68899999999996</v>
      </c>
      <c r="S167" s="36">
        <f t="shared" si="6"/>
        <v>417459.0646994118</v>
      </c>
      <c r="T167" s="36">
        <f t="shared" si="7"/>
        <v>79317.22229288824</v>
      </c>
      <c r="U167" s="19">
        <v>0</v>
      </c>
      <c r="V167" s="36">
        <f t="shared" si="8"/>
        <v>496776.28699230007</v>
      </c>
    </row>
    <row r="168" spans="1:22" ht="23.4" thickBot="1" x14ac:dyDescent="0.35">
      <c r="A168" s="30" t="s">
        <v>146</v>
      </c>
      <c r="B168" s="31">
        <v>4</v>
      </c>
      <c r="C168" s="32" t="s">
        <v>15</v>
      </c>
      <c r="D168" s="31" t="s">
        <v>29</v>
      </c>
      <c r="E168" s="31" t="s">
        <v>21</v>
      </c>
      <c r="F168" s="32" t="s">
        <v>30</v>
      </c>
      <c r="G168" s="31" t="s">
        <v>19</v>
      </c>
      <c r="H168" s="33">
        <v>1507.15</v>
      </c>
      <c r="I168" s="31">
        <v>4.1500000000000004</v>
      </c>
      <c r="J168" s="31">
        <v>4.1500000000000004</v>
      </c>
      <c r="K168" s="34">
        <v>1</v>
      </c>
      <c r="L168" s="31">
        <v>48.62</v>
      </c>
      <c r="M168" s="19">
        <f>H168*INDEX('Pliegos Tarifarios (Huechuraba)'!$B:$B,MATCH($B168,'Pliegos Tarifarios (Huechuraba)'!$A:$A,0))</f>
        <v>179106.6917</v>
      </c>
      <c r="N168" s="19">
        <f>I168*INDEX('Pliegos Tarifarios (Huechuraba)'!$C:$C,MATCH($B168,'Pliegos Tarifarios (Huechuraba)'!$A:$A,0))</f>
        <v>14233.906550000002</v>
      </c>
      <c r="O168" s="19">
        <f>J168*INDEX('Pliegos Tarifarios (Huechuraba)'!$D:$D,MATCH($B168,'Pliegos Tarifarios (Huechuraba)'!$A:$A,0))</f>
        <v>58632.943000000007</v>
      </c>
      <c r="P168" s="19">
        <f>H168*INDEX('Pliegos Tarifarios (Huechuraba)'!$E:$E,MATCH($B168,'Pliegos Tarifarios (Huechuraba)'!$A:$A,0))</f>
        <v>19490.463800000001</v>
      </c>
      <c r="Q168" s="19" cm="1">
        <f t="array" ref="Q168">H168*_xlfn.IFS(H168&lt;=350,INDEX('Pliegos Tarifarios (Huechuraba)'!$F:$F,MATCH($B168,'Pliegos Tarifarios (Huechuraba)'!$A:$A,0)),H168&lt;=500,INDEX('Pliegos Tarifarios (Huechuraba)'!$G:$G,MATCH($B168,'Pliegos Tarifarios (Huechuraba)'!$A:$A,0)),H168&lt;=1000,INDEX('Pliegos Tarifarios (Huechuraba)'!$H:$H,MATCH($B168,'Pliegos Tarifarios (Huechuraba)'!$A:$A,0)),H168&lt;=5000,INDEX('Pliegos Tarifarios (Huechuraba)'!$I:$I,MATCH($B168,'Pliegos Tarifarios (Huechuraba)'!$A:$A,0)),H168&gt;5000,INDEX('Pliegos Tarifarios (Huechuraba)'!$J:$J,MATCH($B168,'Pliegos Tarifarios (Huechuraba)'!$A:$A,0)))/1.19</f>
        <v>4522.7165126050422</v>
      </c>
      <c r="R168" s="19">
        <f>INDEX('Pliegos Tarifarios (Huechuraba)'!$K:$K,MATCH($B168,'Pliegos Tarifarios (Huechuraba)'!$A:$A,0))</f>
        <v>719.68899999999996</v>
      </c>
      <c r="S168" s="36">
        <f t="shared" si="6"/>
        <v>276706.41056260507</v>
      </c>
      <c r="T168" s="36">
        <f t="shared" si="7"/>
        <v>52574.218006894967</v>
      </c>
      <c r="U168" s="19">
        <v>0</v>
      </c>
      <c r="V168" s="36">
        <f t="shared" si="8"/>
        <v>329280.62856950006</v>
      </c>
    </row>
    <row r="169" spans="1:22" ht="23.4" thickBot="1" x14ac:dyDescent="0.35">
      <c r="A169" s="30" t="s">
        <v>146</v>
      </c>
      <c r="B169" s="31">
        <v>4</v>
      </c>
      <c r="C169" s="32" t="s">
        <v>15</v>
      </c>
      <c r="D169" s="31" t="s">
        <v>31</v>
      </c>
      <c r="E169" s="31" t="s">
        <v>21</v>
      </c>
      <c r="F169" s="32" t="s">
        <v>32</v>
      </c>
      <c r="G169" s="31" t="s">
        <v>33</v>
      </c>
      <c r="H169" s="31">
        <v>503.33</v>
      </c>
      <c r="I169" s="31">
        <v>1.42</v>
      </c>
      <c r="J169" s="31">
        <v>1.42</v>
      </c>
      <c r="K169" s="34">
        <v>1</v>
      </c>
      <c r="L169" s="31">
        <v>16.239999999999998</v>
      </c>
      <c r="M169" s="19">
        <f>H169*INDEX('Pliegos Tarifarios (Huechuraba)'!$B:$B,MATCH($B169,'Pliegos Tarifarios (Huechuraba)'!$A:$A,0))</f>
        <v>59814.730539999997</v>
      </c>
      <c r="N169" s="19">
        <f>I169*INDEX('Pliegos Tarifarios (Huechuraba)'!$C:$C,MATCH($B169,'Pliegos Tarifarios (Huechuraba)'!$A:$A,0))</f>
        <v>4870.3969399999996</v>
      </c>
      <c r="O169" s="19">
        <f>J169*INDEX('Pliegos Tarifarios (Huechuraba)'!$D:$D,MATCH($B169,'Pliegos Tarifarios (Huechuraba)'!$A:$A,0))</f>
        <v>20062.356400000001</v>
      </c>
      <c r="P169" s="19">
        <f>H169*INDEX('Pliegos Tarifarios (Huechuraba)'!$E:$E,MATCH($B169,'Pliegos Tarifarios (Huechuraba)'!$A:$A,0))</f>
        <v>6509.0635599999996</v>
      </c>
      <c r="Q169" s="19" cm="1">
        <f t="array" ref="Q169">H169*_xlfn.IFS(H169&lt;=350,INDEX('Pliegos Tarifarios (Huechuraba)'!$F:$F,MATCH($B169,'Pliegos Tarifarios (Huechuraba)'!$A:$A,0)),H169&lt;=500,INDEX('Pliegos Tarifarios (Huechuraba)'!$G:$G,MATCH($B169,'Pliegos Tarifarios (Huechuraba)'!$A:$A,0)),H169&lt;=1000,INDEX('Pliegos Tarifarios (Huechuraba)'!$H:$H,MATCH($B169,'Pliegos Tarifarios (Huechuraba)'!$A:$A,0)),H169&lt;=5000,INDEX('Pliegos Tarifarios (Huechuraba)'!$I:$I,MATCH($B169,'Pliegos Tarifarios (Huechuraba)'!$A:$A,0)),H169&gt;5000,INDEX('Pliegos Tarifarios (Huechuraba)'!$J:$J,MATCH($B169,'Pliegos Tarifarios (Huechuraba)'!$A:$A,0)))/1.19</f>
        <v>1180.4991848739498</v>
      </c>
      <c r="R169" s="19">
        <f>INDEX('Pliegos Tarifarios (Huechuraba)'!$K:$K,MATCH($B169,'Pliegos Tarifarios (Huechuraba)'!$A:$A,0))</f>
        <v>719.68899999999996</v>
      </c>
      <c r="S169" s="36">
        <f t="shared" si="6"/>
        <v>93156.735624873938</v>
      </c>
      <c r="T169" s="36">
        <f t="shared" si="7"/>
        <v>17699.77976872605</v>
      </c>
      <c r="U169" s="19">
        <v>0</v>
      </c>
      <c r="V169" s="36">
        <f t="shared" si="8"/>
        <v>110856.51539359998</v>
      </c>
    </row>
    <row r="170" spans="1:22" ht="23.4" thickBot="1" x14ac:dyDescent="0.35">
      <c r="A170" s="30" t="s">
        <v>146</v>
      </c>
      <c r="B170" s="31">
        <v>4</v>
      </c>
      <c r="C170" s="32" t="s">
        <v>15</v>
      </c>
      <c r="D170" s="31" t="s">
        <v>34</v>
      </c>
      <c r="E170" s="31" t="s">
        <v>21</v>
      </c>
      <c r="F170" s="32" t="s">
        <v>35</v>
      </c>
      <c r="G170" s="31" t="s">
        <v>19</v>
      </c>
      <c r="H170" s="33">
        <v>1510.16</v>
      </c>
      <c r="I170" s="31">
        <v>4.2</v>
      </c>
      <c r="J170" s="31">
        <v>4.18</v>
      </c>
      <c r="K170" s="34">
        <v>0.995</v>
      </c>
      <c r="L170" s="31">
        <v>48.71</v>
      </c>
      <c r="M170" s="19">
        <f>H170*INDEX('Pliegos Tarifarios (Huechuraba)'!$B:$B,MATCH($B170,'Pliegos Tarifarios (Huechuraba)'!$A:$A,0))</f>
        <v>179464.39408</v>
      </c>
      <c r="N170" s="19">
        <f>I170*INDEX('Pliegos Tarifarios (Huechuraba)'!$C:$C,MATCH($B170,'Pliegos Tarifarios (Huechuraba)'!$A:$A,0))</f>
        <v>14405.3994</v>
      </c>
      <c r="O170" s="19">
        <f>J170*INDEX('Pliegos Tarifarios (Huechuraba)'!$D:$D,MATCH($B170,'Pliegos Tarifarios (Huechuraba)'!$A:$A,0))</f>
        <v>59056.795599999998</v>
      </c>
      <c r="P170" s="19">
        <f>H170*INDEX('Pliegos Tarifarios (Huechuraba)'!$E:$E,MATCH($B170,'Pliegos Tarifarios (Huechuraba)'!$A:$A,0))</f>
        <v>19529.38912</v>
      </c>
      <c r="Q170" s="19" cm="1">
        <f t="array" ref="Q170">H170*_xlfn.IFS(H170&lt;=350,INDEX('Pliegos Tarifarios (Huechuraba)'!$F:$F,MATCH($B170,'Pliegos Tarifarios (Huechuraba)'!$A:$A,0)),H170&lt;=500,INDEX('Pliegos Tarifarios (Huechuraba)'!$G:$G,MATCH($B170,'Pliegos Tarifarios (Huechuraba)'!$A:$A,0)),H170&lt;=1000,INDEX('Pliegos Tarifarios (Huechuraba)'!$H:$H,MATCH($B170,'Pliegos Tarifarios (Huechuraba)'!$A:$A,0)),H170&lt;=5000,INDEX('Pliegos Tarifarios (Huechuraba)'!$I:$I,MATCH($B170,'Pliegos Tarifarios (Huechuraba)'!$A:$A,0)),H170&gt;5000,INDEX('Pliegos Tarifarios (Huechuraba)'!$J:$J,MATCH($B170,'Pliegos Tarifarios (Huechuraba)'!$A:$A,0)))/1.19</f>
        <v>4531.7490420168069</v>
      </c>
      <c r="R170" s="19">
        <f>INDEX('Pliegos Tarifarios (Huechuraba)'!$K:$K,MATCH($B170,'Pliegos Tarifarios (Huechuraba)'!$A:$A,0))</f>
        <v>719.68899999999996</v>
      </c>
      <c r="S170" s="36">
        <f t="shared" si="6"/>
        <v>277707.41624201683</v>
      </c>
      <c r="T170" s="36">
        <f t="shared" si="7"/>
        <v>52764.409085983199</v>
      </c>
      <c r="U170" s="19">
        <v>0</v>
      </c>
      <c r="V170" s="36">
        <f t="shared" si="8"/>
        <v>330471.82532800001</v>
      </c>
    </row>
    <row r="171" spans="1:22" ht="23.4" thickBot="1" x14ac:dyDescent="0.35">
      <c r="A171" s="30" t="s">
        <v>146</v>
      </c>
      <c r="B171" s="31">
        <v>4</v>
      </c>
      <c r="C171" s="32" t="s">
        <v>15</v>
      </c>
      <c r="D171" s="31" t="s">
        <v>36</v>
      </c>
      <c r="E171" s="31" t="s">
        <v>37</v>
      </c>
      <c r="F171" s="32" t="s">
        <v>38</v>
      </c>
      <c r="G171" s="31" t="s">
        <v>33</v>
      </c>
      <c r="H171" s="31">
        <v>629.12</v>
      </c>
      <c r="I171" s="31">
        <v>1.84</v>
      </c>
      <c r="J171" s="31">
        <v>1.75</v>
      </c>
      <c r="K171" s="34">
        <v>0.95099999999999996</v>
      </c>
      <c r="L171" s="31">
        <v>20.29</v>
      </c>
      <c r="M171" s="19">
        <f>H171*INDEX('Pliegos Tarifarios (Huechuraba)'!$B:$B,MATCH($B171,'Pliegos Tarifarios (Huechuraba)'!$A:$A,0))</f>
        <v>74763.362559999994</v>
      </c>
      <c r="N171" s="19">
        <f>I171*INDEX('Pliegos Tarifarios (Huechuraba)'!$C:$C,MATCH($B171,'Pliegos Tarifarios (Huechuraba)'!$A:$A,0))</f>
        <v>6310.9368800000002</v>
      </c>
      <c r="O171" s="19">
        <f>J171*INDEX('Pliegos Tarifarios (Huechuraba)'!$D:$D,MATCH($B171,'Pliegos Tarifarios (Huechuraba)'!$A:$A,0))</f>
        <v>24724.735000000001</v>
      </c>
      <c r="P171" s="19">
        <f>H171*INDEX('Pliegos Tarifarios (Huechuraba)'!$E:$E,MATCH($B171,'Pliegos Tarifarios (Huechuraba)'!$A:$A,0))</f>
        <v>8135.7798400000001</v>
      </c>
      <c r="Q171" s="19" cm="1">
        <f t="array" ref="Q171">H171*_xlfn.IFS(H171&lt;=350,INDEX('Pliegos Tarifarios (Huechuraba)'!$F:$F,MATCH($B171,'Pliegos Tarifarios (Huechuraba)'!$A:$A,0)),H171&lt;=500,INDEX('Pliegos Tarifarios (Huechuraba)'!$G:$G,MATCH($B171,'Pliegos Tarifarios (Huechuraba)'!$A:$A,0)),H171&lt;=1000,INDEX('Pliegos Tarifarios (Huechuraba)'!$H:$H,MATCH($B171,'Pliegos Tarifarios (Huechuraba)'!$A:$A,0)),H171&lt;=5000,INDEX('Pliegos Tarifarios (Huechuraba)'!$I:$I,MATCH($B171,'Pliegos Tarifarios (Huechuraba)'!$A:$A,0)),H171&gt;5000,INDEX('Pliegos Tarifarios (Huechuraba)'!$J:$J,MATCH($B171,'Pliegos Tarifarios (Huechuraba)'!$A:$A,0)))/1.19</f>
        <v>1475.5243025210086</v>
      </c>
      <c r="R171" s="19">
        <f>INDEX('Pliegos Tarifarios (Huechuraba)'!$K:$K,MATCH($B171,'Pliegos Tarifarios (Huechuraba)'!$A:$A,0))</f>
        <v>719.68899999999996</v>
      </c>
      <c r="S171" s="36">
        <f t="shared" si="6"/>
        <v>116130.027582521</v>
      </c>
      <c r="T171" s="36">
        <f t="shared" si="7"/>
        <v>22064.705240678988</v>
      </c>
      <c r="U171" s="19">
        <v>0</v>
      </c>
      <c r="V171" s="36">
        <f t="shared" si="8"/>
        <v>138194.7328232</v>
      </c>
    </row>
    <row r="172" spans="1:22" ht="23.4" thickBot="1" x14ac:dyDescent="0.35">
      <c r="A172" s="30" t="s">
        <v>146</v>
      </c>
      <c r="B172" s="31">
        <v>4</v>
      </c>
      <c r="C172" s="32" t="s">
        <v>15</v>
      </c>
      <c r="D172" s="31" t="s">
        <v>39</v>
      </c>
      <c r="E172" s="31" t="s">
        <v>37</v>
      </c>
      <c r="F172" s="32" t="s">
        <v>40</v>
      </c>
      <c r="G172" s="31" t="s">
        <v>33</v>
      </c>
      <c r="H172" s="31">
        <v>503.79</v>
      </c>
      <c r="I172" s="31">
        <v>1.4</v>
      </c>
      <c r="J172" s="31">
        <v>1.4</v>
      </c>
      <c r="K172" s="34">
        <v>1</v>
      </c>
      <c r="L172" s="31">
        <v>16.25</v>
      </c>
      <c r="M172" s="19">
        <f>H172*INDEX('Pliegos Tarifarios (Huechuraba)'!$B:$B,MATCH($B172,'Pliegos Tarifarios (Huechuraba)'!$A:$A,0))</f>
        <v>59869.39602</v>
      </c>
      <c r="N172" s="19">
        <f>I172*INDEX('Pliegos Tarifarios (Huechuraba)'!$C:$C,MATCH($B172,'Pliegos Tarifarios (Huechuraba)'!$A:$A,0))</f>
        <v>4801.7997999999998</v>
      </c>
      <c r="O172" s="19">
        <f>J172*INDEX('Pliegos Tarifarios (Huechuraba)'!$D:$D,MATCH($B172,'Pliegos Tarifarios (Huechuraba)'!$A:$A,0))</f>
        <v>19779.788</v>
      </c>
      <c r="P172" s="19">
        <f>H172*INDEX('Pliegos Tarifarios (Huechuraba)'!$E:$E,MATCH($B172,'Pliegos Tarifarios (Huechuraba)'!$A:$A,0))</f>
        <v>6515.0122800000008</v>
      </c>
      <c r="Q172" s="19" cm="1">
        <f t="array" ref="Q172">H172*_xlfn.IFS(H172&lt;=350,INDEX('Pliegos Tarifarios (Huechuraba)'!$F:$F,MATCH($B172,'Pliegos Tarifarios (Huechuraba)'!$A:$A,0)),H172&lt;=500,INDEX('Pliegos Tarifarios (Huechuraba)'!$G:$G,MATCH($B172,'Pliegos Tarifarios (Huechuraba)'!$A:$A,0)),H172&lt;=1000,INDEX('Pliegos Tarifarios (Huechuraba)'!$H:$H,MATCH($B172,'Pliegos Tarifarios (Huechuraba)'!$A:$A,0)),H172&lt;=5000,INDEX('Pliegos Tarifarios (Huechuraba)'!$I:$I,MATCH($B172,'Pliegos Tarifarios (Huechuraba)'!$A:$A,0)),H172&gt;5000,INDEX('Pliegos Tarifarios (Huechuraba)'!$J:$J,MATCH($B172,'Pliegos Tarifarios (Huechuraba)'!$A:$A,0)))/1.19</f>
        <v>1181.5780588235298</v>
      </c>
      <c r="R172" s="19">
        <f>INDEX('Pliegos Tarifarios (Huechuraba)'!$K:$K,MATCH($B172,'Pliegos Tarifarios (Huechuraba)'!$A:$A,0))</f>
        <v>719.68899999999996</v>
      </c>
      <c r="S172" s="36">
        <f t="shared" si="6"/>
        <v>92867.263158823524</v>
      </c>
      <c r="T172" s="36">
        <f t="shared" si="7"/>
        <v>17644.78000017647</v>
      </c>
      <c r="U172" s="19">
        <v>0</v>
      </c>
      <c r="V172" s="36">
        <f t="shared" si="8"/>
        <v>110512.04315899999</v>
      </c>
    </row>
    <row r="173" spans="1:22" ht="23.4" thickBot="1" x14ac:dyDescent="0.35">
      <c r="A173" s="30" t="s">
        <v>146</v>
      </c>
      <c r="B173" s="31">
        <v>4</v>
      </c>
      <c r="C173" s="32" t="s">
        <v>15</v>
      </c>
      <c r="D173" s="31" t="s">
        <v>41</v>
      </c>
      <c r="E173" s="31" t="s">
        <v>37</v>
      </c>
      <c r="F173" s="32" t="s">
        <v>42</v>
      </c>
      <c r="G173" s="31" t="s">
        <v>33</v>
      </c>
      <c r="H173" s="33">
        <v>1008.57</v>
      </c>
      <c r="I173" s="31">
        <v>2.82</v>
      </c>
      <c r="J173" s="31">
        <v>2.79</v>
      </c>
      <c r="K173" s="34">
        <v>0.98699999999999999</v>
      </c>
      <c r="L173" s="31">
        <v>32.53</v>
      </c>
      <c r="M173" s="19">
        <f>H173*INDEX('Pliegos Tarifarios (Huechuraba)'!$B:$B,MATCH($B173,'Pliegos Tarifarios (Huechuraba)'!$A:$A,0))</f>
        <v>119856.44166</v>
      </c>
      <c r="N173" s="19">
        <f>I173*INDEX('Pliegos Tarifarios (Huechuraba)'!$C:$C,MATCH($B173,'Pliegos Tarifarios (Huechuraba)'!$A:$A,0))</f>
        <v>9672.1967399999994</v>
      </c>
      <c r="O173" s="19">
        <f>J173*INDEX('Pliegos Tarifarios (Huechuraba)'!$D:$D,MATCH($B173,'Pliegos Tarifarios (Huechuraba)'!$A:$A,0))</f>
        <v>39418.291799999999</v>
      </c>
      <c r="P173" s="19">
        <f>H173*INDEX('Pliegos Tarifarios (Huechuraba)'!$E:$E,MATCH($B173,'Pliegos Tarifarios (Huechuraba)'!$A:$A,0))</f>
        <v>13042.827240000001</v>
      </c>
      <c r="Q173" s="19" cm="1">
        <f t="array" ref="Q173">H173*_xlfn.IFS(H173&lt;=350,INDEX('Pliegos Tarifarios (Huechuraba)'!$F:$F,MATCH($B173,'Pliegos Tarifarios (Huechuraba)'!$A:$A,0)),H173&lt;=500,INDEX('Pliegos Tarifarios (Huechuraba)'!$G:$G,MATCH($B173,'Pliegos Tarifarios (Huechuraba)'!$A:$A,0)),H173&lt;=1000,INDEX('Pliegos Tarifarios (Huechuraba)'!$H:$H,MATCH($B173,'Pliegos Tarifarios (Huechuraba)'!$A:$A,0)),H173&lt;=5000,INDEX('Pliegos Tarifarios (Huechuraba)'!$I:$I,MATCH($B173,'Pliegos Tarifarios (Huechuraba)'!$A:$A,0)),H173&gt;5000,INDEX('Pliegos Tarifarios (Huechuraba)'!$J:$J,MATCH($B173,'Pliegos Tarifarios (Huechuraba)'!$A:$A,0)))/1.19</f>
        <v>3026.5575378151261</v>
      </c>
      <c r="R173" s="19">
        <f>INDEX('Pliegos Tarifarios (Huechuraba)'!$K:$K,MATCH($B173,'Pliegos Tarifarios (Huechuraba)'!$A:$A,0))</f>
        <v>719.68899999999996</v>
      </c>
      <c r="S173" s="36">
        <f t="shared" si="6"/>
        <v>185736.00397781515</v>
      </c>
      <c r="T173" s="36">
        <f t="shared" si="7"/>
        <v>35289.840755784877</v>
      </c>
      <c r="U173" s="19">
        <v>0</v>
      </c>
      <c r="V173" s="36">
        <f t="shared" si="8"/>
        <v>221025.84473360004</v>
      </c>
    </row>
    <row r="174" spans="1:22" ht="23.4" thickBot="1" x14ac:dyDescent="0.35">
      <c r="A174" s="30" t="s">
        <v>146</v>
      </c>
      <c r="B174" s="31">
        <v>4</v>
      </c>
      <c r="C174" s="32" t="s">
        <v>15</v>
      </c>
      <c r="D174" s="31" t="s">
        <v>43</v>
      </c>
      <c r="E174" s="31" t="s">
        <v>37</v>
      </c>
      <c r="F174" s="32" t="s">
        <v>44</v>
      </c>
      <c r="G174" s="31" t="s">
        <v>33</v>
      </c>
      <c r="H174" s="31">
        <v>376.66</v>
      </c>
      <c r="I174" s="31">
        <v>1.06</v>
      </c>
      <c r="J174" s="31">
        <v>1.05</v>
      </c>
      <c r="K174" s="34">
        <v>0.99199999999999999</v>
      </c>
      <c r="L174" s="31">
        <v>12.15</v>
      </c>
      <c r="M174" s="19">
        <f>H174*INDEX('Pliegos Tarifarios (Huechuraba)'!$B:$B,MATCH($B174,'Pliegos Tarifarios (Huechuraba)'!$A:$A,0))</f>
        <v>44761.521079999999</v>
      </c>
      <c r="N174" s="19">
        <f>I174*INDEX('Pliegos Tarifarios (Huechuraba)'!$C:$C,MATCH($B174,'Pliegos Tarifarios (Huechuraba)'!$A:$A,0))</f>
        <v>3635.64842</v>
      </c>
      <c r="O174" s="19">
        <f>J174*INDEX('Pliegos Tarifarios (Huechuraba)'!$D:$D,MATCH($B174,'Pliegos Tarifarios (Huechuraba)'!$A:$A,0))</f>
        <v>14834.841</v>
      </c>
      <c r="P174" s="19">
        <f>H174*INDEX('Pliegos Tarifarios (Huechuraba)'!$E:$E,MATCH($B174,'Pliegos Tarifarios (Huechuraba)'!$A:$A,0))</f>
        <v>4870.9671200000003</v>
      </c>
      <c r="Q174" s="19" cm="1">
        <f t="array" ref="Q174">H174*_xlfn.IFS(H174&lt;=350,INDEX('Pliegos Tarifarios (Huechuraba)'!$F:$F,MATCH($B174,'Pliegos Tarifarios (Huechuraba)'!$A:$A,0)),H174&lt;=500,INDEX('Pliegos Tarifarios (Huechuraba)'!$G:$G,MATCH($B174,'Pliegos Tarifarios (Huechuraba)'!$A:$A,0)),H174&lt;=1000,INDEX('Pliegos Tarifarios (Huechuraba)'!$H:$H,MATCH($B174,'Pliegos Tarifarios (Huechuraba)'!$A:$A,0)),H174&lt;=5000,INDEX('Pliegos Tarifarios (Huechuraba)'!$I:$I,MATCH($B174,'Pliegos Tarifarios (Huechuraba)'!$A:$A,0)),H174&gt;5000,INDEX('Pliegos Tarifarios (Huechuraba)'!$J:$J,MATCH($B174,'Pliegos Tarifarios (Huechuraba)'!$A:$A,0)))/1.19</f>
        <v>530.48921008403374</v>
      </c>
      <c r="R174" s="19">
        <f>INDEX('Pliegos Tarifarios (Huechuraba)'!$K:$K,MATCH($B174,'Pliegos Tarifarios (Huechuraba)'!$A:$A,0))</f>
        <v>719.68899999999996</v>
      </c>
      <c r="S174" s="36">
        <f t="shared" si="6"/>
        <v>69353.155830084026</v>
      </c>
      <c r="T174" s="36">
        <f t="shared" si="7"/>
        <v>13177.099607715965</v>
      </c>
      <c r="U174" s="19">
        <v>0</v>
      </c>
      <c r="V174" s="36">
        <f t="shared" si="8"/>
        <v>82530.255437799991</v>
      </c>
    </row>
    <row r="175" spans="1:22" ht="23.4" thickBot="1" x14ac:dyDescent="0.35">
      <c r="A175" s="30" t="s">
        <v>146</v>
      </c>
      <c r="B175" s="31">
        <v>4</v>
      </c>
      <c r="C175" s="32" t="s">
        <v>15</v>
      </c>
      <c r="D175" s="31" t="s">
        <v>45</v>
      </c>
      <c r="E175" s="31" t="s">
        <v>37</v>
      </c>
      <c r="F175" s="32" t="s">
        <v>46</v>
      </c>
      <c r="G175" s="31" t="s">
        <v>33</v>
      </c>
      <c r="H175" s="31">
        <v>376.38</v>
      </c>
      <c r="I175" s="31">
        <v>1.1000000000000001</v>
      </c>
      <c r="J175" s="31">
        <v>1.03</v>
      </c>
      <c r="K175" s="34">
        <v>0.94399999999999995</v>
      </c>
      <c r="L175" s="31">
        <v>12.14</v>
      </c>
      <c r="M175" s="19">
        <f>H175*INDEX('Pliegos Tarifarios (Huechuraba)'!$B:$B,MATCH($B175,'Pliegos Tarifarios (Huechuraba)'!$A:$A,0))</f>
        <v>44728.246439999995</v>
      </c>
      <c r="N175" s="19">
        <f>I175*INDEX('Pliegos Tarifarios (Huechuraba)'!$C:$C,MATCH($B175,'Pliegos Tarifarios (Huechuraba)'!$A:$A,0))</f>
        <v>3772.8427000000001</v>
      </c>
      <c r="O175" s="19">
        <f>J175*INDEX('Pliegos Tarifarios (Huechuraba)'!$D:$D,MATCH($B175,'Pliegos Tarifarios (Huechuraba)'!$A:$A,0))</f>
        <v>14552.2726</v>
      </c>
      <c r="P175" s="19">
        <f>H175*INDEX('Pliegos Tarifarios (Huechuraba)'!$E:$E,MATCH($B175,'Pliegos Tarifarios (Huechuraba)'!$A:$A,0))</f>
        <v>4867.3461600000001</v>
      </c>
      <c r="Q175" s="19" cm="1">
        <f t="array" ref="Q175">H175*_xlfn.IFS(H175&lt;=350,INDEX('Pliegos Tarifarios (Huechuraba)'!$F:$F,MATCH($B175,'Pliegos Tarifarios (Huechuraba)'!$A:$A,0)),H175&lt;=500,INDEX('Pliegos Tarifarios (Huechuraba)'!$G:$G,MATCH($B175,'Pliegos Tarifarios (Huechuraba)'!$A:$A,0)),H175&lt;=1000,INDEX('Pliegos Tarifarios (Huechuraba)'!$H:$H,MATCH($B175,'Pliegos Tarifarios (Huechuraba)'!$A:$A,0)),H175&lt;=5000,INDEX('Pliegos Tarifarios (Huechuraba)'!$I:$I,MATCH($B175,'Pliegos Tarifarios (Huechuraba)'!$A:$A,0)),H175&gt;5000,INDEX('Pliegos Tarifarios (Huechuraba)'!$J:$J,MATCH($B175,'Pliegos Tarifarios (Huechuraba)'!$A:$A,0)))/1.19</f>
        <v>530.09485714285722</v>
      </c>
      <c r="R175" s="19">
        <f>INDEX('Pliegos Tarifarios (Huechuraba)'!$K:$K,MATCH($B175,'Pliegos Tarifarios (Huechuraba)'!$A:$A,0))</f>
        <v>719.68899999999996</v>
      </c>
      <c r="S175" s="36">
        <f t="shared" si="6"/>
        <v>69170.491757142852</v>
      </c>
      <c r="T175" s="36">
        <f t="shared" si="7"/>
        <v>13142.393433857142</v>
      </c>
      <c r="U175" s="19">
        <v>0</v>
      </c>
      <c r="V175" s="36">
        <f t="shared" si="8"/>
        <v>82312.885190999994</v>
      </c>
    </row>
    <row r="176" spans="1:22" ht="23.4" thickBot="1" x14ac:dyDescent="0.35">
      <c r="A176" s="30" t="s">
        <v>146</v>
      </c>
      <c r="B176" s="31">
        <v>4</v>
      </c>
      <c r="C176" s="32" t="s">
        <v>15</v>
      </c>
      <c r="D176" s="31" t="s">
        <v>47</v>
      </c>
      <c r="E176" s="31" t="s">
        <v>37</v>
      </c>
      <c r="F176" s="32" t="s">
        <v>48</v>
      </c>
      <c r="G176" s="31" t="s">
        <v>33</v>
      </c>
      <c r="H176" s="31">
        <v>753.39</v>
      </c>
      <c r="I176" s="31">
        <v>2.16</v>
      </c>
      <c r="J176" s="31">
        <v>2.08</v>
      </c>
      <c r="K176" s="34">
        <v>0.96299999999999997</v>
      </c>
      <c r="L176" s="31">
        <v>24.3</v>
      </c>
      <c r="M176" s="19">
        <f>H176*INDEX('Pliegos Tarifarios (Huechuraba)'!$B:$B,MATCH($B176,'Pliegos Tarifarios (Huechuraba)'!$A:$A,0))</f>
        <v>89531.360819999987</v>
      </c>
      <c r="N176" s="19">
        <f>I176*INDEX('Pliegos Tarifarios (Huechuraba)'!$C:$C,MATCH($B176,'Pliegos Tarifarios (Huechuraba)'!$A:$A,0))</f>
        <v>7408.4911200000006</v>
      </c>
      <c r="O176" s="19">
        <f>J176*INDEX('Pliegos Tarifarios (Huechuraba)'!$D:$D,MATCH($B176,'Pliegos Tarifarios (Huechuraba)'!$A:$A,0))</f>
        <v>29387.113600000001</v>
      </c>
      <c r="P176" s="19">
        <f>H176*INDEX('Pliegos Tarifarios (Huechuraba)'!$E:$E,MATCH($B176,'Pliegos Tarifarios (Huechuraba)'!$A:$A,0))</f>
        <v>9742.8394800000005</v>
      </c>
      <c r="Q176" s="19" cm="1">
        <f t="array" ref="Q176">H176*_xlfn.IFS(H176&lt;=350,INDEX('Pliegos Tarifarios (Huechuraba)'!$F:$F,MATCH($B176,'Pliegos Tarifarios (Huechuraba)'!$A:$A,0)),H176&lt;=500,INDEX('Pliegos Tarifarios (Huechuraba)'!$G:$G,MATCH($B176,'Pliegos Tarifarios (Huechuraba)'!$A:$A,0)),H176&lt;=1000,INDEX('Pliegos Tarifarios (Huechuraba)'!$H:$H,MATCH($B176,'Pliegos Tarifarios (Huechuraba)'!$A:$A,0)),H176&lt;=5000,INDEX('Pliegos Tarifarios (Huechuraba)'!$I:$I,MATCH($B176,'Pliegos Tarifarios (Huechuraba)'!$A:$A,0)),H176&gt;5000,INDEX('Pliegos Tarifarios (Huechuraba)'!$J:$J,MATCH($B176,'Pliegos Tarifarios (Huechuraba)'!$A:$A,0)))/1.19</f>
        <v>1766.9844453781513</v>
      </c>
      <c r="R176" s="19">
        <f>INDEX('Pliegos Tarifarios (Huechuraba)'!$K:$K,MATCH($B176,'Pliegos Tarifarios (Huechuraba)'!$A:$A,0))</f>
        <v>719.68899999999996</v>
      </c>
      <c r="S176" s="36">
        <f t="shared" si="6"/>
        <v>138556.47846537817</v>
      </c>
      <c r="T176" s="36">
        <f t="shared" si="7"/>
        <v>26325.73090842185</v>
      </c>
      <c r="U176" s="19">
        <v>0</v>
      </c>
      <c r="V176" s="36">
        <f t="shared" si="8"/>
        <v>164882.20937380003</v>
      </c>
    </row>
    <row r="177" spans="1:22" ht="23.4" thickBot="1" x14ac:dyDescent="0.35">
      <c r="A177" s="30" t="s">
        <v>146</v>
      </c>
      <c r="B177" s="31">
        <v>4</v>
      </c>
      <c r="C177" s="32" t="s">
        <v>15</v>
      </c>
      <c r="D177" s="31" t="s">
        <v>49</v>
      </c>
      <c r="E177" s="31" t="s">
        <v>50</v>
      </c>
      <c r="F177" s="32" t="s">
        <v>51</v>
      </c>
      <c r="G177" s="31" t="s">
        <v>33</v>
      </c>
      <c r="H177" s="31">
        <v>755.75</v>
      </c>
      <c r="I177" s="31">
        <v>2.11</v>
      </c>
      <c r="J177" s="31">
        <v>2.08</v>
      </c>
      <c r="K177" s="34">
        <v>0.98299999999999998</v>
      </c>
      <c r="L177" s="31">
        <v>24.38</v>
      </c>
      <c r="M177" s="19">
        <f>H177*INDEX('Pliegos Tarifarios (Huechuraba)'!$B:$B,MATCH($B177,'Pliegos Tarifarios (Huechuraba)'!$A:$A,0))</f>
        <v>89811.818499999994</v>
      </c>
      <c r="N177" s="19">
        <f>I177*INDEX('Pliegos Tarifarios (Huechuraba)'!$C:$C,MATCH($B177,'Pliegos Tarifarios (Huechuraba)'!$A:$A,0))</f>
        <v>7236.9982699999991</v>
      </c>
      <c r="O177" s="19">
        <f>J177*INDEX('Pliegos Tarifarios (Huechuraba)'!$D:$D,MATCH($B177,'Pliegos Tarifarios (Huechuraba)'!$A:$A,0))</f>
        <v>29387.113600000001</v>
      </c>
      <c r="P177" s="19">
        <f>H177*INDEX('Pliegos Tarifarios (Huechuraba)'!$E:$E,MATCH($B177,'Pliegos Tarifarios (Huechuraba)'!$A:$A,0))</f>
        <v>9773.3590000000004</v>
      </c>
      <c r="Q177" s="19" cm="1">
        <f t="array" ref="Q177">H177*_xlfn.IFS(H177&lt;=350,INDEX('Pliegos Tarifarios (Huechuraba)'!$F:$F,MATCH($B177,'Pliegos Tarifarios (Huechuraba)'!$A:$A,0)),H177&lt;=500,INDEX('Pliegos Tarifarios (Huechuraba)'!$G:$G,MATCH($B177,'Pliegos Tarifarios (Huechuraba)'!$A:$A,0)),H177&lt;=1000,INDEX('Pliegos Tarifarios (Huechuraba)'!$H:$H,MATCH($B177,'Pliegos Tarifarios (Huechuraba)'!$A:$A,0)),H177&lt;=5000,INDEX('Pliegos Tarifarios (Huechuraba)'!$I:$I,MATCH($B177,'Pliegos Tarifarios (Huechuraba)'!$A:$A,0)),H177&gt;5000,INDEX('Pliegos Tarifarios (Huechuraba)'!$J:$J,MATCH($B177,'Pliegos Tarifarios (Huechuraba)'!$A:$A,0)))/1.19</f>
        <v>1772.5195378151263</v>
      </c>
      <c r="R177" s="19">
        <f>INDEX('Pliegos Tarifarios (Huechuraba)'!$K:$K,MATCH($B177,'Pliegos Tarifarios (Huechuraba)'!$A:$A,0))</f>
        <v>719.68899999999996</v>
      </c>
      <c r="S177" s="36">
        <f t="shared" si="6"/>
        <v>138701.49790781512</v>
      </c>
      <c r="T177" s="36">
        <f t="shared" si="7"/>
        <v>26353.284602484873</v>
      </c>
      <c r="U177" s="19">
        <v>0</v>
      </c>
      <c r="V177" s="36">
        <f t="shared" si="8"/>
        <v>165054.78251029999</v>
      </c>
    </row>
    <row r="178" spans="1:22" ht="23.4" thickBot="1" x14ac:dyDescent="0.35">
      <c r="A178" s="30" t="s">
        <v>146</v>
      </c>
      <c r="B178" s="31">
        <v>4</v>
      </c>
      <c r="C178" s="32" t="s">
        <v>15</v>
      </c>
      <c r="D178" s="31" t="s">
        <v>52</v>
      </c>
      <c r="E178" s="31" t="s">
        <v>50</v>
      </c>
      <c r="F178" s="32" t="s">
        <v>53</v>
      </c>
      <c r="G178" s="31" t="s">
        <v>33</v>
      </c>
      <c r="H178" s="31">
        <v>757.22</v>
      </c>
      <c r="I178" s="31">
        <v>2.19</v>
      </c>
      <c r="J178" s="31">
        <v>2.06</v>
      </c>
      <c r="K178" s="34">
        <v>0.93799999999999994</v>
      </c>
      <c r="L178" s="31">
        <v>24.43</v>
      </c>
      <c r="M178" s="19">
        <f>H178*INDEX('Pliegos Tarifarios (Huechuraba)'!$B:$B,MATCH($B178,'Pliegos Tarifarios (Huechuraba)'!$A:$A,0))</f>
        <v>89986.51036</v>
      </c>
      <c r="N178" s="19">
        <f>I178*INDEX('Pliegos Tarifarios (Huechuraba)'!$C:$C,MATCH($B178,'Pliegos Tarifarios (Huechuraba)'!$A:$A,0))</f>
        <v>7511.3868299999995</v>
      </c>
      <c r="O178" s="19">
        <f>J178*INDEX('Pliegos Tarifarios (Huechuraba)'!$D:$D,MATCH($B178,'Pliegos Tarifarios (Huechuraba)'!$A:$A,0))</f>
        <v>29104.5452</v>
      </c>
      <c r="P178" s="19">
        <f>H178*INDEX('Pliegos Tarifarios (Huechuraba)'!$E:$E,MATCH($B178,'Pliegos Tarifarios (Huechuraba)'!$A:$A,0))</f>
        <v>9792.3690400000014</v>
      </c>
      <c r="Q178" s="19" cm="1">
        <f t="array" ref="Q178">H178*_xlfn.IFS(H178&lt;=350,INDEX('Pliegos Tarifarios (Huechuraba)'!$F:$F,MATCH($B178,'Pliegos Tarifarios (Huechuraba)'!$A:$A,0)),H178&lt;=500,INDEX('Pliegos Tarifarios (Huechuraba)'!$G:$G,MATCH($B178,'Pliegos Tarifarios (Huechuraba)'!$A:$A,0)),H178&lt;=1000,INDEX('Pliegos Tarifarios (Huechuraba)'!$H:$H,MATCH($B178,'Pliegos Tarifarios (Huechuraba)'!$A:$A,0)),H178&lt;=5000,INDEX('Pliegos Tarifarios (Huechuraba)'!$I:$I,MATCH($B178,'Pliegos Tarifarios (Huechuraba)'!$A:$A,0)),H178&gt;5000,INDEX('Pliegos Tarifarios (Huechuraba)'!$J:$J,MATCH($B178,'Pliegos Tarifarios (Huechuraba)'!$A:$A,0)))/1.19</f>
        <v>1775.9672436974793</v>
      </c>
      <c r="R178" s="19">
        <f>INDEX('Pliegos Tarifarios (Huechuraba)'!$K:$K,MATCH($B178,'Pliegos Tarifarios (Huechuraba)'!$A:$A,0))</f>
        <v>719.68899999999996</v>
      </c>
      <c r="S178" s="36">
        <f t="shared" si="6"/>
        <v>138890.46767369748</v>
      </c>
      <c r="T178" s="36">
        <f t="shared" si="7"/>
        <v>26389.188858002522</v>
      </c>
      <c r="U178" s="19">
        <v>0</v>
      </c>
      <c r="V178" s="36">
        <f t="shared" si="8"/>
        <v>165279.65653169999</v>
      </c>
    </row>
    <row r="179" spans="1:22" ht="23.4" thickBot="1" x14ac:dyDescent="0.35">
      <c r="A179" s="30" t="s">
        <v>146</v>
      </c>
      <c r="B179" s="31">
        <v>4</v>
      </c>
      <c r="C179" s="32" t="s">
        <v>15</v>
      </c>
      <c r="D179" s="31" t="s">
        <v>54</v>
      </c>
      <c r="E179" s="31" t="s">
        <v>55</v>
      </c>
      <c r="F179" s="32" t="s">
        <v>56</v>
      </c>
      <c r="G179" s="31" t="s">
        <v>33</v>
      </c>
      <c r="H179" s="31">
        <v>377.69</v>
      </c>
      <c r="I179" s="31">
        <v>1.05</v>
      </c>
      <c r="J179" s="31">
        <v>1.03</v>
      </c>
      <c r="K179" s="34">
        <v>0.97899999999999998</v>
      </c>
      <c r="L179" s="31">
        <v>12.18</v>
      </c>
      <c r="M179" s="19">
        <f>H179*INDEX('Pliegos Tarifarios (Huechuraba)'!$B:$B,MATCH($B179,'Pliegos Tarifarios (Huechuraba)'!$A:$A,0))</f>
        <v>44883.924220000001</v>
      </c>
      <c r="N179" s="19">
        <f>I179*INDEX('Pliegos Tarifarios (Huechuraba)'!$C:$C,MATCH($B179,'Pliegos Tarifarios (Huechuraba)'!$A:$A,0))</f>
        <v>3601.3498500000001</v>
      </c>
      <c r="O179" s="19">
        <f>J179*INDEX('Pliegos Tarifarios (Huechuraba)'!$D:$D,MATCH($B179,'Pliegos Tarifarios (Huechuraba)'!$A:$A,0))</f>
        <v>14552.2726</v>
      </c>
      <c r="P179" s="19">
        <f>H179*INDEX('Pliegos Tarifarios (Huechuraba)'!$E:$E,MATCH($B179,'Pliegos Tarifarios (Huechuraba)'!$A:$A,0))</f>
        <v>4884.2870800000001</v>
      </c>
      <c r="Q179" s="19" cm="1">
        <f t="array" ref="Q179">H179*_xlfn.IFS(H179&lt;=350,INDEX('Pliegos Tarifarios (Huechuraba)'!$F:$F,MATCH($B179,'Pliegos Tarifarios (Huechuraba)'!$A:$A,0)),H179&lt;=500,INDEX('Pliegos Tarifarios (Huechuraba)'!$G:$G,MATCH($B179,'Pliegos Tarifarios (Huechuraba)'!$A:$A,0)),H179&lt;=1000,INDEX('Pliegos Tarifarios (Huechuraba)'!$H:$H,MATCH($B179,'Pliegos Tarifarios (Huechuraba)'!$A:$A,0)),H179&lt;=5000,INDEX('Pliegos Tarifarios (Huechuraba)'!$I:$I,MATCH($B179,'Pliegos Tarifarios (Huechuraba)'!$A:$A,0)),H179&gt;5000,INDEX('Pliegos Tarifarios (Huechuraba)'!$J:$J,MATCH($B179,'Pliegos Tarifarios (Huechuraba)'!$A:$A,0)))/1.19</f>
        <v>531.93986554621858</v>
      </c>
      <c r="R179" s="19">
        <f>INDEX('Pliegos Tarifarios (Huechuraba)'!$K:$K,MATCH($B179,'Pliegos Tarifarios (Huechuraba)'!$A:$A,0))</f>
        <v>719.68899999999996</v>
      </c>
      <c r="S179" s="36">
        <f t="shared" si="6"/>
        <v>69173.462615546203</v>
      </c>
      <c r="T179" s="36">
        <f t="shared" si="7"/>
        <v>13142.957896953778</v>
      </c>
      <c r="U179" s="19">
        <v>0</v>
      </c>
      <c r="V179" s="36">
        <f t="shared" si="8"/>
        <v>82316.420512499986</v>
      </c>
    </row>
    <row r="180" spans="1:22" ht="23.4" thickBot="1" x14ac:dyDescent="0.35">
      <c r="A180" s="30" t="s">
        <v>146</v>
      </c>
      <c r="B180" s="31">
        <v>4</v>
      </c>
      <c r="C180" s="32" t="s">
        <v>15</v>
      </c>
      <c r="D180" s="31" t="s">
        <v>57</v>
      </c>
      <c r="E180" s="31" t="s">
        <v>58</v>
      </c>
      <c r="F180" s="32" t="s">
        <v>59</v>
      </c>
      <c r="G180" s="31" t="s">
        <v>33</v>
      </c>
      <c r="H180" s="31">
        <v>251.35</v>
      </c>
      <c r="I180" s="31">
        <v>0.72</v>
      </c>
      <c r="J180" s="31">
        <v>0.71</v>
      </c>
      <c r="K180" s="34">
        <v>0.98199999999999998</v>
      </c>
      <c r="L180" s="31">
        <v>8.11</v>
      </c>
      <c r="M180" s="19">
        <f>H180*INDEX('Pliegos Tarifarios (Huechuraba)'!$B:$B,MATCH($B180,'Pliegos Tarifarios (Huechuraba)'!$A:$A,0))</f>
        <v>29869.931299999997</v>
      </c>
      <c r="N180" s="19">
        <f>I180*INDEX('Pliegos Tarifarios (Huechuraba)'!$C:$C,MATCH($B180,'Pliegos Tarifarios (Huechuraba)'!$A:$A,0))</f>
        <v>2469.4970399999997</v>
      </c>
      <c r="O180" s="19">
        <f>J180*INDEX('Pliegos Tarifarios (Huechuraba)'!$D:$D,MATCH($B180,'Pliegos Tarifarios (Huechuraba)'!$A:$A,0))</f>
        <v>10031.1782</v>
      </c>
      <c r="P180" s="19">
        <f>H180*INDEX('Pliegos Tarifarios (Huechuraba)'!$E:$E,MATCH($B180,'Pliegos Tarifarios (Huechuraba)'!$A:$A,0))</f>
        <v>3250.4582</v>
      </c>
      <c r="Q180" s="19" cm="1">
        <f t="array" ref="Q180">H180*_xlfn.IFS(H180&lt;=350,INDEX('Pliegos Tarifarios (Huechuraba)'!$F:$F,MATCH($B180,'Pliegos Tarifarios (Huechuraba)'!$A:$A,0)),H180&lt;=500,INDEX('Pliegos Tarifarios (Huechuraba)'!$G:$G,MATCH($B180,'Pliegos Tarifarios (Huechuraba)'!$A:$A,0)),H180&lt;=1000,INDEX('Pliegos Tarifarios (Huechuraba)'!$H:$H,MATCH($B180,'Pliegos Tarifarios (Huechuraba)'!$A:$A,0)),H180&lt;=5000,INDEX('Pliegos Tarifarios (Huechuraba)'!$I:$I,MATCH($B180,'Pliegos Tarifarios (Huechuraba)'!$A:$A,0)),H180&gt;5000,INDEX('Pliegos Tarifarios (Huechuraba)'!$J:$J,MATCH($B180,'Pliegos Tarifarios (Huechuraba)'!$A:$A,0)))/1.19</f>
        <v>165.59529411764706</v>
      </c>
      <c r="R180" s="19">
        <f>INDEX('Pliegos Tarifarios (Huechuraba)'!$K:$K,MATCH($B180,'Pliegos Tarifarios (Huechuraba)'!$A:$A,0))</f>
        <v>719.68899999999996</v>
      </c>
      <c r="S180" s="36">
        <f t="shared" si="6"/>
        <v>46506.349034117637</v>
      </c>
      <c r="T180" s="36">
        <f t="shared" si="7"/>
        <v>8836.2063164823503</v>
      </c>
      <c r="U180" s="19">
        <v>0</v>
      </c>
      <c r="V180" s="36">
        <f t="shared" si="8"/>
        <v>55342.555350599985</v>
      </c>
    </row>
    <row r="181" spans="1:22" ht="23.4" thickBot="1" x14ac:dyDescent="0.35">
      <c r="A181" s="30" t="s">
        <v>146</v>
      </c>
      <c r="B181" s="31">
        <v>4</v>
      </c>
      <c r="C181" s="32" t="s">
        <v>15</v>
      </c>
      <c r="D181" s="31" t="s">
        <v>60</v>
      </c>
      <c r="E181" s="31" t="s">
        <v>61</v>
      </c>
      <c r="F181" s="32" t="s">
        <v>62</v>
      </c>
      <c r="G181" s="31" t="s">
        <v>33</v>
      </c>
      <c r="H181" s="31">
        <v>252.03</v>
      </c>
      <c r="I181" s="31">
        <v>0.7</v>
      </c>
      <c r="J181" s="31">
        <v>0.7</v>
      </c>
      <c r="K181" s="34">
        <v>0.99199999999999999</v>
      </c>
      <c r="L181" s="31">
        <v>8.1300000000000008</v>
      </c>
      <c r="M181" s="19">
        <f>H181*INDEX('Pliegos Tarifarios (Huechuraba)'!$B:$B,MATCH($B181,'Pliegos Tarifarios (Huechuraba)'!$A:$A,0))</f>
        <v>29950.741139999998</v>
      </c>
      <c r="N181" s="19">
        <f>I181*INDEX('Pliegos Tarifarios (Huechuraba)'!$C:$C,MATCH($B181,'Pliegos Tarifarios (Huechuraba)'!$A:$A,0))</f>
        <v>2400.8998999999999</v>
      </c>
      <c r="O181" s="19">
        <f>J181*INDEX('Pliegos Tarifarios (Huechuraba)'!$D:$D,MATCH($B181,'Pliegos Tarifarios (Huechuraba)'!$A:$A,0))</f>
        <v>9889.8940000000002</v>
      </c>
      <c r="P181" s="19">
        <f>H181*INDEX('Pliegos Tarifarios (Huechuraba)'!$E:$E,MATCH($B181,'Pliegos Tarifarios (Huechuraba)'!$A:$A,0))</f>
        <v>3259.2519600000001</v>
      </c>
      <c r="Q181" s="19" cm="1">
        <f t="array" ref="Q181">H181*_xlfn.IFS(H181&lt;=350,INDEX('Pliegos Tarifarios (Huechuraba)'!$F:$F,MATCH($B181,'Pliegos Tarifarios (Huechuraba)'!$A:$A,0)),H181&lt;=500,INDEX('Pliegos Tarifarios (Huechuraba)'!$G:$G,MATCH($B181,'Pliegos Tarifarios (Huechuraba)'!$A:$A,0)),H181&lt;=1000,INDEX('Pliegos Tarifarios (Huechuraba)'!$H:$H,MATCH($B181,'Pliegos Tarifarios (Huechuraba)'!$A:$A,0)),H181&lt;=5000,INDEX('Pliegos Tarifarios (Huechuraba)'!$I:$I,MATCH($B181,'Pliegos Tarifarios (Huechuraba)'!$A:$A,0)),H181&gt;5000,INDEX('Pliegos Tarifarios (Huechuraba)'!$J:$J,MATCH($B181,'Pliegos Tarifarios (Huechuraba)'!$A:$A,0)))/1.19</f>
        <v>166.04329411764706</v>
      </c>
      <c r="R181" s="19">
        <f>INDEX('Pliegos Tarifarios (Huechuraba)'!$K:$K,MATCH($B181,'Pliegos Tarifarios (Huechuraba)'!$A:$A,0))</f>
        <v>719.68899999999996</v>
      </c>
      <c r="S181" s="36">
        <f t="shared" si="6"/>
        <v>46386.51929411765</v>
      </c>
      <c r="T181" s="36">
        <f t="shared" si="7"/>
        <v>8813.4386658823532</v>
      </c>
      <c r="U181" s="19">
        <v>0</v>
      </c>
      <c r="V181" s="36">
        <f t="shared" si="8"/>
        <v>55199.95796</v>
      </c>
    </row>
    <row r="182" spans="1:22" ht="23.4" thickBot="1" x14ac:dyDescent="0.35">
      <c r="A182" s="30" t="s">
        <v>146</v>
      </c>
      <c r="B182" s="31">
        <v>4</v>
      </c>
      <c r="C182" s="32" t="s">
        <v>15</v>
      </c>
      <c r="D182" s="31" t="s">
        <v>63</v>
      </c>
      <c r="E182" s="31" t="s">
        <v>64</v>
      </c>
      <c r="F182" s="32" t="s">
        <v>65</v>
      </c>
      <c r="G182" s="31" t="s">
        <v>33</v>
      </c>
      <c r="H182" s="31">
        <v>251.67</v>
      </c>
      <c r="I182" s="31">
        <v>0.72</v>
      </c>
      <c r="J182" s="31">
        <v>0.72</v>
      </c>
      <c r="K182" s="34">
        <v>1</v>
      </c>
      <c r="L182" s="31">
        <v>8.1199999999999992</v>
      </c>
      <c r="M182" s="19">
        <f>H182*INDEX('Pliegos Tarifarios (Huechuraba)'!$B:$B,MATCH($B182,'Pliegos Tarifarios (Huechuraba)'!$A:$A,0))</f>
        <v>29907.959459999998</v>
      </c>
      <c r="N182" s="19">
        <f>I182*INDEX('Pliegos Tarifarios (Huechuraba)'!$C:$C,MATCH($B182,'Pliegos Tarifarios (Huechuraba)'!$A:$A,0))</f>
        <v>2469.4970399999997</v>
      </c>
      <c r="O182" s="19">
        <f>J182*INDEX('Pliegos Tarifarios (Huechuraba)'!$D:$D,MATCH($B182,'Pliegos Tarifarios (Huechuraba)'!$A:$A,0))</f>
        <v>10172.4624</v>
      </c>
      <c r="P182" s="19">
        <f>H182*INDEX('Pliegos Tarifarios (Huechuraba)'!$E:$E,MATCH($B182,'Pliegos Tarifarios (Huechuraba)'!$A:$A,0))</f>
        <v>3254.5964399999998</v>
      </c>
      <c r="Q182" s="19" cm="1">
        <f t="array" ref="Q182">H182*_xlfn.IFS(H182&lt;=350,INDEX('Pliegos Tarifarios (Huechuraba)'!$F:$F,MATCH($B182,'Pliegos Tarifarios (Huechuraba)'!$A:$A,0)),H182&lt;=500,INDEX('Pliegos Tarifarios (Huechuraba)'!$G:$G,MATCH($B182,'Pliegos Tarifarios (Huechuraba)'!$A:$A,0)),H182&lt;=1000,INDEX('Pliegos Tarifarios (Huechuraba)'!$H:$H,MATCH($B182,'Pliegos Tarifarios (Huechuraba)'!$A:$A,0)),H182&lt;=5000,INDEX('Pliegos Tarifarios (Huechuraba)'!$I:$I,MATCH($B182,'Pliegos Tarifarios (Huechuraba)'!$A:$A,0)),H182&gt;5000,INDEX('Pliegos Tarifarios (Huechuraba)'!$J:$J,MATCH($B182,'Pliegos Tarifarios (Huechuraba)'!$A:$A,0)))/1.19</f>
        <v>165.80611764705884</v>
      </c>
      <c r="R182" s="19">
        <f>INDEX('Pliegos Tarifarios (Huechuraba)'!$K:$K,MATCH($B182,'Pliegos Tarifarios (Huechuraba)'!$A:$A,0))</f>
        <v>719.68899999999996</v>
      </c>
      <c r="S182" s="36">
        <f t="shared" si="6"/>
        <v>46690.010457647055</v>
      </c>
      <c r="T182" s="36">
        <f t="shared" si="7"/>
        <v>8871.1019869529409</v>
      </c>
      <c r="U182" s="19">
        <v>0</v>
      </c>
      <c r="V182" s="36">
        <f t="shared" si="8"/>
        <v>55561.112444599996</v>
      </c>
    </row>
    <row r="183" spans="1:22" ht="23.4" thickBot="1" x14ac:dyDescent="0.35">
      <c r="A183" s="30" t="s">
        <v>146</v>
      </c>
      <c r="B183" s="31">
        <v>4</v>
      </c>
      <c r="C183" s="32" t="s">
        <v>15</v>
      </c>
      <c r="D183" s="31" t="s">
        <v>66</v>
      </c>
      <c r="E183" s="31" t="s">
        <v>37</v>
      </c>
      <c r="F183" s="32" t="s">
        <v>67</v>
      </c>
      <c r="G183" s="31" t="s">
        <v>33</v>
      </c>
      <c r="H183" s="31">
        <v>502.87</v>
      </c>
      <c r="I183" s="31">
        <v>1.49</v>
      </c>
      <c r="J183" s="31">
        <v>1.38</v>
      </c>
      <c r="K183" s="34">
        <v>0.92500000000000004</v>
      </c>
      <c r="L183" s="31">
        <v>16.22</v>
      </c>
      <c r="M183" s="19">
        <f>H183*INDEX('Pliegos Tarifarios (Huechuraba)'!$B:$B,MATCH($B183,'Pliegos Tarifarios (Huechuraba)'!$A:$A,0))</f>
        <v>59760.065060000001</v>
      </c>
      <c r="N183" s="19">
        <f>I183*INDEX('Pliegos Tarifarios (Huechuraba)'!$C:$C,MATCH($B183,'Pliegos Tarifarios (Huechuraba)'!$A:$A,0))</f>
        <v>5110.48693</v>
      </c>
      <c r="O183" s="19">
        <f>J183*INDEX('Pliegos Tarifarios (Huechuraba)'!$D:$D,MATCH($B183,'Pliegos Tarifarios (Huechuraba)'!$A:$A,0))</f>
        <v>19497.2196</v>
      </c>
      <c r="P183" s="19">
        <f>H183*INDEX('Pliegos Tarifarios (Huechuraba)'!$E:$E,MATCH($B183,'Pliegos Tarifarios (Huechuraba)'!$A:$A,0))</f>
        <v>6503.1148400000002</v>
      </c>
      <c r="Q183" s="19" cm="1">
        <f t="array" ref="Q183">H183*_xlfn.IFS(H183&lt;=350,INDEX('Pliegos Tarifarios (Huechuraba)'!$F:$F,MATCH($B183,'Pliegos Tarifarios (Huechuraba)'!$A:$A,0)),H183&lt;=500,INDEX('Pliegos Tarifarios (Huechuraba)'!$G:$G,MATCH($B183,'Pliegos Tarifarios (Huechuraba)'!$A:$A,0)),H183&lt;=1000,INDEX('Pliegos Tarifarios (Huechuraba)'!$H:$H,MATCH($B183,'Pliegos Tarifarios (Huechuraba)'!$A:$A,0)),H183&lt;=5000,INDEX('Pliegos Tarifarios (Huechuraba)'!$I:$I,MATCH($B183,'Pliegos Tarifarios (Huechuraba)'!$A:$A,0)),H183&gt;5000,INDEX('Pliegos Tarifarios (Huechuraba)'!$J:$J,MATCH($B183,'Pliegos Tarifarios (Huechuraba)'!$A:$A,0)))/1.19</f>
        <v>1179.4203109243699</v>
      </c>
      <c r="R183" s="19">
        <f>INDEX('Pliegos Tarifarios (Huechuraba)'!$K:$K,MATCH($B183,'Pliegos Tarifarios (Huechuraba)'!$A:$A,0))</f>
        <v>719.68899999999996</v>
      </c>
      <c r="S183" s="36">
        <f t="shared" si="6"/>
        <v>92769.995740924365</v>
      </c>
      <c r="T183" s="36">
        <f t="shared" si="7"/>
        <v>17626.29919077563</v>
      </c>
      <c r="U183" s="19">
        <v>0</v>
      </c>
      <c r="V183" s="36">
        <f t="shared" si="8"/>
        <v>110396.29493169999</v>
      </c>
    </row>
    <row r="184" spans="1:22" ht="23.4" thickBot="1" x14ac:dyDescent="0.35">
      <c r="A184" s="30" t="s">
        <v>146</v>
      </c>
      <c r="B184" s="31">
        <v>4</v>
      </c>
      <c r="C184" s="32" t="s">
        <v>15</v>
      </c>
      <c r="D184" s="31" t="s">
        <v>68</v>
      </c>
      <c r="E184" s="31" t="s">
        <v>37</v>
      </c>
      <c r="F184" s="32" t="s">
        <v>69</v>
      </c>
      <c r="G184" s="31" t="s">
        <v>33</v>
      </c>
      <c r="H184" s="31">
        <v>503.98</v>
      </c>
      <c r="I184" s="31">
        <v>1.4</v>
      </c>
      <c r="J184" s="31">
        <v>1.35</v>
      </c>
      <c r="K184" s="34">
        <v>0.96699999999999997</v>
      </c>
      <c r="L184" s="31">
        <v>16.260000000000002</v>
      </c>
      <c r="M184" s="19">
        <f>H184*INDEX('Pliegos Tarifarios (Huechuraba)'!$B:$B,MATCH($B184,'Pliegos Tarifarios (Huechuraba)'!$A:$A,0))</f>
        <v>59891.97524</v>
      </c>
      <c r="N184" s="19">
        <f>I184*INDEX('Pliegos Tarifarios (Huechuraba)'!$C:$C,MATCH($B184,'Pliegos Tarifarios (Huechuraba)'!$A:$A,0))</f>
        <v>4801.7997999999998</v>
      </c>
      <c r="O184" s="19">
        <f>J184*INDEX('Pliegos Tarifarios (Huechuraba)'!$D:$D,MATCH($B184,'Pliegos Tarifarios (Huechuraba)'!$A:$A,0))</f>
        <v>19073.367000000002</v>
      </c>
      <c r="P184" s="19">
        <f>H184*INDEX('Pliegos Tarifarios (Huechuraba)'!$E:$E,MATCH($B184,'Pliegos Tarifarios (Huechuraba)'!$A:$A,0))</f>
        <v>6517.4693600000001</v>
      </c>
      <c r="Q184" s="19" cm="1">
        <f t="array" ref="Q184">H184*_xlfn.IFS(H184&lt;=350,INDEX('Pliegos Tarifarios (Huechuraba)'!$F:$F,MATCH($B184,'Pliegos Tarifarios (Huechuraba)'!$A:$A,0)),H184&lt;=500,INDEX('Pliegos Tarifarios (Huechuraba)'!$G:$G,MATCH($B184,'Pliegos Tarifarios (Huechuraba)'!$A:$A,0)),H184&lt;=1000,INDEX('Pliegos Tarifarios (Huechuraba)'!$H:$H,MATCH($B184,'Pliegos Tarifarios (Huechuraba)'!$A:$A,0)),H184&lt;=5000,INDEX('Pliegos Tarifarios (Huechuraba)'!$I:$I,MATCH($B184,'Pliegos Tarifarios (Huechuraba)'!$A:$A,0)),H184&gt;5000,INDEX('Pliegos Tarifarios (Huechuraba)'!$J:$J,MATCH($B184,'Pliegos Tarifarios (Huechuraba)'!$A:$A,0)))/1.19</f>
        <v>1182.0236806722692</v>
      </c>
      <c r="R184" s="19">
        <f>INDEX('Pliegos Tarifarios (Huechuraba)'!$K:$K,MATCH($B184,'Pliegos Tarifarios (Huechuraba)'!$A:$A,0))</f>
        <v>719.68899999999996</v>
      </c>
      <c r="S184" s="36">
        <f t="shared" si="6"/>
        <v>92186.324080672275</v>
      </c>
      <c r="T184" s="36">
        <f t="shared" si="7"/>
        <v>17515.401575327731</v>
      </c>
      <c r="U184" s="19">
        <v>0</v>
      </c>
      <c r="V184" s="36">
        <f t="shared" si="8"/>
        <v>109701.72565600001</v>
      </c>
    </row>
    <row r="185" spans="1:22" ht="23.4" thickBot="1" x14ac:dyDescent="0.35">
      <c r="A185" s="30" t="s">
        <v>146</v>
      </c>
      <c r="B185" s="31">
        <v>4</v>
      </c>
      <c r="C185" s="32" t="s">
        <v>15</v>
      </c>
      <c r="D185" s="31" t="s">
        <v>70</v>
      </c>
      <c r="E185" s="31" t="s">
        <v>37</v>
      </c>
      <c r="F185" s="32" t="s">
        <v>71</v>
      </c>
      <c r="G185" s="31" t="s">
        <v>33</v>
      </c>
      <c r="H185" s="31">
        <v>503.18</v>
      </c>
      <c r="I185" s="31">
        <v>1.42</v>
      </c>
      <c r="J185" s="31">
        <v>1.39</v>
      </c>
      <c r="K185" s="34">
        <v>0.98</v>
      </c>
      <c r="L185" s="31">
        <v>16.23</v>
      </c>
      <c r="M185" s="19">
        <f>H185*INDEX('Pliegos Tarifarios (Huechuraba)'!$B:$B,MATCH($B185,'Pliegos Tarifarios (Huechuraba)'!$A:$A,0))</f>
        <v>59796.904839999996</v>
      </c>
      <c r="N185" s="19">
        <f>I185*INDEX('Pliegos Tarifarios (Huechuraba)'!$C:$C,MATCH($B185,'Pliegos Tarifarios (Huechuraba)'!$A:$A,0))</f>
        <v>4870.3969399999996</v>
      </c>
      <c r="O185" s="19">
        <f>J185*INDEX('Pliegos Tarifarios (Huechuraba)'!$D:$D,MATCH($B185,'Pliegos Tarifarios (Huechuraba)'!$A:$A,0))</f>
        <v>19638.503799999999</v>
      </c>
      <c r="P185" s="19">
        <f>H185*INDEX('Pliegos Tarifarios (Huechuraba)'!$E:$E,MATCH($B185,'Pliegos Tarifarios (Huechuraba)'!$A:$A,0))</f>
        <v>6507.1237600000004</v>
      </c>
      <c r="Q185" s="19" cm="1">
        <f t="array" ref="Q185">H185*_xlfn.IFS(H185&lt;=350,INDEX('Pliegos Tarifarios (Huechuraba)'!$F:$F,MATCH($B185,'Pliegos Tarifarios (Huechuraba)'!$A:$A,0)),H185&lt;=500,INDEX('Pliegos Tarifarios (Huechuraba)'!$G:$G,MATCH($B185,'Pliegos Tarifarios (Huechuraba)'!$A:$A,0)),H185&lt;=1000,INDEX('Pliegos Tarifarios (Huechuraba)'!$H:$H,MATCH($B185,'Pliegos Tarifarios (Huechuraba)'!$A:$A,0)),H185&lt;=5000,INDEX('Pliegos Tarifarios (Huechuraba)'!$I:$I,MATCH($B185,'Pliegos Tarifarios (Huechuraba)'!$A:$A,0)),H185&gt;5000,INDEX('Pliegos Tarifarios (Huechuraba)'!$J:$J,MATCH($B185,'Pliegos Tarifarios (Huechuraba)'!$A:$A,0)))/1.19</f>
        <v>1180.1473781512607</v>
      </c>
      <c r="R185" s="19">
        <f>INDEX('Pliegos Tarifarios (Huechuraba)'!$K:$K,MATCH($B185,'Pliegos Tarifarios (Huechuraba)'!$A:$A,0))</f>
        <v>719.68899999999996</v>
      </c>
      <c r="S185" s="36">
        <f t="shared" si="6"/>
        <v>92712.765718151248</v>
      </c>
      <c r="T185" s="36">
        <f t="shared" si="7"/>
        <v>17615.425486448738</v>
      </c>
      <c r="U185" s="19">
        <v>0</v>
      </c>
      <c r="V185" s="36">
        <f t="shared" si="8"/>
        <v>110328.19120459998</v>
      </c>
    </row>
    <row r="186" spans="1:22" ht="23.4" thickBot="1" x14ac:dyDescent="0.35">
      <c r="A186" s="30" t="s">
        <v>146</v>
      </c>
      <c r="B186" s="31">
        <v>4</v>
      </c>
      <c r="C186" s="32" t="s">
        <v>15</v>
      </c>
      <c r="D186" s="31" t="s">
        <v>72</v>
      </c>
      <c r="E186" s="31" t="s">
        <v>73</v>
      </c>
      <c r="F186" s="32" t="s">
        <v>74</v>
      </c>
      <c r="G186" s="31" t="s">
        <v>33</v>
      </c>
      <c r="H186" s="31">
        <v>628.99</v>
      </c>
      <c r="I186" s="31">
        <v>1.76</v>
      </c>
      <c r="J186" s="31">
        <v>1.74</v>
      </c>
      <c r="K186" s="34">
        <v>0.99099999999999999</v>
      </c>
      <c r="L186" s="31">
        <v>20.29</v>
      </c>
      <c r="M186" s="19">
        <f>H186*INDEX('Pliegos Tarifarios (Huechuraba)'!$B:$B,MATCH($B186,'Pliegos Tarifarios (Huechuraba)'!$A:$A,0))</f>
        <v>74747.913619999992</v>
      </c>
      <c r="N186" s="19">
        <f>I186*INDEX('Pliegos Tarifarios (Huechuraba)'!$C:$C,MATCH($B186,'Pliegos Tarifarios (Huechuraba)'!$A:$A,0))</f>
        <v>6036.5483199999999</v>
      </c>
      <c r="O186" s="19">
        <f>J186*INDEX('Pliegos Tarifarios (Huechuraba)'!$D:$D,MATCH($B186,'Pliegos Tarifarios (Huechuraba)'!$A:$A,0))</f>
        <v>24583.450799999999</v>
      </c>
      <c r="P186" s="19">
        <f>H186*INDEX('Pliegos Tarifarios (Huechuraba)'!$E:$E,MATCH($B186,'Pliegos Tarifarios (Huechuraba)'!$A:$A,0))</f>
        <v>8134.0986800000001</v>
      </c>
      <c r="Q186" s="19" cm="1">
        <f t="array" ref="Q186">H186*_xlfn.IFS(H186&lt;=350,INDEX('Pliegos Tarifarios (Huechuraba)'!$F:$F,MATCH($B186,'Pliegos Tarifarios (Huechuraba)'!$A:$A,0)),H186&lt;=500,INDEX('Pliegos Tarifarios (Huechuraba)'!$G:$G,MATCH($B186,'Pliegos Tarifarios (Huechuraba)'!$A:$A,0)),H186&lt;=1000,INDEX('Pliegos Tarifarios (Huechuraba)'!$H:$H,MATCH($B186,'Pliegos Tarifarios (Huechuraba)'!$A:$A,0)),H186&lt;=5000,INDEX('Pliegos Tarifarios (Huechuraba)'!$I:$I,MATCH($B186,'Pliegos Tarifarios (Huechuraba)'!$A:$A,0)),H186&gt;5000,INDEX('Pliegos Tarifarios (Huechuraba)'!$J:$J,MATCH($B186,'Pliegos Tarifarios (Huechuraba)'!$A:$A,0)))/1.19</f>
        <v>1475.2194033613448</v>
      </c>
      <c r="R186" s="19">
        <f>INDEX('Pliegos Tarifarios (Huechuraba)'!$K:$K,MATCH($B186,'Pliegos Tarifarios (Huechuraba)'!$A:$A,0))</f>
        <v>719.68899999999996</v>
      </c>
      <c r="S186" s="36">
        <f t="shared" si="6"/>
        <v>115696.91982336134</v>
      </c>
      <c r="T186" s="36">
        <f t="shared" si="7"/>
        <v>21982.414766438655</v>
      </c>
      <c r="U186" s="19">
        <v>0</v>
      </c>
      <c r="V186" s="36">
        <f t="shared" si="8"/>
        <v>137679.33458979998</v>
      </c>
    </row>
    <row r="187" spans="1:22" ht="23.4" thickBot="1" x14ac:dyDescent="0.35">
      <c r="A187" s="30" t="s">
        <v>146</v>
      </c>
      <c r="B187" s="31">
        <v>4</v>
      </c>
      <c r="C187" s="32" t="s">
        <v>15</v>
      </c>
      <c r="D187" s="31" t="s">
        <v>75</v>
      </c>
      <c r="E187" s="31" t="s">
        <v>76</v>
      </c>
      <c r="F187" s="32" t="s">
        <v>77</v>
      </c>
      <c r="G187" s="31" t="s">
        <v>19</v>
      </c>
      <c r="H187" s="33">
        <v>1008.44</v>
      </c>
      <c r="I187" s="31">
        <v>2.84</v>
      </c>
      <c r="J187" s="31">
        <v>2.75</v>
      </c>
      <c r="K187" s="34">
        <v>0.97</v>
      </c>
      <c r="L187" s="31">
        <v>32.53</v>
      </c>
      <c r="M187" s="19">
        <f>H187*INDEX('Pliegos Tarifarios (Huechuraba)'!$B:$B,MATCH($B187,'Pliegos Tarifarios (Huechuraba)'!$A:$A,0))</f>
        <v>119840.99271999999</v>
      </c>
      <c r="N187" s="19">
        <f>I187*INDEX('Pliegos Tarifarios (Huechuraba)'!$C:$C,MATCH($B187,'Pliegos Tarifarios (Huechuraba)'!$A:$A,0))</f>
        <v>9740.7938799999993</v>
      </c>
      <c r="O187" s="19">
        <f>J187*INDEX('Pliegos Tarifarios (Huechuraba)'!$D:$D,MATCH($B187,'Pliegos Tarifarios (Huechuraba)'!$A:$A,0))</f>
        <v>38853.154999999999</v>
      </c>
      <c r="P187" s="19">
        <f>H187*INDEX('Pliegos Tarifarios (Huechuraba)'!$E:$E,MATCH($B187,'Pliegos Tarifarios (Huechuraba)'!$A:$A,0))</f>
        <v>13041.14608</v>
      </c>
      <c r="Q187" s="19" cm="1">
        <f t="array" ref="Q187">H187*_xlfn.IFS(H187&lt;=350,INDEX('Pliegos Tarifarios (Huechuraba)'!$F:$F,MATCH($B187,'Pliegos Tarifarios (Huechuraba)'!$A:$A,0)),H187&lt;=500,INDEX('Pliegos Tarifarios (Huechuraba)'!$G:$G,MATCH($B187,'Pliegos Tarifarios (Huechuraba)'!$A:$A,0)),H187&lt;=1000,INDEX('Pliegos Tarifarios (Huechuraba)'!$H:$H,MATCH($B187,'Pliegos Tarifarios (Huechuraba)'!$A:$A,0)),H187&lt;=5000,INDEX('Pliegos Tarifarios (Huechuraba)'!$I:$I,MATCH($B187,'Pliegos Tarifarios (Huechuraba)'!$A:$A,0)),H187&gt;5000,INDEX('Pliegos Tarifarios (Huechuraba)'!$J:$J,MATCH($B187,'Pliegos Tarifarios (Huechuraba)'!$A:$A,0)))/1.19</f>
        <v>3026.1674285714289</v>
      </c>
      <c r="R187" s="19">
        <f>INDEX('Pliegos Tarifarios (Huechuraba)'!$K:$K,MATCH($B187,'Pliegos Tarifarios (Huechuraba)'!$A:$A,0))</f>
        <v>719.68899999999996</v>
      </c>
      <c r="S187" s="36">
        <f t="shared" si="6"/>
        <v>185221.94410857145</v>
      </c>
      <c r="T187" s="36">
        <f t="shared" si="7"/>
        <v>35192.169380628577</v>
      </c>
      <c r="U187" s="19">
        <v>0</v>
      </c>
      <c r="V187" s="36">
        <f t="shared" si="8"/>
        <v>220414.11348920001</v>
      </c>
    </row>
    <row r="188" spans="1:22" ht="23.4" thickBot="1" x14ac:dyDescent="0.35">
      <c r="A188" s="30" t="s">
        <v>146</v>
      </c>
      <c r="B188" s="31">
        <v>4</v>
      </c>
      <c r="C188" s="32" t="s">
        <v>15</v>
      </c>
      <c r="D188" s="31" t="s">
        <v>78</v>
      </c>
      <c r="E188" s="31" t="s">
        <v>76</v>
      </c>
      <c r="F188" s="32" t="s">
        <v>79</v>
      </c>
      <c r="G188" s="31" t="s">
        <v>19</v>
      </c>
      <c r="H188" s="31">
        <v>757.29</v>
      </c>
      <c r="I188" s="31">
        <v>2.12</v>
      </c>
      <c r="J188" s="31">
        <v>2.09</v>
      </c>
      <c r="K188" s="34">
        <v>0.98699999999999999</v>
      </c>
      <c r="L188" s="31">
        <v>24.43</v>
      </c>
      <c r="M188" s="19">
        <f>H188*INDEX('Pliegos Tarifarios (Huechuraba)'!$B:$B,MATCH($B188,'Pliegos Tarifarios (Huechuraba)'!$A:$A,0))</f>
        <v>89994.82901999999</v>
      </c>
      <c r="N188" s="19">
        <f>I188*INDEX('Pliegos Tarifarios (Huechuraba)'!$C:$C,MATCH($B188,'Pliegos Tarifarios (Huechuraba)'!$A:$A,0))</f>
        <v>7271.29684</v>
      </c>
      <c r="O188" s="19">
        <f>J188*INDEX('Pliegos Tarifarios (Huechuraba)'!$D:$D,MATCH($B188,'Pliegos Tarifarios (Huechuraba)'!$A:$A,0))</f>
        <v>29528.397799999999</v>
      </c>
      <c r="P188" s="19">
        <f>H188*INDEX('Pliegos Tarifarios (Huechuraba)'!$E:$E,MATCH($B188,'Pliegos Tarifarios (Huechuraba)'!$A:$A,0))</f>
        <v>9793.2742799999996</v>
      </c>
      <c r="Q188" s="19" cm="1">
        <f t="array" ref="Q188">H188*_xlfn.IFS(H188&lt;=350,INDEX('Pliegos Tarifarios (Huechuraba)'!$F:$F,MATCH($B188,'Pliegos Tarifarios (Huechuraba)'!$A:$A,0)),H188&lt;=500,INDEX('Pliegos Tarifarios (Huechuraba)'!$G:$G,MATCH($B188,'Pliegos Tarifarios (Huechuraba)'!$A:$A,0)),H188&lt;=1000,INDEX('Pliegos Tarifarios (Huechuraba)'!$H:$H,MATCH($B188,'Pliegos Tarifarios (Huechuraba)'!$A:$A,0)),H188&lt;=5000,INDEX('Pliegos Tarifarios (Huechuraba)'!$I:$I,MATCH($B188,'Pliegos Tarifarios (Huechuraba)'!$A:$A,0)),H188&gt;5000,INDEX('Pliegos Tarifarios (Huechuraba)'!$J:$J,MATCH($B188,'Pliegos Tarifarios (Huechuraba)'!$A:$A,0)))/1.19</f>
        <v>1776.1314201680675</v>
      </c>
      <c r="R188" s="19">
        <f>INDEX('Pliegos Tarifarios (Huechuraba)'!$K:$K,MATCH($B188,'Pliegos Tarifarios (Huechuraba)'!$A:$A,0))</f>
        <v>719.68899999999996</v>
      </c>
      <c r="S188" s="36">
        <f t="shared" si="6"/>
        <v>139083.61836016807</v>
      </c>
      <c r="T188" s="36">
        <f t="shared" si="7"/>
        <v>26425.887488431934</v>
      </c>
      <c r="U188" s="19">
        <v>0</v>
      </c>
      <c r="V188" s="36">
        <f t="shared" si="8"/>
        <v>165509.50584860001</v>
      </c>
    </row>
    <row r="189" spans="1:22" ht="23.4" thickBot="1" x14ac:dyDescent="0.35">
      <c r="A189" s="30" t="s">
        <v>146</v>
      </c>
      <c r="B189" s="31">
        <v>4</v>
      </c>
      <c r="C189" s="32" t="s">
        <v>15</v>
      </c>
      <c r="D189" s="31" t="s">
        <v>80</v>
      </c>
      <c r="E189" s="31" t="s">
        <v>81</v>
      </c>
      <c r="F189" s="32" t="s">
        <v>82</v>
      </c>
      <c r="G189" s="31" t="s">
        <v>19</v>
      </c>
      <c r="H189" s="31">
        <v>627.96</v>
      </c>
      <c r="I189" s="31">
        <v>1.75</v>
      </c>
      <c r="J189" s="31">
        <v>1.7</v>
      </c>
      <c r="K189" s="34">
        <v>0.96799999999999997</v>
      </c>
      <c r="L189" s="31">
        <v>20.260000000000002</v>
      </c>
      <c r="M189" s="19">
        <f>H189*INDEX('Pliegos Tarifarios (Huechuraba)'!$B:$B,MATCH($B189,'Pliegos Tarifarios (Huechuraba)'!$A:$A,0))</f>
        <v>74625.510479999997</v>
      </c>
      <c r="N189" s="19">
        <f>I189*INDEX('Pliegos Tarifarios (Huechuraba)'!$C:$C,MATCH($B189,'Pliegos Tarifarios (Huechuraba)'!$A:$A,0))</f>
        <v>6002.2497499999999</v>
      </c>
      <c r="O189" s="19">
        <f>J189*INDEX('Pliegos Tarifarios (Huechuraba)'!$D:$D,MATCH($B189,'Pliegos Tarifarios (Huechuraba)'!$A:$A,0))</f>
        <v>24018.313999999998</v>
      </c>
      <c r="P189" s="19">
        <f>H189*INDEX('Pliegos Tarifarios (Huechuraba)'!$E:$E,MATCH($B189,'Pliegos Tarifarios (Huechuraba)'!$A:$A,0))</f>
        <v>8120.7787200000012</v>
      </c>
      <c r="Q189" s="19" cm="1">
        <f t="array" ref="Q189">H189*_xlfn.IFS(H189&lt;=350,INDEX('Pliegos Tarifarios (Huechuraba)'!$F:$F,MATCH($B189,'Pliegos Tarifarios (Huechuraba)'!$A:$A,0)),H189&lt;=500,INDEX('Pliegos Tarifarios (Huechuraba)'!$G:$G,MATCH($B189,'Pliegos Tarifarios (Huechuraba)'!$A:$A,0)),H189&lt;=1000,INDEX('Pliegos Tarifarios (Huechuraba)'!$H:$H,MATCH($B189,'Pliegos Tarifarios (Huechuraba)'!$A:$A,0)),H189&lt;=5000,INDEX('Pliegos Tarifarios (Huechuraba)'!$I:$I,MATCH($B189,'Pliegos Tarifarios (Huechuraba)'!$A:$A,0)),H189&gt;5000,INDEX('Pliegos Tarifarios (Huechuraba)'!$J:$J,MATCH($B189,'Pliegos Tarifarios (Huechuraba)'!$A:$A,0)))/1.19</f>
        <v>1472.8036638655467</v>
      </c>
      <c r="R189" s="19">
        <f>INDEX('Pliegos Tarifarios (Huechuraba)'!$K:$K,MATCH($B189,'Pliegos Tarifarios (Huechuraba)'!$A:$A,0))</f>
        <v>719.68899999999996</v>
      </c>
      <c r="S189" s="36">
        <f t="shared" si="6"/>
        <v>114959.34561386555</v>
      </c>
      <c r="T189" s="36">
        <f t="shared" si="7"/>
        <v>21842.275666634454</v>
      </c>
      <c r="U189" s="19">
        <v>0</v>
      </c>
      <c r="V189" s="36">
        <f t="shared" si="8"/>
        <v>136801.6212805</v>
      </c>
    </row>
    <row r="190" spans="1:22" ht="23.4" thickBot="1" x14ac:dyDescent="0.35">
      <c r="A190" s="30" t="s">
        <v>146</v>
      </c>
      <c r="B190" s="31">
        <v>4</v>
      </c>
      <c r="C190" s="32" t="s">
        <v>15</v>
      </c>
      <c r="D190" s="31" t="s">
        <v>83</v>
      </c>
      <c r="E190" s="31" t="s">
        <v>81</v>
      </c>
      <c r="F190" s="32" t="s">
        <v>84</v>
      </c>
      <c r="G190" s="31" t="s">
        <v>19</v>
      </c>
      <c r="H190" s="31">
        <v>420.51</v>
      </c>
      <c r="I190" s="31">
        <v>1.19</v>
      </c>
      <c r="J190" s="31">
        <v>1.1599999999999999</v>
      </c>
      <c r="K190" s="34">
        <v>0.97599999999999998</v>
      </c>
      <c r="L190" s="31">
        <v>13.56</v>
      </c>
      <c r="M190" s="19">
        <f>H190*INDEX('Pliegos Tarifarios (Huechuraba)'!$B:$B,MATCH($B190,'Pliegos Tarifarios (Huechuraba)'!$A:$A,0))</f>
        <v>49972.567379999993</v>
      </c>
      <c r="N190" s="19">
        <f>I190*INDEX('Pliegos Tarifarios (Huechuraba)'!$C:$C,MATCH($B190,'Pliegos Tarifarios (Huechuraba)'!$A:$A,0))</f>
        <v>4081.5298299999999</v>
      </c>
      <c r="O190" s="19">
        <f>J190*INDEX('Pliegos Tarifarios (Huechuraba)'!$D:$D,MATCH($B190,'Pliegos Tarifarios (Huechuraba)'!$A:$A,0))</f>
        <v>16388.967199999999</v>
      </c>
      <c r="P190" s="19">
        <f>H190*INDEX('Pliegos Tarifarios (Huechuraba)'!$E:$E,MATCH($B190,'Pliegos Tarifarios (Huechuraba)'!$A:$A,0))</f>
        <v>5438.03532</v>
      </c>
      <c r="Q190" s="19" cm="1">
        <f t="array" ref="Q190">H190*_xlfn.IFS(H190&lt;=350,INDEX('Pliegos Tarifarios (Huechuraba)'!$F:$F,MATCH($B190,'Pliegos Tarifarios (Huechuraba)'!$A:$A,0)),H190&lt;=500,INDEX('Pliegos Tarifarios (Huechuraba)'!$G:$G,MATCH($B190,'Pliegos Tarifarios (Huechuraba)'!$A:$A,0)),H190&lt;=1000,INDEX('Pliegos Tarifarios (Huechuraba)'!$H:$H,MATCH($B190,'Pliegos Tarifarios (Huechuraba)'!$A:$A,0)),H190&lt;=5000,INDEX('Pliegos Tarifarios (Huechuraba)'!$I:$I,MATCH($B190,'Pliegos Tarifarios (Huechuraba)'!$A:$A,0)),H190&gt;5000,INDEX('Pliegos Tarifarios (Huechuraba)'!$J:$J,MATCH($B190,'Pliegos Tarifarios (Huechuraba)'!$A:$A,0)))/1.19</f>
        <v>592.24769747899165</v>
      </c>
      <c r="R190" s="19">
        <f>INDEX('Pliegos Tarifarios (Huechuraba)'!$K:$K,MATCH($B190,'Pliegos Tarifarios (Huechuraba)'!$A:$A,0))</f>
        <v>719.68899999999996</v>
      </c>
      <c r="S190" s="36">
        <f t="shared" si="6"/>
        <v>77193.036427478975</v>
      </c>
      <c r="T190" s="36">
        <f t="shared" si="7"/>
        <v>14666.676921221006</v>
      </c>
      <c r="U190" s="19">
        <v>0</v>
      </c>
      <c r="V190" s="36">
        <f t="shared" si="8"/>
        <v>91859.713348699981</v>
      </c>
    </row>
    <row r="191" spans="1:22" ht="23.4" thickBot="1" x14ac:dyDescent="0.35">
      <c r="A191" s="30" t="s">
        <v>146</v>
      </c>
      <c r="B191" s="31">
        <v>4</v>
      </c>
      <c r="C191" s="32" t="s">
        <v>15</v>
      </c>
      <c r="D191" s="31" t="s">
        <v>85</v>
      </c>
      <c r="E191" s="31" t="s">
        <v>81</v>
      </c>
      <c r="F191" s="32" t="s">
        <v>86</v>
      </c>
      <c r="G191" s="31" t="s">
        <v>19</v>
      </c>
      <c r="H191" s="31">
        <v>503.74</v>
      </c>
      <c r="I191" s="31">
        <v>1.43</v>
      </c>
      <c r="J191" s="31">
        <v>1.4</v>
      </c>
      <c r="K191" s="34">
        <v>0.97599999999999998</v>
      </c>
      <c r="L191" s="31">
        <v>16.25</v>
      </c>
      <c r="M191" s="19">
        <f>H191*INDEX('Pliegos Tarifarios (Huechuraba)'!$B:$B,MATCH($B191,'Pliegos Tarifarios (Huechuraba)'!$A:$A,0))</f>
        <v>59863.454119999995</v>
      </c>
      <c r="N191" s="19">
        <f>I191*INDEX('Pliegos Tarifarios (Huechuraba)'!$C:$C,MATCH($B191,'Pliegos Tarifarios (Huechuraba)'!$A:$A,0))</f>
        <v>4904.6955099999996</v>
      </c>
      <c r="O191" s="19">
        <f>J191*INDEX('Pliegos Tarifarios (Huechuraba)'!$D:$D,MATCH($B191,'Pliegos Tarifarios (Huechuraba)'!$A:$A,0))</f>
        <v>19779.788</v>
      </c>
      <c r="P191" s="19">
        <f>H191*INDEX('Pliegos Tarifarios (Huechuraba)'!$E:$E,MATCH($B191,'Pliegos Tarifarios (Huechuraba)'!$A:$A,0))</f>
        <v>6514.3656799999999</v>
      </c>
      <c r="Q191" s="19" cm="1">
        <f t="array" ref="Q191">H191*_xlfn.IFS(H191&lt;=350,INDEX('Pliegos Tarifarios (Huechuraba)'!$F:$F,MATCH($B191,'Pliegos Tarifarios (Huechuraba)'!$A:$A,0)),H191&lt;=500,INDEX('Pliegos Tarifarios (Huechuraba)'!$G:$G,MATCH($B191,'Pliegos Tarifarios (Huechuraba)'!$A:$A,0)),H191&lt;=1000,INDEX('Pliegos Tarifarios (Huechuraba)'!$H:$H,MATCH($B191,'Pliegos Tarifarios (Huechuraba)'!$A:$A,0)),H191&lt;=5000,INDEX('Pliegos Tarifarios (Huechuraba)'!$I:$I,MATCH($B191,'Pliegos Tarifarios (Huechuraba)'!$A:$A,0)),H191&gt;5000,INDEX('Pliegos Tarifarios (Huechuraba)'!$J:$J,MATCH($B191,'Pliegos Tarifarios (Huechuraba)'!$A:$A,0)))/1.19</f>
        <v>1181.4607899159666</v>
      </c>
      <c r="R191" s="19">
        <f>INDEX('Pliegos Tarifarios (Huechuraba)'!$K:$K,MATCH($B191,'Pliegos Tarifarios (Huechuraba)'!$A:$A,0))</f>
        <v>719.68899999999996</v>
      </c>
      <c r="S191" s="36">
        <f t="shared" si="6"/>
        <v>92963.453099915962</v>
      </c>
      <c r="T191" s="36">
        <f t="shared" si="7"/>
        <v>17663.056088984034</v>
      </c>
      <c r="U191" s="19">
        <v>0</v>
      </c>
      <c r="V191" s="36">
        <f t="shared" si="8"/>
        <v>110626.5091889</v>
      </c>
    </row>
    <row r="192" spans="1:22" ht="23.4" thickBot="1" x14ac:dyDescent="0.35">
      <c r="A192" s="30" t="s">
        <v>146</v>
      </c>
      <c r="B192" s="31">
        <v>4</v>
      </c>
      <c r="C192" s="32" t="s">
        <v>15</v>
      </c>
      <c r="D192" s="31" t="s">
        <v>87</v>
      </c>
      <c r="E192" s="31" t="s">
        <v>81</v>
      </c>
      <c r="F192" s="32" t="s">
        <v>88</v>
      </c>
      <c r="G192" s="31" t="s">
        <v>19</v>
      </c>
      <c r="H192" s="31">
        <v>503.4</v>
      </c>
      <c r="I192" s="31">
        <v>1.45</v>
      </c>
      <c r="J192" s="31">
        <v>1.39</v>
      </c>
      <c r="K192" s="34">
        <v>0.96399999999999997</v>
      </c>
      <c r="L192" s="31">
        <v>16.239999999999998</v>
      </c>
      <c r="M192" s="19">
        <f>H192*INDEX('Pliegos Tarifarios (Huechuraba)'!$B:$B,MATCH($B192,'Pliegos Tarifarios (Huechuraba)'!$A:$A,0))</f>
        <v>59823.049199999994</v>
      </c>
      <c r="N192" s="19">
        <f>I192*INDEX('Pliegos Tarifarios (Huechuraba)'!$C:$C,MATCH($B192,'Pliegos Tarifarios (Huechuraba)'!$A:$A,0))</f>
        <v>4973.2926499999994</v>
      </c>
      <c r="O192" s="19">
        <f>J192*INDEX('Pliegos Tarifarios (Huechuraba)'!$D:$D,MATCH($B192,'Pliegos Tarifarios (Huechuraba)'!$A:$A,0))</f>
        <v>19638.503799999999</v>
      </c>
      <c r="P192" s="19">
        <f>H192*INDEX('Pliegos Tarifarios (Huechuraba)'!$E:$E,MATCH($B192,'Pliegos Tarifarios (Huechuraba)'!$A:$A,0))</f>
        <v>6509.9687999999996</v>
      </c>
      <c r="Q192" s="19" cm="1">
        <f t="array" ref="Q192">H192*_xlfn.IFS(H192&lt;=350,INDEX('Pliegos Tarifarios (Huechuraba)'!$F:$F,MATCH($B192,'Pliegos Tarifarios (Huechuraba)'!$A:$A,0)),H192&lt;=500,INDEX('Pliegos Tarifarios (Huechuraba)'!$G:$G,MATCH($B192,'Pliegos Tarifarios (Huechuraba)'!$A:$A,0)),H192&lt;=1000,INDEX('Pliegos Tarifarios (Huechuraba)'!$H:$H,MATCH($B192,'Pliegos Tarifarios (Huechuraba)'!$A:$A,0)),H192&lt;=5000,INDEX('Pliegos Tarifarios (Huechuraba)'!$I:$I,MATCH($B192,'Pliegos Tarifarios (Huechuraba)'!$A:$A,0)),H192&gt;5000,INDEX('Pliegos Tarifarios (Huechuraba)'!$J:$J,MATCH($B192,'Pliegos Tarifarios (Huechuraba)'!$A:$A,0)))/1.19</f>
        <v>1180.6633613445381</v>
      </c>
      <c r="R192" s="19">
        <f>INDEX('Pliegos Tarifarios (Huechuraba)'!$K:$K,MATCH($B192,'Pliegos Tarifarios (Huechuraba)'!$A:$A,0))</f>
        <v>719.68899999999996</v>
      </c>
      <c r="S192" s="36">
        <f t="shared" si="6"/>
        <v>92845.166811344548</v>
      </c>
      <c r="T192" s="36">
        <f t="shared" si="7"/>
        <v>17640.581694155466</v>
      </c>
      <c r="U192" s="19">
        <v>0</v>
      </c>
      <c r="V192" s="36">
        <f t="shared" si="8"/>
        <v>110485.74850550001</v>
      </c>
    </row>
    <row r="193" spans="1:22" ht="23.4" thickBot="1" x14ac:dyDescent="0.35">
      <c r="A193" s="30" t="s">
        <v>146</v>
      </c>
      <c r="B193" s="31">
        <v>4</v>
      </c>
      <c r="C193" s="32" t="s">
        <v>15</v>
      </c>
      <c r="D193" s="31" t="s">
        <v>89</v>
      </c>
      <c r="E193" s="31" t="s">
        <v>81</v>
      </c>
      <c r="F193" s="32" t="s">
        <v>90</v>
      </c>
      <c r="G193" s="31" t="s">
        <v>19</v>
      </c>
      <c r="H193" s="31">
        <v>503.33</v>
      </c>
      <c r="I193" s="31">
        <v>1.41</v>
      </c>
      <c r="J193" s="31">
        <v>1.38</v>
      </c>
      <c r="K193" s="34">
        <v>0.98</v>
      </c>
      <c r="L193" s="31">
        <v>16.239999999999998</v>
      </c>
      <c r="M193" s="19">
        <f>H193*INDEX('Pliegos Tarifarios (Huechuraba)'!$B:$B,MATCH($B193,'Pliegos Tarifarios (Huechuraba)'!$A:$A,0))</f>
        <v>59814.730539999997</v>
      </c>
      <c r="N193" s="19">
        <f>I193*INDEX('Pliegos Tarifarios (Huechuraba)'!$C:$C,MATCH($B193,'Pliegos Tarifarios (Huechuraba)'!$A:$A,0))</f>
        <v>4836.0983699999997</v>
      </c>
      <c r="O193" s="19">
        <f>J193*INDEX('Pliegos Tarifarios (Huechuraba)'!$D:$D,MATCH($B193,'Pliegos Tarifarios (Huechuraba)'!$A:$A,0))</f>
        <v>19497.2196</v>
      </c>
      <c r="P193" s="19">
        <f>H193*INDEX('Pliegos Tarifarios (Huechuraba)'!$E:$E,MATCH($B193,'Pliegos Tarifarios (Huechuraba)'!$A:$A,0))</f>
        <v>6509.0635599999996</v>
      </c>
      <c r="Q193" s="19" cm="1">
        <f t="array" ref="Q193">H193*_xlfn.IFS(H193&lt;=350,INDEX('Pliegos Tarifarios (Huechuraba)'!$F:$F,MATCH($B193,'Pliegos Tarifarios (Huechuraba)'!$A:$A,0)),H193&lt;=500,INDEX('Pliegos Tarifarios (Huechuraba)'!$G:$G,MATCH($B193,'Pliegos Tarifarios (Huechuraba)'!$A:$A,0)),H193&lt;=1000,INDEX('Pliegos Tarifarios (Huechuraba)'!$H:$H,MATCH($B193,'Pliegos Tarifarios (Huechuraba)'!$A:$A,0)),H193&lt;=5000,INDEX('Pliegos Tarifarios (Huechuraba)'!$I:$I,MATCH($B193,'Pliegos Tarifarios (Huechuraba)'!$A:$A,0)),H193&gt;5000,INDEX('Pliegos Tarifarios (Huechuraba)'!$J:$J,MATCH($B193,'Pliegos Tarifarios (Huechuraba)'!$A:$A,0)))/1.19</f>
        <v>1180.4991848739498</v>
      </c>
      <c r="R193" s="19">
        <f>INDEX('Pliegos Tarifarios (Huechuraba)'!$K:$K,MATCH($B193,'Pliegos Tarifarios (Huechuraba)'!$A:$A,0))</f>
        <v>719.68899999999996</v>
      </c>
      <c r="S193" s="36">
        <f t="shared" si="6"/>
        <v>92557.300254873931</v>
      </c>
      <c r="T193" s="36">
        <f t="shared" si="7"/>
        <v>17585.887048426048</v>
      </c>
      <c r="U193" s="19">
        <v>0</v>
      </c>
      <c r="V193" s="36">
        <f t="shared" si="8"/>
        <v>110143.18730329999</v>
      </c>
    </row>
    <row r="194" spans="1:22" ht="23.4" thickBot="1" x14ac:dyDescent="0.35">
      <c r="A194" s="30" t="s">
        <v>146</v>
      </c>
      <c r="B194" s="31">
        <v>4</v>
      </c>
      <c r="C194" s="32" t="s">
        <v>15</v>
      </c>
      <c r="D194" s="31" t="s">
        <v>91</v>
      </c>
      <c r="E194" s="31" t="s">
        <v>81</v>
      </c>
      <c r="F194" s="32" t="s">
        <v>92</v>
      </c>
      <c r="G194" s="31" t="s">
        <v>19</v>
      </c>
      <c r="H194" s="31">
        <v>630.52</v>
      </c>
      <c r="I194" s="31">
        <v>1.82</v>
      </c>
      <c r="J194" s="31">
        <v>1.82</v>
      </c>
      <c r="K194" s="34">
        <v>1</v>
      </c>
      <c r="L194" s="31">
        <v>20.34</v>
      </c>
      <c r="M194" s="19">
        <f>H194*INDEX('Pliegos Tarifarios (Huechuraba)'!$B:$B,MATCH($B194,'Pliegos Tarifarios (Huechuraba)'!$A:$A,0))</f>
        <v>74929.735759999996</v>
      </c>
      <c r="N194" s="19">
        <f>I194*INDEX('Pliegos Tarifarios (Huechuraba)'!$C:$C,MATCH($B194,'Pliegos Tarifarios (Huechuraba)'!$A:$A,0))</f>
        <v>6242.3397400000003</v>
      </c>
      <c r="O194" s="19">
        <f>J194*INDEX('Pliegos Tarifarios (Huechuraba)'!$D:$D,MATCH($B194,'Pliegos Tarifarios (Huechuraba)'!$A:$A,0))</f>
        <v>25713.724400000003</v>
      </c>
      <c r="P194" s="19">
        <f>H194*INDEX('Pliegos Tarifarios (Huechuraba)'!$E:$E,MATCH($B194,'Pliegos Tarifarios (Huechuraba)'!$A:$A,0))</f>
        <v>8153.8846400000002</v>
      </c>
      <c r="Q194" s="19" cm="1">
        <f t="array" ref="Q194">H194*_xlfn.IFS(H194&lt;=350,INDEX('Pliegos Tarifarios (Huechuraba)'!$F:$F,MATCH($B194,'Pliegos Tarifarios (Huechuraba)'!$A:$A,0)),H194&lt;=500,INDEX('Pliegos Tarifarios (Huechuraba)'!$G:$G,MATCH($B194,'Pliegos Tarifarios (Huechuraba)'!$A:$A,0)),H194&lt;=1000,INDEX('Pliegos Tarifarios (Huechuraba)'!$H:$H,MATCH($B194,'Pliegos Tarifarios (Huechuraba)'!$A:$A,0)),H194&lt;=5000,INDEX('Pliegos Tarifarios (Huechuraba)'!$I:$I,MATCH($B194,'Pliegos Tarifarios (Huechuraba)'!$A:$A,0)),H194&gt;5000,INDEX('Pliegos Tarifarios (Huechuraba)'!$J:$J,MATCH($B194,'Pliegos Tarifarios (Huechuraba)'!$A:$A,0)))/1.19</f>
        <v>1478.8078319327733</v>
      </c>
      <c r="R194" s="19">
        <f>INDEX('Pliegos Tarifarios (Huechuraba)'!$K:$K,MATCH($B194,'Pliegos Tarifarios (Huechuraba)'!$A:$A,0))</f>
        <v>719.68899999999996</v>
      </c>
      <c r="S194" s="36">
        <f t="shared" si="6"/>
        <v>117238.18137193278</v>
      </c>
      <c r="T194" s="36">
        <f t="shared" si="7"/>
        <v>22275.254460667227</v>
      </c>
      <c r="U194" s="19">
        <v>0</v>
      </c>
      <c r="V194" s="36">
        <f t="shared" si="8"/>
        <v>139513.43583259999</v>
      </c>
    </row>
    <row r="195" spans="1:22" ht="23.4" thickBot="1" x14ac:dyDescent="0.35">
      <c r="A195" s="30" t="s">
        <v>146</v>
      </c>
      <c r="B195" s="31">
        <v>4</v>
      </c>
      <c r="C195" s="32" t="s">
        <v>15</v>
      </c>
      <c r="D195" s="31" t="s">
        <v>93</v>
      </c>
      <c r="E195" s="31" t="s">
        <v>94</v>
      </c>
      <c r="F195" s="32" t="s">
        <v>95</v>
      </c>
      <c r="G195" s="31" t="s">
        <v>19</v>
      </c>
      <c r="H195" s="31">
        <v>502.39</v>
      </c>
      <c r="I195" s="31">
        <v>1.39</v>
      </c>
      <c r="J195" s="31">
        <v>1.37</v>
      </c>
      <c r="K195" s="34">
        <v>0.98599999999999999</v>
      </c>
      <c r="L195" s="31">
        <v>16.21</v>
      </c>
      <c r="M195" s="19">
        <f>H195*INDEX('Pliegos Tarifarios (Huechuraba)'!$B:$B,MATCH($B195,'Pliegos Tarifarios (Huechuraba)'!$A:$A,0))</f>
        <v>59703.022819999998</v>
      </c>
      <c r="N195" s="19">
        <f>I195*INDEX('Pliegos Tarifarios (Huechuraba)'!$C:$C,MATCH($B195,'Pliegos Tarifarios (Huechuraba)'!$A:$A,0))</f>
        <v>4767.5012299999999</v>
      </c>
      <c r="O195" s="19">
        <f>J195*INDEX('Pliegos Tarifarios (Huechuraba)'!$D:$D,MATCH($B195,'Pliegos Tarifarios (Huechuraba)'!$A:$A,0))</f>
        <v>19355.935400000002</v>
      </c>
      <c r="P195" s="19">
        <f>H195*INDEX('Pliegos Tarifarios (Huechuraba)'!$E:$E,MATCH($B195,'Pliegos Tarifarios (Huechuraba)'!$A:$A,0))</f>
        <v>6496.9074799999999</v>
      </c>
      <c r="Q195" s="19" cm="1">
        <f t="array" ref="Q195">H195*_xlfn.IFS(H195&lt;=350,INDEX('Pliegos Tarifarios (Huechuraba)'!$F:$F,MATCH($B195,'Pliegos Tarifarios (Huechuraba)'!$A:$A,0)),H195&lt;=500,INDEX('Pliegos Tarifarios (Huechuraba)'!$G:$G,MATCH($B195,'Pliegos Tarifarios (Huechuraba)'!$A:$A,0)),H195&lt;=1000,INDEX('Pliegos Tarifarios (Huechuraba)'!$H:$H,MATCH($B195,'Pliegos Tarifarios (Huechuraba)'!$A:$A,0)),H195&lt;=5000,INDEX('Pliegos Tarifarios (Huechuraba)'!$I:$I,MATCH($B195,'Pliegos Tarifarios (Huechuraba)'!$A:$A,0)),H195&gt;5000,INDEX('Pliegos Tarifarios (Huechuraba)'!$J:$J,MATCH($B195,'Pliegos Tarifarios (Huechuraba)'!$A:$A,0)))/1.19</f>
        <v>1178.2945294117649</v>
      </c>
      <c r="R195" s="19">
        <f>INDEX('Pliegos Tarifarios (Huechuraba)'!$K:$K,MATCH($B195,'Pliegos Tarifarios (Huechuraba)'!$A:$A,0))</f>
        <v>719.68899999999996</v>
      </c>
      <c r="S195" s="36">
        <f t="shared" si="6"/>
        <v>92221.350459411755</v>
      </c>
      <c r="T195" s="36">
        <f t="shared" si="7"/>
        <v>17522.056587288233</v>
      </c>
      <c r="U195" s="19">
        <v>0</v>
      </c>
      <c r="V195" s="36">
        <f t="shared" si="8"/>
        <v>109743.40704669998</v>
      </c>
    </row>
    <row r="196" spans="1:22" ht="23.4" thickBot="1" x14ac:dyDescent="0.35">
      <c r="A196" s="30" t="s">
        <v>146</v>
      </c>
      <c r="B196" s="31">
        <v>4</v>
      </c>
      <c r="C196" s="32" t="s">
        <v>15</v>
      </c>
      <c r="D196" s="31" t="s">
        <v>96</v>
      </c>
      <c r="E196" s="31" t="s">
        <v>97</v>
      </c>
      <c r="F196" s="32" t="s">
        <v>98</v>
      </c>
      <c r="G196" s="31" t="s">
        <v>19</v>
      </c>
      <c r="H196" s="31">
        <v>753.78</v>
      </c>
      <c r="I196" s="31">
        <v>2.12</v>
      </c>
      <c r="J196" s="31">
        <v>2.08</v>
      </c>
      <c r="K196" s="34">
        <v>0.97699999999999998</v>
      </c>
      <c r="L196" s="31">
        <v>24.32</v>
      </c>
      <c r="M196" s="19">
        <f>H196*INDEX('Pliegos Tarifarios (Huechuraba)'!$B:$B,MATCH($B196,'Pliegos Tarifarios (Huechuraba)'!$A:$A,0))</f>
        <v>89577.707639999993</v>
      </c>
      <c r="N196" s="19">
        <f>I196*INDEX('Pliegos Tarifarios (Huechuraba)'!$C:$C,MATCH($B196,'Pliegos Tarifarios (Huechuraba)'!$A:$A,0))</f>
        <v>7271.29684</v>
      </c>
      <c r="O196" s="19">
        <f>J196*INDEX('Pliegos Tarifarios (Huechuraba)'!$D:$D,MATCH($B196,'Pliegos Tarifarios (Huechuraba)'!$A:$A,0))</f>
        <v>29387.113600000001</v>
      </c>
      <c r="P196" s="19">
        <f>H196*INDEX('Pliegos Tarifarios (Huechuraba)'!$E:$E,MATCH($B196,'Pliegos Tarifarios (Huechuraba)'!$A:$A,0))</f>
        <v>9747.8829600000008</v>
      </c>
      <c r="Q196" s="19" cm="1">
        <f t="array" ref="Q196">H196*_xlfn.IFS(H196&lt;=350,INDEX('Pliegos Tarifarios (Huechuraba)'!$F:$F,MATCH($B196,'Pliegos Tarifarios (Huechuraba)'!$A:$A,0)),H196&lt;=500,INDEX('Pliegos Tarifarios (Huechuraba)'!$G:$G,MATCH($B196,'Pliegos Tarifarios (Huechuraba)'!$A:$A,0)),H196&lt;=1000,INDEX('Pliegos Tarifarios (Huechuraba)'!$H:$H,MATCH($B196,'Pliegos Tarifarios (Huechuraba)'!$A:$A,0)),H196&lt;=5000,INDEX('Pliegos Tarifarios (Huechuraba)'!$I:$I,MATCH($B196,'Pliegos Tarifarios (Huechuraba)'!$A:$A,0)),H196&gt;5000,INDEX('Pliegos Tarifarios (Huechuraba)'!$J:$J,MATCH($B196,'Pliegos Tarifarios (Huechuraba)'!$A:$A,0)))/1.19</f>
        <v>1767.899142857143</v>
      </c>
      <c r="R196" s="19">
        <f>INDEX('Pliegos Tarifarios (Huechuraba)'!$K:$K,MATCH($B196,'Pliegos Tarifarios (Huechuraba)'!$A:$A,0))</f>
        <v>719.68899999999996</v>
      </c>
      <c r="S196" s="36">
        <f t="shared" si="6"/>
        <v>138471.58918285713</v>
      </c>
      <c r="T196" s="36">
        <f t="shared" si="7"/>
        <v>26309.601944742855</v>
      </c>
      <c r="U196" s="19">
        <v>0</v>
      </c>
      <c r="V196" s="36">
        <f t="shared" si="8"/>
        <v>164781.19112759997</v>
      </c>
    </row>
    <row r="197" spans="1:22" ht="23.4" thickBot="1" x14ac:dyDescent="0.35">
      <c r="A197" s="30" t="s">
        <v>146</v>
      </c>
      <c r="B197" s="31">
        <v>4</v>
      </c>
      <c r="C197" s="32" t="s">
        <v>15</v>
      </c>
      <c r="D197" s="31" t="s">
        <v>99</v>
      </c>
      <c r="E197" s="31" t="s">
        <v>94</v>
      </c>
      <c r="F197" s="32" t="s">
        <v>100</v>
      </c>
      <c r="G197" s="31" t="s">
        <v>19</v>
      </c>
      <c r="H197" s="31">
        <v>756.06</v>
      </c>
      <c r="I197" s="31">
        <v>2.11</v>
      </c>
      <c r="J197" s="31">
        <v>2.11</v>
      </c>
      <c r="K197" s="34">
        <v>1</v>
      </c>
      <c r="L197" s="31">
        <v>24.39</v>
      </c>
      <c r="M197" s="19">
        <f>H197*INDEX('Pliegos Tarifarios (Huechuraba)'!$B:$B,MATCH($B197,'Pliegos Tarifarios (Huechuraba)'!$A:$A,0))</f>
        <v>89848.658279999989</v>
      </c>
      <c r="N197" s="19">
        <f>I197*INDEX('Pliegos Tarifarios (Huechuraba)'!$C:$C,MATCH($B197,'Pliegos Tarifarios (Huechuraba)'!$A:$A,0))</f>
        <v>7236.9982699999991</v>
      </c>
      <c r="O197" s="19">
        <f>J197*INDEX('Pliegos Tarifarios (Huechuraba)'!$D:$D,MATCH($B197,'Pliegos Tarifarios (Huechuraba)'!$A:$A,0))</f>
        <v>29810.966199999999</v>
      </c>
      <c r="P197" s="19">
        <f>H197*INDEX('Pliegos Tarifarios (Huechuraba)'!$E:$E,MATCH($B197,'Pliegos Tarifarios (Huechuraba)'!$A:$A,0))</f>
        <v>9777.3679199999988</v>
      </c>
      <c r="Q197" s="19" cm="1">
        <f t="array" ref="Q197">H197*_xlfn.IFS(H197&lt;=350,INDEX('Pliegos Tarifarios (Huechuraba)'!$F:$F,MATCH($B197,'Pliegos Tarifarios (Huechuraba)'!$A:$A,0)),H197&lt;=500,INDEX('Pliegos Tarifarios (Huechuraba)'!$G:$G,MATCH($B197,'Pliegos Tarifarios (Huechuraba)'!$A:$A,0)),H197&lt;=1000,INDEX('Pliegos Tarifarios (Huechuraba)'!$H:$H,MATCH($B197,'Pliegos Tarifarios (Huechuraba)'!$A:$A,0)),H197&lt;=5000,INDEX('Pliegos Tarifarios (Huechuraba)'!$I:$I,MATCH($B197,'Pliegos Tarifarios (Huechuraba)'!$A:$A,0)),H197&gt;5000,INDEX('Pliegos Tarifarios (Huechuraba)'!$J:$J,MATCH($B197,'Pliegos Tarifarios (Huechuraba)'!$A:$A,0)))/1.19</f>
        <v>1773.2466050420171</v>
      </c>
      <c r="R197" s="19">
        <f>INDEX('Pliegos Tarifarios (Huechuraba)'!$K:$K,MATCH($B197,'Pliegos Tarifarios (Huechuraba)'!$A:$A,0))</f>
        <v>719.68899999999996</v>
      </c>
      <c r="S197" s="36">
        <f t="shared" ref="S197:S260" si="9">SUM(M197:R197)</f>
        <v>139166.926275042</v>
      </c>
      <c r="T197" s="36">
        <f t="shared" ref="T197:T260" si="10">S197*0.19</f>
        <v>26441.715992257981</v>
      </c>
      <c r="U197" s="19">
        <v>0</v>
      </c>
      <c r="V197" s="36">
        <f t="shared" ref="V197:V260" si="11">SUM(S197:T197)</f>
        <v>165608.64226729999</v>
      </c>
    </row>
    <row r="198" spans="1:22" ht="23.4" thickBot="1" x14ac:dyDescent="0.35">
      <c r="A198" s="30" t="s">
        <v>146</v>
      </c>
      <c r="B198" s="31">
        <v>4</v>
      </c>
      <c r="C198" s="32" t="s">
        <v>15</v>
      </c>
      <c r="D198" s="31" t="s">
        <v>101</v>
      </c>
      <c r="E198" s="31" t="s">
        <v>102</v>
      </c>
      <c r="F198" s="32" t="s">
        <v>103</v>
      </c>
      <c r="G198" s="31" t="s">
        <v>19</v>
      </c>
      <c r="H198" s="33">
        <v>2015.95</v>
      </c>
      <c r="I198" s="31">
        <v>5.75</v>
      </c>
      <c r="J198" s="31">
        <v>5.52</v>
      </c>
      <c r="K198" s="34">
        <v>0.96</v>
      </c>
      <c r="L198" s="31">
        <v>65.03</v>
      </c>
      <c r="M198" s="19">
        <f>H198*INDEX('Pliegos Tarifarios (Huechuraba)'!$B:$B,MATCH($B198,'Pliegos Tarifarios (Huechuraba)'!$A:$A,0))</f>
        <v>239571.46609999999</v>
      </c>
      <c r="N198" s="19">
        <f>I198*INDEX('Pliegos Tarifarios (Huechuraba)'!$C:$C,MATCH($B198,'Pliegos Tarifarios (Huechuraba)'!$A:$A,0))</f>
        <v>19721.677749999999</v>
      </c>
      <c r="O198" s="19">
        <f>J198*INDEX('Pliegos Tarifarios (Huechuraba)'!$D:$D,MATCH($B198,'Pliegos Tarifarios (Huechuraba)'!$A:$A,0))</f>
        <v>77988.878400000001</v>
      </c>
      <c r="P198" s="19">
        <f>H198*INDEX('Pliegos Tarifarios (Huechuraba)'!$E:$E,MATCH($B198,'Pliegos Tarifarios (Huechuraba)'!$A:$A,0))</f>
        <v>26070.2654</v>
      </c>
      <c r="Q198" s="19" cm="1">
        <f t="array" ref="Q198">H198*_xlfn.IFS(H198&lt;=350,INDEX('Pliegos Tarifarios (Huechuraba)'!$F:$F,MATCH($B198,'Pliegos Tarifarios (Huechuraba)'!$A:$A,0)),H198&lt;=500,INDEX('Pliegos Tarifarios (Huechuraba)'!$G:$G,MATCH($B198,'Pliegos Tarifarios (Huechuraba)'!$A:$A,0)),H198&lt;=1000,INDEX('Pliegos Tarifarios (Huechuraba)'!$H:$H,MATCH($B198,'Pliegos Tarifarios (Huechuraba)'!$A:$A,0)),H198&lt;=5000,INDEX('Pliegos Tarifarios (Huechuraba)'!$I:$I,MATCH($B198,'Pliegos Tarifarios (Huechuraba)'!$A:$A,0)),H198&gt;5000,INDEX('Pliegos Tarifarios (Huechuraba)'!$J:$J,MATCH($B198,'Pliegos Tarifarios (Huechuraba)'!$A:$A,0)))/1.19</f>
        <v>6049.5440756302523</v>
      </c>
      <c r="R198" s="19">
        <f>INDEX('Pliegos Tarifarios (Huechuraba)'!$K:$K,MATCH($B198,'Pliegos Tarifarios (Huechuraba)'!$A:$A,0))</f>
        <v>719.68899999999996</v>
      </c>
      <c r="S198" s="36">
        <f t="shared" si="9"/>
        <v>370121.52072563022</v>
      </c>
      <c r="T198" s="36">
        <f t="shared" si="10"/>
        <v>70323.088937869747</v>
      </c>
      <c r="U198" s="19">
        <v>0</v>
      </c>
      <c r="V198" s="36">
        <f t="shared" si="11"/>
        <v>440444.60966349998</v>
      </c>
    </row>
    <row r="199" spans="1:22" ht="23.4" thickBot="1" x14ac:dyDescent="0.35">
      <c r="A199" s="30" t="s">
        <v>146</v>
      </c>
      <c r="B199" s="31">
        <v>4</v>
      </c>
      <c r="C199" s="32" t="s">
        <v>15</v>
      </c>
      <c r="D199" s="31" t="s">
        <v>104</v>
      </c>
      <c r="E199" s="31" t="s">
        <v>105</v>
      </c>
      <c r="F199" s="32" t="s">
        <v>106</v>
      </c>
      <c r="G199" s="31" t="s">
        <v>19</v>
      </c>
      <c r="H199" s="33">
        <v>1506.31</v>
      </c>
      <c r="I199" s="31">
        <v>4.1900000000000004</v>
      </c>
      <c r="J199" s="31">
        <v>4.0999999999999996</v>
      </c>
      <c r="K199" s="34">
        <v>0.97799999999999998</v>
      </c>
      <c r="L199" s="31">
        <v>48.59</v>
      </c>
      <c r="M199" s="19">
        <f>H199*INDEX('Pliegos Tarifarios (Huechuraba)'!$B:$B,MATCH($B199,'Pliegos Tarifarios (Huechuraba)'!$A:$A,0))</f>
        <v>179006.86777999997</v>
      </c>
      <c r="N199" s="19">
        <f>I199*INDEX('Pliegos Tarifarios (Huechuraba)'!$C:$C,MATCH($B199,'Pliegos Tarifarios (Huechuraba)'!$A:$A,0))</f>
        <v>14371.100830000001</v>
      </c>
      <c r="O199" s="19">
        <f>J199*INDEX('Pliegos Tarifarios (Huechuraba)'!$D:$D,MATCH($B199,'Pliegos Tarifarios (Huechuraba)'!$A:$A,0))</f>
        <v>57926.521999999997</v>
      </c>
      <c r="P199" s="19">
        <f>H199*INDEX('Pliegos Tarifarios (Huechuraba)'!$E:$E,MATCH($B199,'Pliegos Tarifarios (Huechuraba)'!$A:$A,0))</f>
        <v>19479.600920000001</v>
      </c>
      <c r="Q199" s="19" cm="1">
        <f t="array" ref="Q199">H199*_xlfn.IFS(H199&lt;=350,INDEX('Pliegos Tarifarios (Huechuraba)'!$F:$F,MATCH($B199,'Pliegos Tarifarios (Huechuraba)'!$A:$A,0)),H199&lt;=500,INDEX('Pliegos Tarifarios (Huechuraba)'!$G:$G,MATCH($B199,'Pliegos Tarifarios (Huechuraba)'!$A:$A,0)),H199&lt;=1000,INDEX('Pliegos Tarifarios (Huechuraba)'!$H:$H,MATCH($B199,'Pliegos Tarifarios (Huechuraba)'!$A:$A,0)),H199&lt;=5000,INDEX('Pliegos Tarifarios (Huechuraba)'!$I:$I,MATCH($B199,'Pliegos Tarifarios (Huechuraba)'!$A:$A,0)),H199&gt;5000,INDEX('Pliegos Tarifarios (Huechuraba)'!$J:$J,MATCH($B199,'Pliegos Tarifarios (Huechuraba)'!$A:$A,0)))/1.19</f>
        <v>4520.1958067226888</v>
      </c>
      <c r="R199" s="19">
        <f>INDEX('Pliegos Tarifarios (Huechuraba)'!$K:$K,MATCH($B199,'Pliegos Tarifarios (Huechuraba)'!$A:$A,0))</f>
        <v>719.68899999999996</v>
      </c>
      <c r="S199" s="36">
        <f t="shared" si="9"/>
        <v>276023.97633672267</v>
      </c>
      <c r="T199" s="36">
        <f t="shared" si="10"/>
        <v>52444.55550397731</v>
      </c>
      <c r="U199" s="19">
        <v>0</v>
      </c>
      <c r="V199" s="36">
        <f t="shared" si="11"/>
        <v>328468.53184069996</v>
      </c>
    </row>
    <row r="200" spans="1:22" ht="23.4" thickBot="1" x14ac:dyDescent="0.35">
      <c r="A200" s="30" t="s">
        <v>146</v>
      </c>
      <c r="B200" s="31">
        <v>4</v>
      </c>
      <c r="C200" s="32" t="s">
        <v>15</v>
      </c>
      <c r="D200" s="31" t="s">
        <v>107</v>
      </c>
      <c r="E200" s="31" t="s">
        <v>108</v>
      </c>
      <c r="F200" s="32" t="s">
        <v>109</v>
      </c>
      <c r="G200" s="31" t="s">
        <v>33</v>
      </c>
      <c r="H200" s="31">
        <v>503.03</v>
      </c>
      <c r="I200" s="31">
        <v>1.4</v>
      </c>
      <c r="J200" s="31">
        <v>1.4</v>
      </c>
      <c r="K200" s="34">
        <v>1</v>
      </c>
      <c r="L200" s="31">
        <v>16.23</v>
      </c>
      <c r="M200" s="19">
        <f>H200*INDEX('Pliegos Tarifarios (Huechuraba)'!$B:$B,MATCH($B200,'Pliegos Tarifarios (Huechuraba)'!$A:$A,0))</f>
        <v>59779.079139999994</v>
      </c>
      <c r="N200" s="19">
        <f>I200*INDEX('Pliegos Tarifarios (Huechuraba)'!$C:$C,MATCH($B200,'Pliegos Tarifarios (Huechuraba)'!$A:$A,0))</f>
        <v>4801.7997999999998</v>
      </c>
      <c r="O200" s="19">
        <f>J200*INDEX('Pliegos Tarifarios (Huechuraba)'!$D:$D,MATCH($B200,'Pliegos Tarifarios (Huechuraba)'!$A:$A,0))</f>
        <v>19779.788</v>
      </c>
      <c r="P200" s="19">
        <f>H200*INDEX('Pliegos Tarifarios (Huechuraba)'!$E:$E,MATCH($B200,'Pliegos Tarifarios (Huechuraba)'!$A:$A,0))</f>
        <v>6505.1839599999994</v>
      </c>
      <c r="Q200" s="19" cm="1">
        <f t="array" ref="Q200">H200*_xlfn.IFS(H200&lt;=350,INDEX('Pliegos Tarifarios (Huechuraba)'!$F:$F,MATCH($B200,'Pliegos Tarifarios (Huechuraba)'!$A:$A,0)),H200&lt;=500,INDEX('Pliegos Tarifarios (Huechuraba)'!$G:$G,MATCH($B200,'Pliegos Tarifarios (Huechuraba)'!$A:$A,0)),H200&lt;=1000,INDEX('Pliegos Tarifarios (Huechuraba)'!$H:$H,MATCH($B200,'Pliegos Tarifarios (Huechuraba)'!$A:$A,0)),H200&lt;=5000,INDEX('Pliegos Tarifarios (Huechuraba)'!$I:$I,MATCH($B200,'Pliegos Tarifarios (Huechuraba)'!$A:$A,0)),H200&gt;5000,INDEX('Pliegos Tarifarios (Huechuraba)'!$J:$J,MATCH($B200,'Pliegos Tarifarios (Huechuraba)'!$A:$A,0)))/1.19</f>
        <v>1179.7955714285715</v>
      </c>
      <c r="R200" s="19">
        <f>INDEX('Pliegos Tarifarios (Huechuraba)'!$K:$K,MATCH($B200,'Pliegos Tarifarios (Huechuraba)'!$A:$A,0))</f>
        <v>719.68899999999996</v>
      </c>
      <c r="S200" s="36">
        <f t="shared" si="9"/>
        <v>92765.335471428567</v>
      </c>
      <c r="T200" s="36">
        <f t="shared" si="10"/>
        <v>17625.413739571428</v>
      </c>
      <c r="U200" s="19">
        <v>0</v>
      </c>
      <c r="V200" s="36">
        <f t="shared" si="11"/>
        <v>110390.74921099999</v>
      </c>
    </row>
    <row r="201" spans="1:22" ht="23.4" thickBot="1" x14ac:dyDescent="0.35">
      <c r="A201" s="30" t="s">
        <v>146</v>
      </c>
      <c r="B201" s="31">
        <v>4</v>
      </c>
      <c r="C201" s="32" t="s">
        <v>15</v>
      </c>
      <c r="D201" s="31" t="s">
        <v>110</v>
      </c>
      <c r="E201" s="31" t="s">
        <v>108</v>
      </c>
      <c r="F201" s="32" t="s">
        <v>111</v>
      </c>
      <c r="G201" s="31" t="s">
        <v>33</v>
      </c>
      <c r="H201" s="31">
        <v>925.77</v>
      </c>
      <c r="I201" s="31">
        <v>2.68</v>
      </c>
      <c r="J201" s="31">
        <v>2.5099999999999998</v>
      </c>
      <c r="K201" s="34">
        <v>0.93700000000000006</v>
      </c>
      <c r="L201" s="31">
        <v>29.86</v>
      </c>
      <c r="M201" s="19">
        <f>H201*INDEX('Pliegos Tarifarios (Huechuraba)'!$B:$B,MATCH($B201,'Pliegos Tarifarios (Huechuraba)'!$A:$A,0))</f>
        <v>110016.65525999998</v>
      </c>
      <c r="N201" s="19">
        <f>I201*INDEX('Pliegos Tarifarios (Huechuraba)'!$C:$C,MATCH($B201,'Pliegos Tarifarios (Huechuraba)'!$A:$A,0))</f>
        <v>9192.0167600000004</v>
      </c>
      <c r="O201" s="19">
        <f>J201*INDEX('Pliegos Tarifarios (Huechuraba)'!$D:$D,MATCH($B201,'Pliegos Tarifarios (Huechuraba)'!$A:$A,0))</f>
        <v>35462.334199999998</v>
      </c>
      <c r="P201" s="19">
        <f>H201*INDEX('Pliegos Tarifarios (Huechuraba)'!$E:$E,MATCH($B201,'Pliegos Tarifarios (Huechuraba)'!$A:$A,0))</f>
        <v>11972.057640000001</v>
      </c>
      <c r="Q201" s="19" cm="1">
        <f t="array" ref="Q201">H201*_xlfn.IFS(H201&lt;=350,INDEX('Pliegos Tarifarios (Huechuraba)'!$F:$F,MATCH($B201,'Pliegos Tarifarios (Huechuraba)'!$A:$A,0)),H201&lt;=500,INDEX('Pliegos Tarifarios (Huechuraba)'!$G:$G,MATCH($B201,'Pliegos Tarifarios (Huechuraba)'!$A:$A,0)),H201&lt;=1000,INDEX('Pliegos Tarifarios (Huechuraba)'!$H:$H,MATCH($B201,'Pliegos Tarifarios (Huechuraba)'!$A:$A,0)),H201&lt;=5000,INDEX('Pliegos Tarifarios (Huechuraba)'!$I:$I,MATCH($B201,'Pliegos Tarifarios (Huechuraba)'!$A:$A,0)),H201&gt;5000,INDEX('Pliegos Tarifarios (Huechuraba)'!$J:$J,MATCH($B201,'Pliegos Tarifarios (Huechuraba)'!$A:$A,0)))/1.19</f>
        <v>2171.2807310924372</v>
      </c>
      <c r="R201" s="19">
        <f>INDEX('Pliegos Tarifarios (Huechuraba)'!$K:$K,MATCH($B201,'Pliegos Tarifarios (Huechuraba)'!$A:$A,0))</f>
        <v>719.68899999999996</v>
      </c>
      <c r="S201" s="36">
        <f t="shared" si="9"/>
        <v>169534.03359109245</v>
      </c>
      <c r="T201" s="36">
        <f t="shared" si="10"/>
        <v>32211.466382307564</v>
      </c>
      <c r="U201" s="19">
        <v>0</v>
      </c>
      <c r="V201" s="36">
        <f t="shared" si="11"/>
        <v>201745.4999734</v>
      </c>
    </row>
    <row r="202" spans="1:22" ht="23.4" thickBot="1" x14ac:dyDescent="0.35">
      <c r="A202" s="30" t="s">
        <v>146</v>
      </c>
      <c r="B202" s="31">
        <v>4</v>
      </c>
      <c r="C202" s="32" t="s">
        <v>15</v>
      </c>
      <c r="D202" s="31" t="s">
        <v>112</v>
      </c>
      <c r="E202" s="31" t="s">
        <v>113</v>
      </c>
      <c r="F202" s="32" t="s">
        <v>114</v>
      </c>
      <c r="G202" s="31" t="s">
        <v>33</v>
      </c>
      <c r="H202" s="31">
        <v>335.58</v>
      </c>
      <c r="I202" s="31">
        <v>0.97</v>
      </c>
      <c r="J202" s="31">
        <v>0.92</v>
      </c>
      <c r="K202" s="34">
        <v>0.95399999999999996</v>
      </c>
      <c r="L202" s="31">
        <v>10.83</v>
      </c>
      <c r="M202" s="19">
        <f>H202*INDEX('Pliegos Tarifarios (Huechuraba)'!$B:$B,MATCH($B202,'Pliegos Tarifarios (Huechuraba)'!$A:$A,0))</f>
        <v>39879.656039999994</v>
      </c>
      <c r="N202" s="19">
        <f>I202*INDEX('Pliegos Tarifarios (Huechuraba)'!$C:$C,MATCH($B202,'Pliegos Tarifarios (Huechuraba)'!$A:$A,0))</f>
        <v>3326.9612899999997</v>
      </c>
      <c r="O202" s="19">
        <f>J202*INDEX('Pliegos Tarifarios (Huechuraba)'!$D:$D,MATCH($B202,'Pliegos Tarifarios (Huechuraba)'!$A:$A,0))</f>
        <v>12998.146400000001</v>
      </c>
      <c r="P202" s="19">
        <f>H202*INDEX('Pliegos Tarifarios (Huechuraba)'!$E:$E,MATCH($B202,'Pliegos Tarifarios (Huechuraba)'!$A:$A,0))</f>
        <v>4339.7205599999998</v>
      </c>
      <c r="Q202" s="19" cm="1">
        <f t="array" ref="Q202">H202*_xlfn.IFS(H202&lt;=350,INDEX('Pliegos Tarifarios (Huechuraba)'!$F:$F,MATCH($B202,'Pliegos Tarifarios (Huechuraba)'!$A:$A,0)),H202&lt;=500,INDEX('Pliegos Tarifarios (Huechuraba)'!$G:$G,MATCH($B202,'Pliegos Tarifarios (Huechuraba)'!$A:$A,0)),H202&lt;=1000,INDEX('Pliegos Tarifarios (Huechuraba)'!$H:$H,MATCH($B202,'Pliegos Tarifarios (Huechuraba)'!$A:$A,0)),H202&lt;=5000,INDEX('Pliegos Tarifarios (Huechuraba)'!$I:$I,MATCH($B202,'Pliegos Tarifarios (Huechuraba)'!$A:$A,0)),H202&gt;5000,INDEX('Pliegos Tarifarios (Huechuraba)'!$J:$J,MATCH($B202,'Pliegos Tarifarios (Huechuraba)'!$A:$A,0)))/1.19</f>
        <v>221.08799999999999</v>
      </c>
      <c r="R202" s="19">
        <f>INDEX('Pliegos Tarifarios (Huechuraba)'!$K:$K,MATCH($B202,'Pliegos Tarifarios (Huechuraba)'!$A:$A,0))</f>
        <v>719.68899999999996</v>
      </c>
      <c r="S202" s="36">
        <f t="shared" si="9"/>
        <v>61485.261289999995</v>
      </c>
      <c r="T202" s="36">
        <f t="shared" si="10"/>
        <v>11682.1996451</v>
      </c>
      <c r="U202" s="19">
        <v>0</v>
      </c>
      <c r="V202" s="36">
        <f t="shared" si="11"/>
        <v>73167.460935099996</v>
      </c>
    </row>
    <row r="203" spans="1:22" ht="23.4" thickBot="1" x14ac:dyDescent="0.35">
      <c r="A203" s="30" t="s">
        <v>146</v>
      </c>
      <c r="B203" s="31">
        <v>4</v>
      </c>
      <c r="C203" s="32" t="s">
        <v>15</v>
      </c>
      <c r="D203" s="31" t="s">
        <v>115</v>
      </c>
      <c r="E203" s="31" t="s">
        <v>116</v>
      </c>
      <c r="F203" s="32" t="s">
        <v>117</v>
      </c>
      <c r="G203" s="31" t="s">
        <v>33</v>
      </c>
      <c r="H203" s="31">
        <v>377.4</v>
      </c>
      <c r="I203" s="31">
        <v>1.07</v>
      </c>
      <c r="J203" s="31">
        <v>1.03</v>
      </c>
      <c r="K203" s="34">
        <v>0.96799999999999997</v>
      </c>
      <c r="L203" s="31">
        <v>12.17</v>
      </c>
      <c r="M203" s="19">
        <f>H203*INDEX('Pliegos Tarifarios (Huechuraba)'!$B:$B,MATCH($B203,'Pliegos Tarifarios (Huechuraba)'!$A:$A,0))</f>
        <v>44849.461199999998</v>
      </c>
      <c r="N203" s="19">
        <f>I203*INDEX('Pliegos Tarifarios (Huechuraba)'!$C:$C,MATCH($B203,'Pliegos Tarifarios (Huechuraba)'!$A:$A,0))</f>
        <v>3669.9469900000004</v>
      </c>
      <c r="O203" s="19">
        <f>J203*INDEX('Pliegos Tarifarios (Huechuraba)'!$D:$D,MATCH($B203,'Pliegos Tarifarios (Huechuraba)'!$A:$A,0))</f>
        <v>14552.2726</v>
      </c>
      <c r="P203" s="19">
        <f>H203*INDEX('Pliegos Tarifarios (Huechuraba)'!$E:$E,MATCH($B203,'Pliegos Tarifarios (Huechuraba)'!$A:$A,0))</f>
        <v>4880.5367999999999</v>
      </c>
      <c r="Q203" s="19" cm="1">
        <f t="array" ref="Q203">H203*_xlfn.IFS(H203&lt;=350,INDEX('Pliegos Tarifarios (Huechuraba)'!$F:$F,MATCH($B203,'Pliegos Tarifarios (Huechuraba)'!$A:$A,0)),H203&lt;=500,INDEX('Pliegos Tarifarios (Huechuraba)'!$G:$G,MATCH($B203,'Pliegos Tarifarios (Huechuraba)'!$A:$A,0)),H203&lt;=1000,INDEX('Pliegos Tarifarios (Huechuraba)'!$H:$H,MATCH($B203,'Pliegos Tarifarios (Huechuraba)'!$A:$A,0)),H203&lt;=5000,INDEX('Pliegos Tarifarios (Huechuraba)'!$I:$I,MATCH($B203,'Pliegos Tarifarios (Huechuraba)'!$A:$A,0)),H203&gt;5000,INDEX('Pliegos Tarifarios (Huechuraba)'!$J:$J,MATCH($B203,'Pliegos Tarifarios (Huechuraba)'!$A:$A,0)))/1.19</f>
        <v>531.53142857142859</v>
      </c>
      <c r="R203" s="19">
        <f>INDEX('Pliegos Tarifarios (Huechuraba)'!$K:$K,MATCH($B203,'Pliegos Tarifarios (Huechuraba)'!$A:$A,0))</f>
        <v>719.68899999999996</v>
      </c>
      <c r="S203" s="36">
        <f t="shared" si="9"/>
        <v>69203.438018571425</v>
      </c>
      <c r="T203" s="36">
        <f t="shared" si="10"/>
        <v>13148.65322352857</v>
      </c>
      <c r="U203" s="19">
        <v>0</v>
      </c>
      <c r="V203" s="36">
        <f t="shared" si="11"/>
        <v>82352.091242099996</v>
      </c>
    </row>
    <row r="204" spans="1:22" ht="23.4" thickBot="1" x14ac:dyDescent="0.35">
      <c r="A204" s="30" t="s">
        <v>146</v>
      </c>
      <c r="B204" s="31">
        <v>4</v>
      </c>
      <c r="C204" s="32" t="s">
        <v>15</v>
      </c>
      <c r="D204" s="31" t="s">
        <v>118</v>
      </c>
      <c r="E204" s="31" t="s">
        <v>119</v>
      </c>
      <c r="F204" s="32" t="s">
        <v>120</v>
      </c>
      <c r="G204" s="31" t="s">
        <v>33</v>
      </c>
      <c r="H204" s="31">
        <v>62.88</v>
      </c>
      <c r="I204" s="31">
        <v>0.18</v>
      </c>
      <c r="J204" s="31">
        <v>0.18</v>
      </c>
      <c r="K204" s="34">
        <v>1</v>
      </c>
      <c r="L204" s="31">
        <v>2.0299999999999998</v>
      </c>
      <c r="M204" s="19">
        <f>H204*INDEX('Pliegos Tarifarios (Huechuraba)'!$B:$B,MATCH($B204,'Pliegos Tarifarios (Huechuraba)'!$A:$A,0))</f>
        <v>7472.5334400000002</v>
      </c>
      <c r="N204" s="19">
        <f>I204*INDEX('Pliegos Tarifarios (Huechuraba)'!$C:$C,MATCH($B204,'Pliegos Tarifarios (Huechuraba)'!$A:$A,0))</f>
        <v>617.37425999999994</v>
      </c>
      <c r="O204" s="19">
        <f>J204*INDEX('Pliegos Tarifarios (Huechuraba)'!$D:$D,MATCH($B204,'Pliegos Tarifarios (Huechuraba)'!$A:$A,0))</f>
        <v>2543.1156000000001</v>
      </c>
      <c r="P204" s="19">
        <f>H204*INDEX('Pliegos Tarifarios (Huechuraba)'!$E:$E,MATCH($B204,'Pliegos Tarifarios (Huechuraba)'!$A:$A,0))</f>
        <v>813.16416000000004</v>
      </c>
      <c r="Q204" s="19" cm="1">
        <f t="array" ref="Q204">H204*_xlfn.IFS(H204&lt;=350,INDEX('Pliegos Tarifarios (Huechuraba)'!$F:$F,MATCH($B204,'Pliegos Tarifarios (Huechuraba)'!$A:$A,0)),H204&lt;=500,INDEX('Pliegos Tarifarios (Huechuraba)'!$G:$G,MATCH($B204,'Pliegos Tarifarios (Huechuraba)'!$A:$A,0)),H204&lt;=1000,INDEX('Pliegos Tarifarios (Huechuraba)'!$H:$H,MATCH($B204,'Pliegos Tarifarios (Huechuraba)'!$A:$A,0)),H204&lt;=5000,INDEX('Pliegos Tarifarios (Huechuraba)'!$I:$I,MATCH($B204,'Pliegos Tarifarios (Huechuraba)'!$A:$A,0)),H204&gt;5000,INDEX('Pliegos Tarifarios (Huechuraba)'!$J:$J,MATCH($B204,'Pliegos Tarifarios (Huechuraba)'!$A:$A,0)))/1.19</f>
        <v>41.42682352941177</v>
      </c>
      <c r="R204" s="19">
        <f>INDEX('Pliegos Tarifarios (Huechuraba)'!$K:$K,MATCH($B204,'Pliegos Tarifarios (Huechuraba)'!$A:$A,0))</f>
        <v>719.68899999999996</v>
      </c>
      <c r="S204" s="36">
        <f t="shared" si="9"/>
        <v>12207.303283529413</v>
      </c>
      <c r="T204" s="36">
        <f t="shared" si="10"/>
        <v>2319.3876238705884</v>
      </c>
      <c r="U204" s="19">
        <v>0</v>
      </c>
      <c r="V204" s="36">
        <f t="shared" si="11"/>
        <v>14526.690907400001</v>
      </c>
    </row>
    <row r="205" spans="1:22" ht="23.4" thickBot="1" x14ac:dyDescent="0.35">
      <c r="A205" s="30" t="s">
        <v>146</v>
      </c>
      <c r="B205" s="31">
        <v>4</v>
      </c>
      <c r="C205" s="32" t="s">
        <v>15</v>
      </c>
      <c r="D205" s="31" t="s">
        <v>121</v>
      </c>
      <c r="E205" s="31" t="s">
        <v>119</v>
      </c>
      <c r="F205" s="32" t="s">
        <v>122</v>
      </c>
      <c r="G205" s="31" t="s">
        <v>33</v>
      </c>
      <c r="H205" s="31">
        <v>62.91</v>
      </c>
      <c r="I205" s="31">
        <v>0.18</v>
      </c>
      <c r="J205" s="31">
        <v>0.17</v>
      </c>
      <c r="K205" s="34">
        <v>0.97799999999999998</v>
      </c>
      <c r="L205" s="31">
        <v>2.0299999999999998</v>
      </c>
      <c r="M205" s="19">
        <f>H205*INDEX('Pliegos Tarifarios (Huechuraba)'!$B:$B,MATCH($B205,'Pliegos Tarifarios (Huechuraba)'!$A:$A,0))</f>
        <v>7476.0985799999989</v>
      </c>
      <c r="N205" s="19">
        <f>I205*INDEX('Pliegos Tarifarios (Huechuraba)'!$C:$C,MATCH($B205,'Pliegos Tarifarios (Huechuraba)'!$A:$A,0))</f>
        <v>617.37425999999994</v>
      </c>
      <c r="O205" s="19">
        <f>J205*INDEX('Pliegos Tarifarios (Huechuraba)'!$D:$D,MATCH($B205,'Pliegos Tarifarios (Huechuraba)'!$A:$A,0))</f>
        <v>2401.8314</v>
      </c>
      <c r="P205" s="19">
        <f>H205*INDEX('Pliegos Tarifarios (Huechuraba)'!$E:$E,MATCH($B205,'Pliegos Tarifarios (Huechuraba)'!$A:$A,0))</f>
        <v>813.55211999999995</v>
      </c>
      <c r="Q205" s="19" cm="1">
        <f t="array" ref="Q205">H205*_xlfn.IFS(H205&lt;=350,INDEX('Pliegos Tarifarios (Huechuraba)'!$F:$F,MATCH($B205,'Pliegos Tarifarios (Huechuraba)'!$A:$A,0)),H205&lt;=500,INDEX('Pliegos Tarifarios (Huechuraba)'!$G:$G,MATCH($B205,'Pliegos Tarifarios (Huechuraba)'!$A:$A,0)),H205&lt;=1000,INDEX('Pliegos Tarifarios (Huechuraba)'!$H:$H,MATCH($B205,'Pliegos Tarifarios (Huechuraba)'!$A:$A,0)),H205&lt;=5000,INDEX('Pliegos Tarifarios (Huechuraba)'!$I:$I,MATCH($B205,'Pliegos Tarifarios (Huechuraba)'!$A:$A,0)),H205&gt;5000,INDEX('Pliegos Tarifarios (Huechuraba)'!$J:$J,MATCH($B205,'Pliegos Tarifarios (Huechuraba)'!$A:$A,0)))/1.19</f>
        <v>41.446588235294122</v>
      </c>
      <c r="R205" s="19">
        <f>INDEX('Pliegos Tarifarios (Huechuraba)'!$K:$K,MATCH($B205,'Pliegos Tarifarios (Huechuraba)'!$A:$A,0))</f>
        <v>719.68899999999996</v>
      </c>
      <c r="S205" s="36">
        <f t="shared" si="9"/>
        <v>12069.991948235293</v>
      </c>
      <c r="T205" s="36">
        <f t="shared" si="10"/>
        <v>2293.2984701647056</v>
      </c>
      <c r="U205" s="19">
        <v>0</v>
      </c>
      <c r="V205" s="36">
        <f t="shared" si="11"/>
        <v>14363.290418399998</v>
      </c>
    </row>
    <row r="206" spans="1:22" ht="23.4" thickBot="1" x14ac:dyDescent="0.35">
      <c r="A206" s="30" t="s">
        <v>146</v>
      </c>
      <c r="B206" s="31">
        <v>4</v>
      </c>
      <c r="C206" s="32" t="s">
        <v>15</v>
      </c>
      <c r="D206" s="31" t="s">
        <v>123</v>
      </c>
      <c r="E206" s="31" t="s">
        <v>124</v>
      </c>
      <c r="F206" s="32" t="s">
        <v>125</v>
      </c>
      <c r="G206" s="31" t="s">
        <v>33</v>
      </c>
      <c r="H206" s="31">
        <v>62.92</v>
      </c>
      <c r="I206" s="31">
        <v>0.18</v>
      </c>
      <c r="J206" s="31">
        <v>0.17</v>
      </c>
      <c r="K206" s="34">
        <v>0.96</v>
      </c>
      <c r="L206" s="31">
        <v>2.0299999999999998</v>
      </c>
      <c r="M206" s="19">
        <f>H206*INDEX('Pliegos Tarifarios (Huechuraba)'!$B:$B,MATCH($B206,'Pliegos Tarifarios (Huechuraba)'!$A:$A,0))</f>
        <v>7477.2869599999995</v>
      </c>
      <c r="N206" s="19">
        <f>I206*INDEX('Pliegos Tarifarios (Huechuraba)'!$C:$C,MATCH($B206,'Pliegos Tarifarios (Huechuraba)'!$A:$A,0))</f>
        <v>617.37425999999994</v>
      </c>
      <c r="O206" s="19">
        <f>J206*INDEX('Pliegos Tarifarios (Huechuraba)'!$D:$D,MATCH($B206,'Pliegos Tarifarios (Huechuraba)'!$A:$A,0))</f>
        <v>2401.8314</v>
      </c>
      <c r="P206" s="19">
        <f>H206*INDEX('Pliegos Tarifarios (Huechuraba)'!$E:$E,MATCH($B206,'Pliegos Tarifarios (Huechuraba)'!$A:$A,0))</f>
        <v>813.68144000000007</v>
      </c>
      <c r="Q206" s="19" cm="1">
        <f t="array" ref="Q206">H206*_xlfn.IFS(H206&lt;=350,INDEX('Pliegos Tarifarios (Huechuraba)'!$F:$F,MATCH($B206,'Pliegos Tarifarios (Huechuraba)'!$A:$A,0)),H206&lt;=500,INDEX('Pliegos Tarifarios (Huechuraba)'!$G:$G,MATCH($B206,'Pliegos Tarifarios (Huechuraba)'!$A:$A,0)),H206&lt;=1000,INDEX('Pliegos Tarifarios (Huechuraba)'!$H:$H,MATCH($B206,'Pliegos Tarifarios (Huechuraba)'!$A:$A,0)),H206&lt;=5000,INDEX('Pliegos Tarifarios (Huechuraba)'!$I:$I,MATCH($B206,'Pliegos Tarifarios (Huechuraba)'!$A:$A,0)),H206&gt;5000,INDEX('Pliegos Tarifarios (Huechuraba)'!$J:$J,MATCH($B206,'Pliegos Tarifarios (Huechuraba)'!$A:$A,0)))/1.19</f>
        <v>41.45317647058824</v>
      </c>
      <c r="R206" s="19">
        <f>INDEX('Pliegos Tarifarios (Huechuraba)'!$K:$K,MATCH($B206,'Pliegos Tarifarios (Huechuraba)'!$A:$A,0))</f>
        <v>719.68899999999996</v>
      </c>
      <c r="S206" s="36">
        <f t="shared" si="9"/>
        <v>12071.316236470588</v>
      </c>
      <c r="T206" s="36">
        <f t="shared" si="10"/>
        <v>2293.5500849294117</v>
      </c>
      <c r="U206" s="19">
        <v>0</v>
      </c>
      <c r="V206" s="36">
        <f t="shared" si="11"/>
        <v>14364.866321399999</v>
      </c>
    </row>
    <row r="207" spans="1:22" ht="23.4" thickBot="1" x14ac:dyDescent="0.35">
      <c r="A207" s="30" t="s">
        <v>146</v>
      </c>
      <c r="B207" s="31">
        <v>4</v>
      </c>
      <c r="C207" s="32" t="s">
        <v>15</v>
      </c>
      <c r="D207" s="31" t="s">
        <v>126</v>
      </c>
      <c r="E207" s="31" t="s">
        <v>124</v>
      </c>
      <c r="F207" s="32" t="s">
        <v>127</v>
      </c>
      <c r="G207" s="31" t="s">
        <v>33</v>
      </c>
      <c r="H207" s="31">
        <v>104.94</v>
      </c>
      <c r="I207" s="31">
        <v>0.3</v>
      </c>
      <c r="J207" s="31">
        <v>0.28999999999999998</v>
      </c>
      <c r="K207" s="34">
        <v>0.97299999999999998</v>
      </c>
      <c r="L207" s="31">
        <v>3.39</v>
      </c>
      <c r="M207" s="19">
        <f>H207*INDEX('Pliegos Tarifarios (Huechuraba)'!$B:$B,MATCH($B207,'Pliegos Tarifarios (Huechuraba)'!$A:$A,0))</f>
        <v>12470.859719999999</v>
      </c>
      <c r="N207" s="19">
        <f>I207*INDEX('Pliegos Tarifarios (Huechuraba)'!$C:$C,MATCH($B207,'Pliegos Tarifarios (Huechuraba)'!$A:$A,0))</f>
        <v>1028.9570999999999</v>
      </c>
      <c r="O207" s="19">
        <f>J207*INDEX('Pliegos Tarifarios (Huechuraba)'!$D:$D,MATCH($B207,'Pliegos Tarifarios (Huechuraba)'!$A:$A,0))</f>
        <v>4097.2417999999998</v>
      </c>
      <c r="P207" s="19">
        <f>H207*INDEX('Pliegos Tarifarios (Huechuraba)'!$E:$E,MATCH($B207,'Pliegos Tarifarios (Huechuraba)'!$A:$A,0))</f>
        <v>1357.0840800000001</v>
      </c>
      <c r="Q207" s="19" cm="1">
        <f t="array" ref="Q207">H207*_xlfn.IFS(H207&lt;=350,INDEX('Pliegos Tarifarios (Huechuraba)'!$F:$F,MATCH($B207,'Pliegos Tarifarios (Huechuraba)'!$A:$A,0)),H207&lt;=500,INDEX('Pliegos Tarifarios (Huechuraba)'!$G:$G,MATCH($B207,'Pliegos Tarifarios (Huechuraba)'!$A:$A,0)),H207&lt;=1000,INDEX('Pliegos Tarifarios (Huechuraba)'!$H:$H,MATCH($B207,'Pliegos Tarifarios (Huechuraba)'!$A:$A,0)),H207&lt;=5000,INDEX('Pliegos Tarifarios (Huechuraba)'!$I:$I,MATCH($B207,'Pliegos Tarifarios (Huechuraba)'!$A:$A,0)),H207&gt;5000,INDEX('Pliegos Tarifarios (Huechuraba)'!$J:$J,MATCH($B207,'Pliegos Tarifarios (Huechuraba)'!$A:$A,0)))/1.19</f>
        <v>69.136941176470586</v>
      </c>
      <c r="R207" s="19">
        <f>INDEX('Pliegos Tarifarios (Huechuraba)'!$K:$K,MATCH($B207,'Pliegos Tarifarios (Huechuraba)'!$A:$A,0))</f>
        <v>719.68899999999996</v>
      </c>
      <c r="S207" s="36">
        <f t="shared" si="9"/>
        <v>19742.968641176467</v>
      </c>
      <c r="T207" s="36">
        <f t="shared" si="10"/>
        <v>3751.1640418235288</v>
      </c>
      <c r="U207" s="19">
        <v>0</v>
      </c>
      <c r="V207" s="36">
        <f t="shared" si="11"/>
        <v>23494.132682999996</v>
      </c>
    </row>
    <row r="208" spans="1:22" ht="23.4" thickBot="1" x14ac:dyDescent="0.35">
      <c r="A208" s="30" t="s">
        <v>146</v>
      </c>
      <c r="B208" s="31">
        <v>4</v>
      </c>
      <c r="C208" s="32" t="s">
        <v>15</v>
      </c>
      <c r="D208" s="31" t="s">
        <v>128</v>
      </c>
      <c r="E208" s="31" t="s">
        <v>124</v>
      </c>
      <c r="F208" s="32" t="s">
        <v>129</v>
      </c>
      <c r="G208" s="31" t="s">
        <v>33</v>
      </c>
      <c r="H208" s="31">
        <v>62.96</v>
      </c>
      <c r="I208" s="31">
        <v>0.18</v>
      </c>
      <c r="J208" s="31">
        <v>0.18</v>
      </c>
      <c r="K208" s="34">
        <v>1</v>
      </c>
      <c r="L208" s="31">
        <v>2.0299999999999998</v>
      </c>
      <c r="M208" s="19">
        <f>H208*INDEX('Pliegos Tarifarios (Huechuraba)'!$B:$B,MATCH($B208,'Pliegos Tarifarios (Huechuraba)'!$A:$A,0))</f>
        <v>7482.0404799999997</v>
      </c>
      <c r="N208" s="19">
        <f>I208*INDEX('Pliegos Tarifarios (Huechuraba)'!$C:$C,MATCH($B208,'Pliegos Tarifarios (Huechuraba)'!$A:$A,0))</f>
        <v>617.37425999999994</v>
      </c>
      <c r="O208" s="19">
        <f>J208*INDEX('Pliegos Tarifarios (Huechuraba)'!$D:$D,MATCH($B208,'Pliegos Tarifarios (Huechuraba)'!$A:$A,0))</f>
        <v>2543.1156000000001</v>
      </c>
      <c r="P208" s="19">
        <f>H208*INDEX('Pliegos Tarifarios (Huechuraba)'!$E:$E,MATCH($B208,'Pliegos Tarifarios (Huechuraba)'!$A:$A,0))</f>
        <v>814.19871999999998</v>
      </c>
      <c r="Q208" s="19" cm="1">
        <f t="array" ref="Q208">H208*_xlfn.IFS(H208&lt;=350,INDEX('Pliegos Tarifarios (Huechuraba)'!$F:$F,MATCH($B208,'Pliegos Tarifarios (Huechuraba)'!$A:$A,0)),H208&lt;=500,INDEX('Pliegos Tarifarios (Huechuraba)'!$G:$G,MATCH($B208,'Pliegos Tarifarios (Huechuraba)'!$A:$A,0)),H208&lt;=1000,INDEX('Pliegos Tarifarios (Huechuraba)'!$H:$H,MATCH($B208,'Pliegos Tarifarios (Huechuraba)'!$A:$A,0)),H208&lt;=5000,INDEX('Pliegos Tarifarios (Huechuraba)'!$I:$I,MATCH($B208,'Pliegos Tarifarios (Huechuraba)'!$A:$A,0)),H208&gt;5000,INDEX('Pliegos Tarifarios (Huechuraba)'!$J:$J,MATCH($B208,'Pliegos Tarifarios (Huechuraba)'!$A:$A,0)))/1.19</f>
        <v>41.479529411764709</v>
      </c>
      <c r="R208" s="19">
        <f>INDEX('Pliegos Tarifarios (Huechuraba)'!$K:$K,MATCH($B208,'Pliegos Tarifarios (Huechuraba)'!$A:$A,0))</f>
        <v>719.68899999999996</v>
      </c>
      <c r="S208" s="36">
        <f t="shared" si="9"/>
        <v>12217.897589411765</v>
      </c>
      <c r="T208" s="36">
        <f t="shared" si="10"/>
        <v>2321.4005419882355</v>
      </c>
      <c r="U208" s="19">
        <v>0</v>
      </c>
      <c r="V208" s="36">
        <f t="shared" si="11"/>
        <v>14539.298131400001</v>
      </c>
    </row>
    <row r="209" spans="1:22" ht="23.4" thickBot="1" x14ac:dyDescent="0.35">
      <c r="A209" s="30" t="s">
        <v>146</v>
      </c>
      <c r="B209" s="31">
        <v>4</v>
      </c>
      <c r="C209" s="32" t="s">
        <v>15</v>
      </c>
      <c r="D209" s="31" t="s">
        <v>130</v>
      </c>
      <c r="E209" s="31" t="s">
        <v>124</v>
      </c>
      <c r="F209" s="32" t="s">
        <v>131</v>
      </c>
      <c r="G209" s="31" t="s">
        <v>33</v>
      </c>
      <c r="H209" s="31">
        <v>63.03</v>
      </c>
      <c r="I209" s="31">
        <v>0.18</v>
      </c>
      <c r="J209" s="31">
        <v>0.17</v>
      </c>
      <c r="K209" s="34">
        <v>0.97399999999999998</v>
      </c>
      <c r="L209" s="31">
        <v>2.0299999999999998</v>
      </c>
      <c r="M209" s="19">
        <f>H209*INDEX('Pliegos Tarifarios (Huechuraba)'!$B:$B,MATCH($B209,'Pliegos Tarifarios (Huechuraba)'!$A:$A,0))</f>
        <v>7490.3591399999996</v>
      </c>
      <c r="N209" s="19">
        <f>I209*INDEX('Pliegos Tarifarios (Huechuraba)'!$C:$C,MATCH($B209,'Pliegos Tarifarios (Huechuraba)'!$A:$A,0))</f>
        <v>617.37425999999994</v>
      </c>
      <c r="O209" s="19">
        <f>J209*INDEX('Pliegos Tarifarios (Huechuraba)'!$D:$D,MATCH($B209,'Pliegos Tarifarios (Huechuraba)'!$A:$A,0))</f>
        <v>2401.8314</v>
      </c>
      <c r="P209" s="19">
        <f>H209*INDEX('Pliegos Tarifarios (Huechuraba)'!$E:$E,MATCH($B209,'Pliegos Tarifarios (Huechuraba)'!$A:$A,0))</f>
        <v>815.10396000000003</v>
      </c>
      <c r="Q209" s="19" cm="1">
        <f t="array" ref="Q209">H209*_xlfn.IFS(H209&lt;=350,INDEX('Pliegos Tarifarios (Huechuraba)'!$F:$F,MATCH($B209,'Pliegos Tarifarios (Huechuraba)'!$A:$A,0)),H209&lt;=500,INDEX('Pliegos Tarifarios (Huechuraba)'!$G:$G,MATCH($B209,'Pliegos Tarifarios (Huechuraba)'!$A:$A,0)),H209&lt;=1000,INDEX('Pliegos Tarifarios (Huechuraba)'!$H:$H,MATCH($B209,'Pliegos Tarifarios (Huechuraba)'!$A:$A,0)),H209&lt;=5000,INDEX('Pliegos Tarifarios (Huechuraba)'!$I:$I,MATCH($B209,'Pliegos Tarifarios (Huechuraba)'!$A:$A,0)),H209&gt;5000,INDEX('Pliegos Tarifarios (Huechuraba)'!$J:$J,MATCH($B209,'Pliegos Tarifarios (Huechuraba)'!$A:$A,0)))/1.19</f>
        <v>41.52564705882353</v>
      </c>
      <c r="R209" s="19">
        <f>INDEX('Pliegos Tarifarios (Huechuraba)'!$K:$K,MATCH($B209,'Pliegos Tarifarios (Huechuraba)'!$A:$A,0))</f>
        <v>719.68899999999996</v>
      </c>
      <c r="S209" s="36">
        <f t="shared" si="9"/>
        <v>12085.883407058824</v>
      </c>
      <c r="T209" s="36">
        <f t="shared" si="10"/>
        <v>2296.3178473411767</v>
      </c>
      <c r="U209" s="19">
        <v>0</v>
      </c>
      <c r="V209" s="36">
        <f t="shared" si="11"/>
        <v>14382.201254400001</v>
      </c>
    </row>
    <row r="210" spans="1:22" ht="23.4" thickBot="1" x14ac:dyDescent="0.35">
      <c r="A210" s="30" t="s">
        <v>146</v>
      </c>
      <c r="B210" s="31">
        <v>4</v>
      </c>
      <c r="C210" s="32" t="s">
        <v>15</v>
      </c>
      <c r="D210" s="31" t="s">
        <v>132</v>
      </c>
      <c r="E210" s="31" t="s">
        <v>124</v>
      </c>
      <c r="F210" s="32" t="s">
        <v>133</v>
      </c>
      <c r="G210" s="31" t="s">
        <v>33</v>
      </c>
      <c r="H210" s="31">
        <v>62.94</v>
      </c>
      <c r="I210" s="31">
        <v>0.18</v>
      </c>
      <c r="J210" s="31">
        <v>0.17</v>
      </c>
      <c r="K210" s="34">
        <v>0.99399999999999999</v>
      </c>
      <c r="L210" s="31">
        <v>2.0299999999999998</v>
      </c>
      <c r="M210" s="19">
        <f>H210*INDEX('Pliegos Tarifarios (Huechuraba)'!$B:$B,MATCH($B210,'Pliegos Tarifarios (Huechuraba)'!$A:$A,0))</f>
        <v>7479.6637199999996</v>
      </c>
      <c r="N210" s="19">
        <f>I210*INDEX('Pliegos Tarifarios (Huechuraba)'!$C:$C,MATCH($B210,'Pliegos Tarifarios (Huechuraba)'!$A:$A,0))</f>
        <v>617.37425999999994</v>
      </c>
      <c r="O210" s="19">
        <f>J210*INDEX('Pliegos Tarifarios (Huechuraba)'!$D:$D,MATCH($B210,'Pliegos Tarifarios (Huechuraba)'!$A:$A,0))</f>
        <v>2401.8314</v>
      </c>
      <c r="P210" s="19">
        <f>H210*INDEX('Pliegos Tarifarios (Huechuraba)'!$E:$E,MATCH($B210,'Pliegos Tarifarios (Huechuraba)'!$A:$A,0))</f>
        <v>813.94007999999997</v>
      </c>
      <c r="Q210" s="19" cm="1">
        <f t="array" ref="Q210">H210*_xlfn.IFS(H210&lt;=350,INDEX('Pliegos Tarifarios (Huechuraba)'!$F:$F,MATCH($B210,'Pliegos Tarifarios (Huechuraba)'!$A:$A,0)),H210&lt;=500,INDEX('Pliegos Tarifarios (Huechuraba)'!$G:$G,MATCH($B210,'Pliegos Tarifarios (Huechuraba)'!$A:$A,0)),H210&lt;=1000,INDEX('Pliegos Tarifarios (Huechuraba)'!$H:$H,MATCH($B210,'Pliegos Tarifarios (Huechuraba)'!$A:$A,0)),H210&lt;=5000,INDEX('Pliegos Tarifarios (Huechuraba)'!$I:$I,MATCH($B210,'Pliegos Tarifarios (Huechuraba)'!$A:$A,0)),H210&gt;5000,INDEX('Pliegos Tarifarios (Huechuraba)'!$J:$J,MATCH($B210,'Pliegos Tarifarios (Huechuraba)'!$A:$A,0)))/1.19</f>
        <v>41.466352941176474</v>
      </c>
      <c r="R210" s="19">
        <f>INDEX('Pliegos Tarifarios (Huechuraba)'!$K:$K,MATCH($B210,'Pliegos Tarifarios (Huechuraba)'!$A:$A,0))</f>
        <v>719.68899999999996</v>
      </c>
      <c r="S210" s="36">
        <f t="shared" si="9"/>
        <v>12073.964812941178</v>
      </c>
      <c r="T210" s="36">
        <f t="shared" si="10"/>
        <v>2294.0533144588239</v>
      </c>
      <c r="U210" s="19">
        <v>0</v>
      </c>
      <c r="V210" s="36">
        <f t="shared" si="11"/>
        <v>14368.018127400002</v>
      </c>
    </row>
    <row r="211" spans="1:22" ht="23.4" thickBot="1" x14ac:dyDescent="0.35">
      <c r="A211" s="30" t="s">
        <v>146</v>
      </c>
      <c r="B211" s="31">
        <v>4</v>
      </c>
      <c r="C211" s="32" t="s">
        <v>15</v>
      </c>
      <c r="D211" s="31" t="s">
        <v>134</v>
      </c>
      <c r="E211" s="31" t="s">
        <v>124</v>
      </c>
      <c r="F211" s="32" t="s">
        <v>135</v>
      </c>
      <c r="G211" s="31" t="s">
        <v>33</v>
      </c>
      <c r="H211" s="31">
        <v>125.91</v>
      </c>
      <c r="I211" s="31">
        <v>0.36</v>
      </c>
      <c r="J211" s="31">
        <v>0.36</v>
      </c>
      <c r="K211" s="34">
        <v>1</v>
      </c>
      <c r="L211" s="31">
        <v>4.0599999999999996</v>
      </c>
      <c r="M211" s="19">
        <f>H211*INDEX('Pliegos Tarifarios (Huechuraba)'!$B:$B,MATCH($B211,'Pliegos Tarifarios (Huechuraba)'!$A:$A,0))</f>
        <v>14962.89258</v>
      </c>
      <c r="N211" s="19">
        <f>I211*INDEX('Pliegos Tarifarios (Huechuraba)'!$C:$C,MATCH($B211,'Pliegos Tarifarios (Huechuraba)'!$A:$A,0))</f>
        <v>1234.7485199999999</v>
      </c>
      <c r="O211" s="19">
        <f>J211*INDEX('Pliegos Tarifarios (Huechuraba)'!$D:$D,MATCH($B211,'Pliegos Tarifarios (Huechuraba)'!$A:$A,0))</f>
        <v>5086.2312000000002</v>
      </c>
      <c r="P211" s="19">
        <f>H211*INDEX('Pliegos Tarifarios (Huechuraba)'!$E:$E,MATCH($B211,'Pliegos Tarifarios (Huechuraba)'!$A:$A,0))</f>
        <v>1628.26812</v>
      </c>
      <c r="Q211" s="19" cm="1">
        <f t="array" ref="Q211">H211*_xlfn.IFS(H211&lt;=350,INDEX('Pliegos Tarifarios (Huechuraba)'!$F:$F,MATCH($B211,'Pliegos Tarifarios (Huechuraba)'!$A:$A,0)),H211&lt;=500,INDEX('Pliegos Tarifarios (Huechuraba)'!$G:$G,MATCH($B211,'Pliegos Tarifarios (Huechuraba)'!$A:$A,0)),H211&lt;=1000,INDEX('Pliegos Tarifarios (Huechuraba)'!$H:$H,MATCH($B211,'Pliegos Tarifarios (Huechuraba)'!$A:$A,0)),H211&lt;=5000,INDEX('Pliegos Tarifarios (Huechuraba)'!$I:$I,MATCH($B211,'Pliegos Tarifarios (Huechuraba)'!$A:$A,0)),H211&gt;5000,INDEX('Pliegos Tarifarios (Huechuraba)'!$J:$J,MATCH($B211,'Pliegos Tarifarios (Huechuraba)'!$A:$A,0)))/1.19</f>
        <v>82.9524705882353</v>
      </c>
      <c r="R211" s="19">
        <f>INDEX('Pliegos Tarifarios (Huechuraba)'!$K:$K,MATCH($B211,'Pliegos Tarifarios (Huechuraba)'!$A:$A,0))</f>
        <v>719.68899999999996</v>
      </c>
      <c r="S211" s="36">
        <f t="shared" si="9"/>
        <v>23714.781890588234</v>
      </c>
      <c r="T211" s="36">
        <f t="shared" si="10"/>
        <v>4505.8085592117641</v>
      </c>
      <c r="U211" s="19">
        <v>0</v>
      </c>
      <c r="V211" s="36">
        <f t="shared" si="11"/>
        <v>28220.590449799998</v>
      </c>
    </row>
    <row r="212" spans="1:22" ht="23.4" thickBot="1" x14ac:dyDescent="0.35">
      <c r="A212" s="30" t="s">
        <v>146</v>
      </c>
      <c r="B212" s="31">
        <v>4</v>
      </c>
      <c r="C212" s="32" t="s">
        <v>15</v>
      </c>
      <c r="D212" s="31" t="s">
        <v>136</v>
      </c>
      <c r="E212" s="31" t="s">
        <v>124</v>
      </c>
      <c r="F212" s="32" t="s">
        <v>137</v>
      </c>
      <c r="G212" s="31" t="s">
        <v>33</v>
      </c>
      <c r="H212" s="31">
        <v>125.7</v>
      </c>
      <c r="I212" s="31">
        <v>0.36</v>
      </c>
      <c r="J212" s="31">
        <v>0.36</v>
      </c>
      <c r="K212" s="34">
        <v>1</v>
      </c>
      <c r="L212" s="31">
        <v>4.05</v>
      </c>
      <c r="M212" s="19">
        <f>H212*INDEX('Pliegos Tarifarios (Huechuraba)'!$B:$B,MATCH($B212,'Pliegos Tarifarios (Huechuraba)'!$A:$A,0))</f>
        <v>14937.936599999999</v>
      </c>
      <c r="N212" s="19">
        <f>I212*INDEX('Pliegos Tarifarios (Huechuraba)'!$C:$C,MATCH($B212,'Pliegos Tarifarios (Huechuraba)'!$A:$A,0))</f>
        <v>1234.7485199999999</v>
      </c>
      <c r="O212" s="19">
        <f>J212*INDEX('Pliegos Tarifarios (Huechuraba)'!$D:$D,MATCH($B212,'Pliegos Tarifarios (Huechuraba)'!$A:$A,0))</f>
        <v>5086.2312000000002</v>
      </c>
      <c r="P212" s="19">
        <f>H212*INDEX('Pliegos Tarifarios (Huechuraba)'!$E:$E,MATCH($B212,'Pliegos Tarifarios (Huechuraba)'!$A:$A,0))</f>
        <v>1625.5524</v>
      </c>
      <c r="Q212" s="19" cm="1">
        <f t="array" ref="Q212">H212*_xlfn.IFS(H212&lt;=350,INDEX('Pliegos Tarifarios (Huechuraba)'!$F:$F,MATCH($B212,'Pliegos Tarifarios (Huechuraba)'!$A:$A,0)),H212&lt;=500,INDEX('Pliegos Tarifarios (Huechuraba)'!$G:$G,MATCH($B212,'Pliegos Tarifarios (Huechuraba)'!$A:$A,0)),H212&lt;=1000,INDEX('Pliegos Tarifarios (Huechuraba)'!$H:$H,MATCH($B212,'Pliegos Tarifarios (Huechuraba)'!$A:$A,0)),H212&lt;=5000,INDEX('Pliegos Tarifarios (Huechuraba)'!$I:$I,MATCH($B212,'Pliegos Tarifarios (Huechuraba)'!$A:$A,0)),H212&gt;5000,INDEX('Pliegos Tarifarios (Huechuraba)'!$J:$J,MATCH($B212,'Pliegos Tarifarios (Huechuraba)'!$A:$A,0)))/1.19</f>
        <v>82.814117647058822</v>
      </c>
      <c r="R212" s="19">
        <f>INDEX('Pliegos Tarifarios (Huechuraba)'!$K:$K,MATCH($B212,'Pliegos Tarifarios (Huechuraba)'!$A:$A,0))</f>
        <v>719.68899999999996</v>
      </c>
      <c r="S212" s="36">
        <f t="shared" si="9"/>
        <v>23686.971837647056</v>
      </c>
      <c r="T212" s="36">
        <f t="shared" si="10"/>
        <v>4500.5246491529406</v>
      </c>
      <c r="U212" s="19">
        <v>0</v>
      </c>
      <c r="V212" s="36">
        <f t="shared" si="11"/>
        <v>28187.496486799995</v>
      </c>
    </row>
    <row r="213" spans="1:22" ht="23.4" thickBot="1" x14ac:dyDescent="0.35">
      <c r="A213" s="30" t="s">
        <v>146</v>
      </c>
      <c r="B213" s="31">
        <v>4</v>
      </c>
      <c r="C213" s="32" t="s">
        <v>15</v>
      </c>
      <c r="D213" s="31" t="s">
        <v>138</v>
      </c>
      <c r="E213" s="31" t="s">
        <v>124</v>
      </c>
      <c r="F213" s="32" t="s">
        <v>139</v>
      </c>
      <c r="G213" s="31" t="s">
        <v>33</v>
      </c>
      <c r="H213" s="31">
        <v>126.07</v>
      </c>
      <c r="I213" s="31">
        <v>0.36</v>
      </c>
      <c r="J213" s="31">
        <v>0.36</v>
      </c>
      <c r="K213" s="34">
        <v>1</v>
      </c>
      <c r="L213" s="31">
        <v>4.07</v>
      </c>
      <c r="M213" s="19">
        <f>H213*INDEX('Pliegos Tarifarios (Huechuraba)'!$B:$B,MATCH($B213,'Pliegos Tarifarios (Huechuraba)'!$A:$A,0))</f>
        <v>14981.906659999999</v>
      </c>
      <c r="N213" s="19">
        <f>I213*INDEX('Pliegos Tarifarios (Huechuraba)'!$C:$C,MATCH($B213,'Pliegos Tarifarios (Huechuraba)'!$A:$A,0))</f>
        <v>1234.7485199999999</v>
      </c>
      <c r="O213" s="19">
        <f>J213*INDEX('Pliegos Tarifarios (Huechuraba)'!$D:$D,MATCH($B213,'Pliegos Tarifarios (Huechuraba)'!$A:$A,0))</f>
        <v>5086.2312000000002</v>
      </c>
      <c r="P213" s="19">
        <f>H213*INDEX('Pliegos Tarifarios (Huechuraba)'!$E:$E,MATCH($B213,'Pliegos Tarifarios (Huechuraba)'!$A:$A,0))</f>
        <v>1630.3372400000001</v>
      </c>
      <c r="Q213" s="19" cm="1">
        <f t="array" ref="Q213">H213*_xlfn.IFS(H213&lt;=350,INDEX('Pliegos Tarifarios (Huechuraba)'!$F:$F,MATCH($B213,'Pliegos Tarifarios (Huechuraba)'!$A:$A,0)),H213&lt;=500,INDEX('Pliegos Tarifarios (Huechuraba)'!$G:$G,MATCH($B213,'Pliegos Tarifarios (Huechuraba)'!$A:$A,0)),H213&lt;=1000,INDEX('Pliegos Tarifarios (Huechuraba)'!$H:$H,MATCH($B213,'Pliegos Tarifarios (Huechuraba)'!$A:$A,0)),H213&lt;=5000,INDEX('Pliegos Tarifarios (Huechuraba)'!$I:$I,MATCH($B213,'Pliegos Tarifarios (Huechuraba)'!$A:$A,0)),H213&gt;5000,INDEX('Pliegos Tarifarios (Huechuraba)'!$J:$J,MATCH($B213,'Pliegos Tarifarios (Huechuraba)'!$A:$A,0)))/1.19</f>
        <v>83.057882352941178</v>
      </c>
      <c r="R213" s="19">
        <f>INDEX('Pliegos Tarifarios (Huechuraba)'!$K:$K,MATCH($B213,'Pliegos Tarifarios (Huechuraba)'!$A:$A,0))</f>
        <v>719.68899999999996</v>
      </c>
      <c r="S213" s="36">
        <f t="shared" si="9"/>
        <v>23735.970502352935</v>
      </c>
      <c r="T213" s="36">
        <f t="shared" si="10"/>
        <v>4509.8343954470574</v>
      </c>
      <c r="U213" s="19">
        <v>0</v>
      </c>
      <c r="V213" s="36">
        <f t="shared" si="11"/>
        <v>28245.804897799993</v>
      </c>
    </row>
    <row r="214" spans="1:22" ht="23.4" thickBot="1" x14ac:dyDescent="0.35">
      <c r="A214" s="30" t="s">
        <v>146</v>
      </c>
      <c r="B214" s="31">
        <v>4</v>
      </c>
      <c r="C214" s="32" t="s">
        <v>15</v>
      </c>
      <c r="D214" s="31" t="s">
        <v>140</v>
      </c>
      <c r="E214" s="31" t="s">
        <v>124</v>
      </c>
      <c r="F214" s="32" t="s">
        <v>141</v>
      </c>
      <c r="G214" s="31" t="s">
        <v>33</v>
      </c>
      <c r="H214" s="31">
        <v>62.7</v>
      </c>
      <c r="I214" s="31">
        <v>0.18</v>
      </c>
      <c r="J214" s="31">
        <v>0.18</v>
      </c>
      <c r="K214" s="34">
        <v>0.96199999999999997</v>
      </c>
      <c r="L214" s="31">
        <v>2.02</v>
      </c>
      <c r="M214" s="19">
        <f>H214*INDEX('Pliegos Tarifarios (Huechuraba)'!$B:$B,MATCH($B214,'Pliegos Tarifarios (Huechuraba)'!$A:$A,0))</f>
        <v>7451.1426000000001</v>
      </c>
      <c r="N214" s="19">
        <f>I214*INDEX('Pliegos Tarifarios (Huechuraba)'!$C:$C,MATCH($B214,'Pliegos Tarifarios (Huechuraba)'!$A:$A,0))</f>
        <v>617.37425999999994</v>
      </c>
      <c r="O214" s="19">
        <f>J214*INDEX('Pliegos Tarifarios (Huechuraba)'!$D:$D,MATCH($B214,'Pliegos Tarifarios (Huechuraba)'!$A:$A,0))</f>
        <v>2543.1156000000001</v>
      </c>
      <c r="P214" s="19">
        <f>H214*INDEX('Pliegos Tarifarios (Huechuraba)'!$E:$E,MATCH($B214,'Pliegos Tarifarios (Huechuraba)'!$A:$A,0))</f>
        <v>810.83640000000003</v>
      </c>
      <c r="Q214" s="19" cm="1">
        <f t="array" ref="Q214">H214*_xlfn.IFS(H214&lt;=350,INDEX('Pliegos Tarifarios (Huechuraba)'!$F:$F,MATCH($B214,'Pliegos Tarifarios (Huechuraba)'!$A:$A,0)),H214&lt;=500,INDEX('Pliegos Tarifarios (Huechuraba)'!$G:$G,MATCH($B214,'Pliegos Tarifarios (Huechuraba)'!$A:$A,0)),H214&lt;=1000,INDEX('Pliegos Tarifarios (Huechuraba)'!$H:$H,MATCH($B214,'Pliegos Tarifarios (Huechuraba)'!$A:$A,0)),H214&lt;=5000,INDEX('Pliegos Tarifarios (Huechuraba)'!$I:$I,MATCH($B214,'Pliegos Tarifarios (Huechuraba)'!$A:$A,0)),H214&gt;5000,INDEX('Pliegos Tarifarios (Huechuraba)'!$J:$J,MATCH($B214,'Pliegos Tarifarios (Huechuraba)'!$A:$A,0)))/1.19</f>
        <v>41.308235294117651</v>
      </c>
      <c r="R214" s="19">
        <f>INDEX('Pliegos Tarifarios (Huechuraba)'!$K:$K,MATCH($B214,'Pliegos Tarifarios (Huechuraba)'!$A:$A,0))</f>
        <v>719.68899999999996</v>
      </c>
      <c r="S214" s="36">
        <f t="shared" si="9"/>
        <v>12183.466095294119</v>
      </c>
      <c r="T214" s="36">
        <f t="shared" si="10"/>
        <v>2314.8585581058828</v>
      </c>
      <c r="U214" s="19">
        <v>0</v>
      </c>
      <c r="V214" s="36">
        <f t="shared" si="11"/>
        <v>14498.324653400003</v>
      </c>
    </row>
    <row r="215" spans="1:22" ht="23.4" thickBot="1" x14ac:dyDescent="0.35">
      <c r="A215" s="30" t="s">
        <v>146</v>
      </c>
      <c r="B215" s="31">
        <v>4</v>
      </c>
      <c r="C215" s="32" t="s">
        <v>15</v>
      </c>
      <c r="D215" s="31" t="s">
        <v>142</v>
      </c>
      <c r="E215" s="31" t="s">
        <v>124</v>
      </c>
      <c r="F215" s="32" t="s">
        <v>143</v>
      </c>
      <c r="G215" s="31" t="s">
        <v>33</v>
      </c>
      <c r="H215" s="31">
        <v>125.95</v>
      </c>
      <c r="I215" s="31">
        <v>0.36</v>
      </c>
      <c r="J215" s="31">
        <v>0.34</v>
      </c>
      <c r="K215" s="34">
        <v>0.94299999999999995</v>
      </c>
      <c r="L215" s="31">
        <v>4.0599999999999996</v>
      </c>
      <c r="M215" s="19">
        <f>H215*INDEX('Pliegos Tarifarios (Huechuraba)'!$B:$B,MATCH($B215,'Pliegos Tarifarios (Huechuraba)'!$A:$A,0))</f>
        <v>14967.6461</v>
      </c>
      <c r="N215" s="19">
        <f>I215*INDEX('Pliegos Tarifarios (Huechuraba)'!$C:$C,MATCH($B215,'Pliegos Tarifarios (Huechuraba)'!$A:$A,0))</f>
        <v>1234.7485199999999</v>
      </c>
      <c r="O215" s="19">
        <f>J215*INDEX('Pliegos Tarifarios (Huechuraba)'!$D:$D,MATCH($B215,'Pliegos Tarifarios (Huechuraba)'!$A:$A,0))</f>
        <v>4803.6628000000001</v>
      </c>
      <c r="P215" s="19">
        <f>H215*INDEX('Pliegos Tarifarios (Huechuraba)'!$E:$E,MATCH($B215,'Pliegos Tarifarios (Huechuraba)'!$A:$A,0))</f>
        <v>1628.7854</v>
      </c>
      <c r="Q215" s="19" cm="1">
        <f t="array" ref="Q215">H215*_xlfn.IFS(H215&lt;=350,INDEX('Pliegos Tarifarios (Huechuraba)'!$F:$F,MATCH($B215,'Pliegos Tarifarios (Huechuraba)'!$A:$A,0)),H215&lt;=500,INDEX('Pliegos Tarifarios (Huechuraba)'!$G:$G,MATCH($B215,'Pliegos Tarifarios (Huechuraba)'!$A:$A,0)),H215&lt;=1000,INDEX('Pliegos Tarifarios (Huechuraba)'!$H:$H,MATCH($B215,'Pliegos Tarifarios (Huechuraba)'!$A:$A,0)),H215&lt;=5000,INDEX('Pliegos Tarifarios (Huechuraba)'!$I:$I,MATCH($B215,'Pliegos Tarifarios (Huechuraba)'!$A:$A,0)),H215&gt;5000,INDEX('Pliegos Tarifarios (Huechuraba)'!$J:$J,MATCH($B215,'Pliegos Tarifarios (Huechuraba)'!$A:$A,0)))/1.19</f>
        <v>82.978823529411784</v>
      </c>
      <c r="R215" s="19">
        <f>INDEX('Pliegos Tarifarios (Huechuraba)'!$K:$K,MATCH($B215,'Pliegos Tarifarios (Huechuraba)'!$A:$A,0))</f>
        <v>719.68899999999996</v>
      </c>
      <c r="S215" s="36">
        <f t="shared" si="9"/>
        <v>23437.510643529407</v>
      </c>
      <c r="T215" s="36">
        <f t="shared" si="10"/>
        <v>4453.1270222705871</v>
      </c>
      <c r="U215" s="19">
        <v>0</v>
      </c>
      <c r="V215" s="36">
        <f t="shared" si="11"/>
        <v>27890.637665799994</v>
      </c>
    </row>
    <row r="216" spans="1:22" ht="23.4" thickBot="1" x14ac:dyDescent="0.35">
      <c r="A216" s="25" t="s">
        <v>147</v>
      </c>
      <c r="B216" s="26">
        <v>5</v>
      </c>
      <c r="C216" s="27" t="s">
        <v>15</v>
      </c>
      <c r="D216" s="26" t="s">
        <v>16</v>
      </c>
      <c r="E216" s="26" t="s">
        <v>17</v>
      </c>
      <c r="F216" s="27" t="s">
        <v>18</v>
      </c>
      <c r="G216" s="26" t="s">
        <v>19</v>
      </c>
      <c r="H216" s="28">
        <v>7289.61</v>
      </c>
      <c r="I216" s="26">
        <v>20.5</v>
      </c>
      <c r="J216" s="26">
        <v>19.420000000000002</v>
      </c>
      <c r="K216" s="29">
        <v>0.94699999999999995</v>
      </c>
      <c r="L216" s="26">
        <v>242.99</v>
      </c>
      <c r="M216" s="19">
        <f>H216*INDEX('Pliegos Tarifarios (Huechuraba)'!$B:$B,MATCH($B216,'Pliegos Tarifarios (Huechuraba)'!$A:$A,0))</f>
        <v>866282.67317999993</v>
      </c>
      <c r="N216" s="19">
        <f>I216*INDEX('Pliegos Tarifarios (Huechuraba)'!$C:$C,MATCH($B216,'Pliegos Tarifarios (Huechuraba)'!$A:$A,0))</f>
        <v>69709.655499999993</v>
      </c>
      <c r="O216" s="19">
        <f>J216*INDEX('Pliegos Tarifarios (Huechuraba)'!$D:$D,MATCH($B216,'Pliegos Tarifarios (Huechuraba)'!$A:$A,0))</f>
        <v>273816.44588000001</v>
      </c>
      <c r="P216" s="19">
        <f>H216*INDEX('Pliegos Tarifarios (Huechuraba)'!$E:$E,MATCH($B216,'Pliegos Tarifarios (Huechuraba)'!$A:$A,0))</f>
        <v>94269.236520000006</v>
      </c>
      <c r="Q216" s="19" cm="1">
        <f t="array" ref="Q216">H216*_xlfn.IFS(H216&lt;=350,INDEX('Pliegos Tarifarios (Huechuraba)'!$F:$F,MATCH($B216,'Pliegos Tarifarios (Huechuraba)'!$A:$A,0)),H216&lt;=500,INDEX('Pliegos Tarifarios (Huechuraba)'!$G:$G,MATCH($B216,'Pliegos Tarifarios (Huechuraba)'!$A:$A,0)),H216&lt;=1000,INDEX('Pliegos Tarifarios (Huechuraba)'!$H:$H,MATCH($B216,'Pliegos Tarifarios (Huechuraba)'!$A:$A,0)),H216&lt;=5000,INDEX('Pliegos Tarifarios (Huechuraba)'!$I:$I,MATCH($B216,'Pliegos Tarifarios (Huechuraba)'!$A:$A,0)),H216&gt;5000,INDEX('Pliegos Tarifarios (Huechuraba)'!$J:$J,MATCH($B216,'Pliegos Tarifarios (Huechuraba)'!$A:$A,0)))/1.19</f>
        <v>23920.947100840338</v>
      </c>
      <c r="R216" s="19">
        <f>INDEX('Pliegos Tarifarios (Huechuraba)'!$K:$K,MATCH($B216,'Pliegos Tarifarios (Huechuraba)'!$A:$A,0))</f>
        <v>723.32799999999997</v>
      </c>
      <c r="S216" s="36">
        <f t="shared" si="9"/>
        <v>1328722.2861808401</v>
      </c>
      <c r="T216" s="36">
        <f t="shared" si="10"/>
        <v>252457.23437435963</v>
      </c>
      <c r="U216" s="19">
        <v>0</v>
      </c>
      <c r="V216" s="36">
        <f t="shared" si="11"/>
        <v>1581179.5205551998</v>
      </c>
    </row>
    <row r="217" spans="1:22" ht="23.4" thickBot="1" x14ac:dyDescent="0.35">
      <c r="A217" s="25" t="s">
        <v>147</v>
      </c>
      <c r="B217" s="26">
        <v>5</v>
      </c>
      <c r="C217" s="27" t="s">
        <v>15</v>
      </c>
      <c r="D217" s="26" t="s">
        <v>20</v>
      </c>
      <c r="E217" s="26" t="s">
        <v>21</v>
      </c>
      <c r="F217" s="27" t="s">
        <v>22</v>
      </c>
      <c r="G217" s="26" t="s">
        <v>19</v>
      </c>
      <c r="H217" s="28">
        <v>3643.41</v>
      </c>
      <c r="I217" s="26">
        <v>9.67</v>
      </c>
      <c r="J217" s="26">
        <v>9.44</v>
      </c>
      <c r="K217" s="29">
        <v>0.97699999999999998</v>
      </c>
      <c r="L217" s="26">
        <v>121.45</v>
      </c>
      <c r="M217" s="19">
        <f>H217*INDEX('Pliegos Tarifarios (Huechuraba)'!$B:$B,MATCH($B217,'Pliegos Tarifarios (Huechuraba)'!$A:$A,0))</f>
        <v>432975.55757999996</v>
      </c>
      <c r="N217" s="19">
        <f>I217*INDEX('Pliegos Tarifarios (Huechuraba)'!$C:$C,MATCH($B217,'Pliegos Tarifarios (Huechuraba)'!$A:$A,0))</f>
        <v>32882.55457</v>
      </c>
      <c r="O217" s="19">
        <f>J217*INDEX('Pliegos Tarifarios (Huechuraba)'!$D:$D,MATCH($B217,'Pliegos Tarifarios (Huechuraba)'!$A:$A,0))</f>
        <v>133101.30015999998</v>
      </c>
      <c r="P217" s="19">
        <f>H217*INDEX('Pliegos Tarifarios (Huechuraba)'!$E:$E,MATCH($B217,'Pliegos Tarifarios (Huechuraba)'!$A:$A,0))</f>
        <v>47116.578119999998</v>
      </c>
      <c r="Q217" s="19" cm="1">
        <f t="array" ref="Q217">H217*_xlfn.IFS(H217&lt;=350,INDEX('Pliegos Tarifarios (Huechuraba)'!$F:$F,MATCH($B217,'Pliegos Tarifarios (Huechuraba)'!$A:$A,0)),H217&lt;=500,INDEX('Pliegos Tarifarios (Huechuraba)'!$G:$G,MATCH($B217,'Pliegos Tarifarios (Huechuraba)'!$A:$A,0)),H217&lt;=1000,INDEX('Pliegos Tarifarios (Huechuraba)'!$H:$H,MATCH($B217,'Pliegos Tarifarios (Huechuraba)'!$A:$A,0)),H217&lt;=5000,INDEX('Pliegos Tarifarios (Huechuraba)'!$I:$I,MATCH($B217,'Pliegos Tarifarios (Huechuraba)'!$A:$A,0)),H217&gt;5000,INDEX('Pliegos Tarifarios (Huechuraba)'!$J:$J,MATCH($B217,'Pliegos Tarifarios (Huechuraba)'!$A:$A,0)))/1.19</f>
        <v>10933.29168907563</v>
      </c>
      <c r="R217" s="19">
        <f>INDEX('Pliegos Tarifarios (Huechuraba)'!$K:$K,MATCH($B217,'Pliegos Tarifarios (Huechuraba)'!$A:$A,0))</f>
        <v>723.32799999999997</v>
      </c>
      <c r="S217" s="36">
        <f t="shared" si="9"/>
        <v>657732.61011907551</v>
      </c>
      <c r="T217" s="36">
        <f t="shared" si="10"/>
        <v>124969.19592262435</v>
      </c>
      <c r="U217" s="19">
        <v>0</v>
      </c>
      <c r="V217" s="36">
        <f t="shared" si="11"/>
        <v>782701.80604169983</v>
      </c>
    </row>
    <row r="218" spans="1:22" ht="23.4" thickBot="1" x14ac:dyDescent="0.35">
      <c r="A218" s="25" t="s">
        <v>147</v>
      </c>
      <c r="B218" s="26">
        <v>5</v>
      </c>
      <c r="C218" s="27" t="s">
        <v>15</v>
      </c>
      <c r="D218" s="26" t="s">
        <v>23</v>
      </c>
      <c r="E218" s="26" t="s">
        <v>21</v>
      </c>
      <c r="F218" s="27" t="s">
        <v>24</v>
      </c>
      <c r="G218" s="26" t="s">
        <v>19</v>
      </c>
      <c r="H218" s="28">
        <v>2910.13</v>
      </c>
      <c r="I218" s="26">
        <v>7.91</v>
      </c>
      <c r="J218" s="26">
        <v>7.87</v>
      </c>
      <c r="K218" s="29">
        <v>0.99399999999999999</v>
      </c>
      <c r="L218" s="26">
        <v>97</v>
      </c>
      <c r="M218" s="19">
        <f>H218*INDEX('Pliegos Tarifarios (Huechuraba)'!$B:$B,MATCH($B218,'Pliegos Tarifarios (Huechuraba)'!$A:$A,0))</f>
        <v>345834.02893999999</v>
      </c>
      <c r="N218" s="19">
        <f>I218*INDEX('Pliegos Tarifarios (Huechuraba)'!$C:$C,MATCH($B218,'Pliegos Tarifarios (Huechuraba)'!$A:$A,0))</f>
        <v>26897.725610000001</v>
      </c>
      <c r="O218" s="19">
        <f>J218*INDEX('Pliegos Tarifarios (Huechuraba)'!$D:$D,MATCH($B218,'Pliegos Tarifarios (Huechuraba)'!$A:$A,0))</f>
        <v>110964.74918</v>
      </c>
      <c r="P218" s="19">
        <f>H218*INDEX('Pliegos Tarifarios (Huechuraba)'!$E:$E,MATCH($B218,'Pliegos Tarifarios (Huechuraba)'!$A:$A,0))</f>
        <v>37633.801160000003</v>
      </c>
      <c r="Q218" s="19" cm="1">
        <f t="array" ref="Q218">H218*_xlfn.IFS(H218&lt;=350,INDEX('Pliegos Tarifarios (Huechuraba)'!$F:$F,MATCH($B218,'Pliegos Tarifarios (Huechuraba)'!$A:$A,0)),H218&lt;=500,INDEX('Pliegos Tarifarios (Huechuraba)'!$G:$G,MATCH($B218,'Pliegos Tarifarios (Huechuraba)'!$A:$A,0)),H218&lt;=1000,INDEX('Pliegos Tarifarios (Huechuraba)'!$H:$H,MATCH($B218,'Pliegos Tarifarios (Huechuraba)'!$A:$A,0)),H218&lt;=5000,INDEX('Pliegos Tarifarios (Huechuraba)'!$I:$I,MATCH($B218,'Pliegos Tarifarios (Huechuraba)'!$A:$A,0)),H218&gt;5000,INDEX('Pliegos Tarifarios (Huechuraba)'!$J:$J,MATCH($B218,'Pliegos Tarifarios (Huechuraba)'!$A:$A,0)))/1.19</f>
        <v>8732.8354873949593</v>
      </c>
      <c r="R218" s="19">
        <f>INDEX('Pliegos Tarifarios (Huechuraba)'!$K:$K,MATCH($B218,'Pliegos Tarifarios (Huechuraba)'!$A:$A,0))</f>
        <v>723.32799999999997</v>
      </c>
      <c r="S218" s="36">
        <f t="shared" si="9"/>
        <v>530786.46837739495</v>
      </c>
      <c r="T218" s="36">
        <f t="shared" si="10"/>
        <v>100849.42899170505</v>
      </c>
      <c r="U218" s="19">
        <v>0</v>
      </c>
      <c r="V218" s="36">
        <f t="shared" si="11"/>
        <v>631635.89736910001</v>
      </c>
    </row>
    <row r="219" spans="1:22" ht="23.4" thickBot="1" x14ac:dyDescent="0.35">
      <c r="A219" s="25" t="s">
        <v>147</v>
      </c>
      <c r="B219" s="26">
        <v>5</v>
      </c>
      <c r="C219" s="27" t="s">
        <v>15</v>
      </c>
      <c r="D219" s="26" t="s">
        <v>25</v>
      </c>
      <c r="E219" s="26" t="s">
        <v>21</v>
      </c>
      <c r="F219" s="27" t="s">
        <v>26</v>
      </c>
      <c r="G219" s="26" t="s">
        <v>19</v>
      </c>
      <c r="H219" s="28">
        <v>2431</v>
      </c>
      <c r="I219" s="26">
        <v>6.65</v>
      </c>
      <c r="J219" s="26">
        <v>6.48</v>
      </c>
      <c r="K219" s="29">
        <v>0.97399999999999998</v>
      </c>
      <c r="L219" s="26">
        <v>81.03</v>
      </c>
      <c r="M219" s="19">
        <f>H219*INDEX('Pliegos Tarifarios (Huechuraba)'!$B:$B,MATCH($B219,'Pliegos Tarifarios (Huechuraba)'!$A:$A,0))</f>
        <v>288895.17799999996</v>
      </c>
      <c r="N219" s="19">
        <f>I219*INDEX('Pliegos Tarifarios (Huechuraba)'!$C:$C,MATCH($B219,'Pliegos Tarifarios (Huechuraba)'!$A:$A,0))</f>
        <v>22613.132150000001</v>
      </c>
      <c r="O219" s="19">
        <f>J219*INDEX('Pliegos Tarifarios (Huechuraba)'!$D:$D,MATCH($B219,'Pliegos Tarifarios (Huechuraba)'!$A:$A,0))</f>
        <v>91366.146720000004</v>
      </c>
      <c r="P219" s="19">
        <f>H219*INDEX('Pliegos Tarifarios (Huechuraba)'!$E:$E,MATCH($B219,'Pliegos Tarifarios (Huechuraba)'!$A:$A,0))</f>
        <v>31437.692000000003</v>
      </c>
      <c r="Q219" s="19" cm="1">
        <f t="array" ref="Q219">H219*_xlfn.IFS(H219&lt;=350,INDEX('Pliegos Tarifarios (Huechuraba)'!$F:$F,MATCH($B219,'Pliegos Tarifarios (Huechuraba)'!$A:$A,0)),H219&lt;=500,INDEX('Pliegos Tarifarios (Huechuraba)'!$G:$G,MATCH($B219,'Pliegos Tarifarios (Huechuraba)'!$A:$A,0)),H219&lt;=1000,INDEX('Pliegos Tarifarios (Huechuraba)'!$H:$H,MATCH($B219,'Pliegos Tarifarios (Huechuraba)'!$A:$A,0)),H219&lt;=5000,INDEX('Pliegos Tarifarios (Huechuraba)'!$I:$I,MATCH($B219,'Pliegos Tarifarios (Huechuraba)'!$A:$A,0)),H219&gt;5000,INDEX('Pliegos Tarifarios (Huechuraba)'!$J:$J,MATCH($B219,'Pliegos Tarifarios (Huechuraba)'!$A:$A,0)))/1.19</f>
        <v>7295.0428571428565</v>
      </c>
      <c r="R219" s="19">
        <f>INDEX('Pliegos Tarifarios (Huechuraba)'!$K:$K,MATCH($B219,'Pliegos Tarifarios (Huechuraba)'!$A:$A,0))</f>
        <v>723.32799999999997</v>
      </c>
      <c r="S219" s="36">
        <f t="shared" si="9"/>
        <v>442330.51972714282</v>
      </c>
      <c r="T219" s="36">
        <f t="shared" si="10"/>
        <v>84042.798748157133</v>
      </c>
      <c r="U219" s="19">
        <v>0</v>
      </c>
      <c r="V219" s="36">
        <f t="shared" si="11"/>
        <v>526373.31847529998</v>
      </c>
    </row>
    <row r="220" spans="1:22" ht="23.4" thickBot="1" x14ac:dyDescent="0.35">
      <c r="A220" s="25" t="s">
        <v>147</v>
      </c>
      <c r="B220" s="26">
        <v>5</v>
      </c>
      <c r="C220" s="27" t="s">
        <v>15</v>
      </c>
      <c r="D220" s="26" t="s">
        <v>27</v>
      </c>
      <c r="E220" s="26" t="s">
        <v>21</v>
      </c>
      <c r="F220" s="27" t="s">
        <v>28</v>
      </c>
      <c r="G220" s="26" t="s">
        <v>19</v>
      </c>
      <c r="H220" s="28">
        <v>2631.83</v>
      </c>
      <c r="I220" s="26">
        <v>7.1</v>
      </c>
      <c r="J220" s="26">
        <v>7.02</v>
      </c>
      <c r="K220" s="29">
        <v>0.99</v>
      </c>
      <c r="L220" s="26">
        <v>87.73</v>
      </c>
      <c r="M220" s="19">
        <f>H220*INDEX('Pliegos Tarifarios (Huechuraba)'!$B:$B,MATCH($B220,'Pliegos Tarifarios (Huechuraba)'!$A:$A,0))</f>
        <v>312761.41353999998</v>
      </c>
      <c r="N220" s="19">
        <f>I220*INDEX('Pliegos Tarifarios (Huechuraba)'!$C:$C,MATCH($B220,'Pliegos Tarifarios (Huechuraba)'!$A:$A,0))</f>
        <v>24143.344099999998</v>
      </c>
      <c r="O220" s="19">
        <f>J220*INDEX('Pliegos Tarifarios (Huechuraba)'!$D:$D,MATCH($B220,'Pliegos Tarifarios (Huechuraba)'!$A:$A,0))</f>
        <v>98979.992279999991</v>
      </c>
      <c r="P220" s="19">
        <f>H220*INDEX('Pliegos Tarifarios (Huechuraba)'!$E:$E,MATCH($B220,'Pliegos Tarifarios (Huechuraba)'!$A:$A,0))</f>
        <v>34034.825559999997</v>
      </c>
      <c r="Q220" s="19" cm="1">
        <f t="array" ref="Q220">H220*_xlfn.IFS(H220&lt;=350,INDEX('Pliegos Tarifarios (Huechuraba)'!$F:$F,MATCH($B220,'Pliegos Tarifarios (Huechuraba)'!$A:$A,0)),H220&lt;=500,INDEX('Pliegos Tarifarios (Huechuraba)'!$G:$G,MATCH($B220,'Pliegos Tarifarios (Huechuraba)'!$A:$A,0)),H220&lt;=1000,INDEX('Pliegos Tarifarios (Huechuraba)'!$H:$H,MATCH($B220,'Pliegos Tarifarios (Huechuraba)'!$A:$A,0)),H220&lt;=5000,INDEX('Pliegos Tarifarios (Huechuraba)'!$I:$I,MATCH($B220,'Pliegos Tarifarios (Huechuraba)'!$A:$A,0)),H220&gt;5000,INDEX('Pliegos Tarifarios (Huechuraba)'!$J:$J,MATCH($B220,'Pliegos Tarifarios (Huechuraba)'!$A:$A,0)))/1.19</f>
        <v>7897.7016218487397</v>
      </c>
      <c r="R220" s="19">
        <f>INDEX('Pliegos Tarifarios (Huechuraba)'!$K:$K,MATCH($B220,'Pliegos Tarifarios (Huechuraba)'!$A:$A,0))</f>
        <v>723.32799999999997</v>
      </c>
      <c r="S220" s="36">
        <f t="shared" si="9"/>
        <v>478540.60510184872</v>
      </c>
      <c r="T220" s="36">
        <f t="shared" si="10"/>
        <v>90922.714969351262</v>
      </c>
      <c r="U220" s="19">
        <v>0</v>
      </c>
      <c r="V220" s="36">
        <f t="shared" si="11"/>
        <v>569463.32007120003</v>
      </c>
    </row>
    <row r="221" spans="1:22" ht="23.4" thickBot="1" x14ac:dyDescent="0.35">
      <c r="A221" s="25" t="s">
        <v>147</v>
      </c>
      <c r="B221" s="26">
        <v>5</v>
      </c>
      <c r="C221" s="27" t="s">
        <v>15</v>
      </c>
      <c r="D221" s="26" t="s">
        <v>29</v>
      </c>
      <c r="E221" s="26" t="s">
        <v>21</v>
      </c>
      <c r="F221" s="27" t="s">
        <v>30</v>
      </c>
      <c r="G221" s="26" t="s">
        <v>19</v>
      </c>
      <c r="H221" s="28">
        <v>1753.69</v>
      </c>
      <c r="I221" s="26">
        <v>4.74</v>
      </c>
      <c r="J221" s="26">
        <v>4.6399999999999997</v>
      </c>
      <c r="K221" s="29">
        <v>0.97899999999999998</v>
      </c>
      <c r="L221" s="26">
        <v>58.46</v>
      </c>
      <c r="M221" s="19">
        <f>H221*INDEX('Pliegos Tarifarios (Huechuraba)'!$B:$B,MATCH($B221,'Pliegos Tarifarios (Huechuraba)'!$A:$A,0))</f>
        <v>208405.01222</v>
      </c>
      <c r="N221" s="19">
        <f>I221*INDEX('Pliegos Tarifarios (Huechuraba)'!$C:$C,MATCH($B221,'Pliegos Tarifarios (Huechuraba)'!$A:$A,0))</f>
        <v>16118.232540000001</v>
      </c>
      <c r="O221" s="19">
        <f>J221*INDEX('Pliegos Tarifarios (Huechuraba)'!$D:$D,MATCH($B221,'Pliegos Tarifarios (Huechuraba)'!$A:$A,0))</f>
        <v>65422.672959999996</v>
      </c>
      <c r="P221" s="19">
        <f>H221*INDEX('Pliegos Tarifarios (Huechuraba)'!$E:$E,MATCH($B221,'Pliegos Tarifarios (Huechuraba)'!$A:$A,0))</f>
        <v>22678.719080000003</v>
      </c>
      <c r="Q221" s="19" cm="1">
        <f t="array" ref="Q221">H221*_xlfn.IFS(H221&lt;=350,INDEX('Pliegos Tarifarios (Huechuraba)'!$F:$F,MATCH($B221,'Pliegos Tarifarios (Huechuraba)'!$A:$A,0)),H221&lt;=500,INDEX('Pliegos Tarifarios (Huechuraba)'!$G:$G,MATCH($B221,'Pliegos Tarifarios (Huechuraba)'!$A:$A,0)),H221&lt;=1000,INDEX('Pliegos Tarifarios (Huechuraba)'!$H:$H,MATCH($B221,'Pliegos Tarifarios (Huechuraba)'!$A:$A,0)),H221&lt;=5000,INDEX('Pliegos Tarifarios (Huechuraba)'!$I:$I,MATCH($B221,'Pliegos Tarifarios (Huechuraba)'!$A:$A,0)),H221&gt;5000,INDEX('Pliegos Tarifarios (Huechuraba)'!$J:$J,MATCH($B221,'Pliegos Tarifarios (Huechuraba)'!$A:$A,0)))/1.19</f>
        <v>5262.54368907563</v>
      </c>
      <c r="R221" s="19">
        <f>INDEX('Pliegos Tarifarios (Huechuraba)'!$K:$K,MATCH($B221,'Pliegos Tarifarios (Huechuraba)'!$A:$A,0))</f>
        <v>723.32799999999997</v>
      </c>
      <c r="S221" s="36">
        <f t="shared" si="9"/>
        <v>318610.50848907564</v>
      </c>
      <c r="T221" s="36">
        <f t="shared" si="10"/>
        <v>60535.996612924369</v>
      </c>
      <c r="U221" s="19">
        <v>0</v>
      </c>
      <c r="V221" s="36">
        <f t="shared" si="11"/>
        <v>379146.50510200002</v>
      </c>
    </row>
    <row r="222" spans="1:22" ht="23.4" thickBot="1" x14ac:dyDescent="0.35">
      <c r="A222" s="25" t="s">
        <v>147</v>
      </c>
      <c r="B222" s="26">
        <v>5</v>
      </c>
      <c r="C222" s="27" t="s">
        <v>15</v>
      </c>
      <c r="D222" s="26" t="s">
        <v>31</v>
      </c>
      <c r="E222" s="26" t="s">
        <v>21</v>
      </c>
      <c r="F222" s="27" t="s">
        <v>32</v>
      </c>
      <c r="G222" s="26" t="s">
        <v>33</v>
      </c>
      <c r="H222" s="26">
        <v>583.80999999999995</v>
      </c>
      <c r="I222" s="26">
        <v>1.55</v>
      </c>
      <c r="J222" s="26">
        <v>1.55</v>
      </c>
      <c r="K222" s="29">
        <v>1</v>
      </c>
      <c r="L222" s="26">
        <v>19.46</v>
      </c>
      <c r="M222" s="19">
        <f>H222*INDEX('Pliegos Tarifarios (Huechuraba)'!$B:$B,MATCH($B222,'Pliegos Tarifarios (Huechuraba)'!$A:$A,0))</f>
        <v>69378.812779999993</v>
      </c>
      <c r="N222" s="19">
        <f>I222*INDEX('Pliegos Tarifarios (Huechuraba)'!$C:$C,MATCH($B222,'Pliegos Tarifarios (Huechuraba)'!$A:$A,0))</f>
        <v>5270.7300500000001</v>
      </c>
      <c r="O222" s="19">
        <f>J222*INDEX('Pliegos Tarifarios (Huechuraba)'!$D:$D,MATCH($B222,'Pliegos Tarifarios (Huechuraba)'!$A:$A,0))</f>
        <v>21854.556700000001</v>
      </c>
      <c r="P222" s="19">
        <f>H222*INDEX('Pliegos Tarifarios (Huechuraba)'!$E:$E,MATCH($B222,'Pliegos Tarifarios (Huechuraba)'!$A:$A,0))</f>
        <v>7549.8309199999994</v>
      </c>
      <c r="Q222" s="19" cm="1">
        <f t="array" ref="Q222">H222*_xlfn.IFS(H222&lt;=350,INDEX('Pliegos Tarifarios (Huechuraba)'!$F:$F,MATCH($B222,'Pliegos Tarifarios (Huechuraba)'!$A:$A,0)),H222&lt;=500,INDEX('Pliegos Tarifarios (Huechuraba)'!$G:$G,MATCH($B222,'Pliegos Tarifarios (Huechuraba)'!$A:$A,0)),H222&lt;=1000,INDEX('Pliegos Tarifarios (Huechuraba)'!$H:$H,MATCH($B222,'Pliegos Tarifarios (Huechuraba)'!$A:$A,0)),H222&lt;=5000,INDEX('Pliegos Tarifarios (Huechuraba)'!$I:$I,MATCH($B222,'Pliegos Tarifarios (Huechuraba)'!$A:$A,0)),H222&gt;5000,INDEX('Pliegos Tarifarios (Huechuraba)'!$J:$J,MATCH($B222,'Pliegos Tarifarios (Huechuraba)'!$A:$A,0)))/1.19</f>
        <v>1369.255218487395</v>
      </c>
      <c r="R222" s="19">
        <f>INDEX('Pliegos Tarifarios (Huechuraba)'!$K:$K,MATCH($B222,'Pliegos Tarifarios (Huechuraba)'!$A:$A,0))</f>
        <v>723.32799999999997</v>
      </c>
      <c r="S222" s="36">
        <f t="shared" si="9"/>
        <v>106146.51366848737</v>
      </c>
      <c r="T222" s="36">
        <f t="shared" si="10"/>
        <v>20167.8375970126</v>
      </c>
      <c r="U222" s="19">
        <v>0</v>
      </c>
      <c r="V222" s="36">
        <f t="shared" si="11"/>
        <v>126314.35126549998</v>
      </c>
    </row>
    <row r="223" spans="1:22" ht="23.4" thickBot="1" x14ac:dyDescent="0.35">
      <c r="A223" s="25" t="s">
        <v>147</v>
      </c>
      <c r="B223" s="26">
        <v>5</v>
      </c>
      <c r="C223" s="27" t="s">
        <v>15</v>
      </c>
      <c r="D223" s="26" t="s">
        <v>34</v>
      </c>
      <c r="E223" s="26" t="s">
        <v>21</v>
      </c>
      <c r="F223" s="27" t="s">
        <v>35</v>
      </c>
      <c r="G223" s="26" t="s">
        <v>19</v>
      </c>
      <c r="H223" s="28">
        <v>1752.69</v>
      </c>
      <c r="I223" s="26">
        <v>4.68</v>
      </c>
      <c r="J223" s="26">
        <v>4.59</v>
      </c>
      <c r="K223" s="29">
        <v>0.98099999999999998</v>
      </c>
      <c r="L223" s="26">
        <v>58.42</v>
      </c>
      <c r="M223" s="19">
        <f>H223*INDEX('Pliegos Tarifarios (Huechuraba)'!$B:$B,MATCH($B223,'Pliegos Tarifarios (Huechuraba)'!$A:$A,0))</f>
        <v>208286.17421999999</v>
      </c>
      <c r="N223" s="19">
        <f>I223*INDEX('Pliegos Tarifarios (Huechuraba)'!$C:$C,MATCH($B223,'Pliegos Tarifarios (Huechuraba)'!$A:$A,0))</f>
        <v>15914.20428</v>
      </c>
      <c r="O223" s="19">
        <f>J223*INDEX('Pliegos Tarifarios (Huechuraba)'!$D:$D,MATCH($B223,'Pliegos Tarifarios (Huechuraba)'!$A:$A,0))</f>
        <v>64717.687259999999</v>
      </c>
      <c r="P223" s="19">
        <f>H223*INDEX('Pliegos Tarifarios (Huechuraba)'!$E:$E,MATCH($B223,'Pliegos Tarifarios (Huechuraba)'!$A:$A,0))</f>
        <v>22665.787080000002</v>
      </c>
      <c r="Q223" s="19" cm="1">
        <f t="array" ref="Q223">H223*_xlfn.IFS(H223&lt;=350,INDEX('Pliegos Tarifarios (Huechuraba)'!$F:$F,MATCH($B223,'Pliegos Tarifarios (Huechuraba)'!$A:$A,0)),H223&lt;=500,INDEX('Pliegos Tarifarios (Huechuraba)'!$G:$G,MATCH($B223,'Pliegos Tarifarios (Huechuraba)'!$A:$A,0)),H223&lt;=1000,INDEX('Pliegos Tarifarios (Huechuraba)'!$H:$H,MATCH($B223,'Pliegos Tarifarios (Huechuraba)'!$A:$A,0)),H223&lt;=5000,INDEX('Pliegos Tarifarios (Huechuraba)'!$I:$I,MATCH($B223,'Pliegos Tarifarios (Huechuraba)'!$A:$A,0)),H223&gt;5000,INDEX('Pliegos Tarifarios (Huechuraba)'!$J:$J,MATCH($B223,'Pliegos Tarifarios (Huechuraba)'!$A:$A,0)))/1.19</f>
        <v>5259.5428487394956</v>
      </c>
      <c r="R223" s="19">
        <f>INDEX('Pliegos Tarifarios (Huechuraba)'!$K:$K,MATCH($B223,'Pliegos Tarifarios (Huechuraba)'!$A:$A,0))</f>
        <v>723.32799999999997</v>
      </c>
      <c r="S223" s="36">
        <f t="shared" si="9"/>
        <v>317566.72368873941</v>
      </c>
      <c r="T223" s="36">
        <f t="shared" si="10"/>
        <v>60337.677500860489</v>
      </c>
      <c r="U223" s="19">
        <v>0</v>
      </c>
      <c r="V223" s="36">
        <f t="shared" si="11"/>
        <v>377904.40118959988</v>
      </c>
    </row>
    <row r="224" spans="1:22" ht="23.4" thickBot="1" x14ac:dyDescent="0.35">
      <c r="A224" s="25" t="s">
        <v>147</v>
      </c>
      <c r="B224" s="26">
        <v>5</v>
      </c>
      <c r="C224" s="27" t="s">
        <v>15</v>
      </c>
      <c r="D224" s="26" t="s">
        <v>36</v>
      </c>
      <c r="E224" s="26" t="s">
        <v>37</v>
      </c>
      <c r="F224" s="27" t="s">
        <v>38</v>
      </c>
      <c r="G224" s="26" t="s">
        <v>33</v>
      </c>
      <c r="H224" s="26">
        <v>727.38</v>
      </c>
      <c r="I224" s="26">
        <v>1.96</v>
      </c>
      <c r="J224" s="26">
        <v>1.96</v>
      </c>
      <c r="K224" s="29">
        <v>1</v>
      </c>
      <c r="L224" s="26">
        <v>24.25</v>
      </c>
      <c r="M224" s="19">
        <f>H224*INDEX('Pliegos Tarifarios (Huechuraba)'!$B:$B,MATCH($B224,'Pliegos Tarifarios (Huechuraba)'!$A:$A,0))</f>
        <v>86440.384439999994</v>
      </c>
      <c r="N224" s="19">
        <f>I224*INDEX('Pliegos Tarifarios (Huechuraba)'!$C:$C,MATCH($B224,'Pliegos Tarifarios (Huechuraba)'!$A:$A,0))</f>
        <v>6664.9231600000003</v>
      </c>
      <c r="O224" s="19">
        <f>J224*INDEX('Pliegos Tarifarios (Huechuraba)'!$D:$D,MATCH($B224,'Pliegos Tarifarios (Huechuraba)'!$A:$A,0))</f>
        <v>27635.439439999998</v>
      </c>
      <c r="P224" s="19">
        <f>H224*INDEX('Pliegos Tarifarios (Huechuraba)'!$E:$E,MATCH($B224,'Pliegos Tarifarios (Huechuraba)'!$A:$A,0))</f>
        <v>9406.4781600000006</v>
      </c>
      <c r="Q224" s="19" cm="1">
        <f t="array" ref="Q224">H224*_xlfn.IFS(H224&lt;=350,INDEX('Pliegos Tarifarios (Huechuraba)'!$F:$F,MATCH($B224,'Pliegos Tarifarios (Huechuraba)'!$A:$A,0)),H224&lt;=500,INDEX('Pliegos Tarifarios (Huechuraba)'!$G:$G,MATCH($B224,'Pliegos Tarifarios (Huechuraba)'!$A:$A,0)),H224&lt;=1000,INDEX('Pliegos Tarifarios (Huechuraba)'!$H:$H,MATCH($B224,'Pliegos Tarifarios (Huechuraba)'!$A:$A,0)),H224&lt;=5000,INDEX('Pliegos Tarifarios (Huechuraba)'!$I:$I,MATCH($B224,'Pliegos Tarifarios (Huechuraba)'!$A:$A,0)),H224&gt;5000,INDEX('Pliegos Tarifarios (Huechuraba)'!$J:$J,MATCH($B224,'Pliegos Tarifarios (Huechuraba)'!$A:$A,0)))/1.19</f>
        <v>1705.9811596638658</v>
      </c>
      <c r="R224" s="19">
        <f>INDEX('Pliegos Tarifarios (Huechuraba)'!$K:$K,MATCH($B224,'Pliegos Tarifarios (Huechuraba)'!$A:$A,0))</f>
        <v>723.32799999999997</v>
      </c>
      <c r="S224" s="36">
        <f t="shared" si="9"/>
        <v>132576.53435966387</v>
      </c>
      <c r="T224" s="36">
        <f t="shared" si="10"/>
        <v>25189.541528336136</v>
      </c>
      <c r="U224" s="19">
        <v>0</v>
      </c>
      <c r="V224" s="36">
        <f t="shared" si="11"/>
        <v>157766.07588800002</v>
      </c>
    </row>
    <row r="225" spans="1:22" ht="23.4" thickBot="1" x14ac:dyDescent="0.35">
      <c r="A225" s="25" t="s">
        <v>147</v>
      </c>
      <c r="B225" s="26">
        <v>5</v>
      </c>
      <c r="C225" s="27" t="s">
        <v>15</v>
      </c>
      <c r="D225" s="26" t="s">
        <v>39</v>
      </c>
      <c r="E225" s="26" t="s">
        <v>37</v>
      </c>
      <c r="F225" s="27" t="s">
        <v>40</v>
      </c>
      <c r="G225" s="26" t="s">
        <v>33</v>
      </c>
      <c r="H225" s="26">
        <v>582.62</v>
      </c>
      <c r="I225" s="26">
        <v>1.6</v>
      </c>
      <c r="J225" s="26">
        <v>1.53</v>
      </c>
      <c r="K225" s="29">
        <v>0.95199999999999996</v>
      </c>
      <c r="L225" s="26">
        <v>19.420000000000002</v>
      </c>
      <c r="M225" s="19">
        <f>H225*INDEX('Pliegos Tarifarios (Huechuraba)'!$B:$B,MATCH($B225,'Pliegos Tarifarios (Huechuraba)'!$A:$A,0))</f>
        <v>69237.39555999999</v>
      </c>
      <c r="N225" s="19">
        <f>I225*INDEX('Pliegos Tarifarios (Huechuraba)'!$C:$C,MATCH($B225,'Pliegos Tarifarios (Huechuraba)'!$A:$A,0))</f>
        <v>5440.7536</v>
      </c>
      <c r="O225" s="19">
        <f>J225*INDEX('Pliegos Tarifarios (Huechuraba)'!$D:$D,MATCH($B225,'Pliegos Tarifarios (Huechuraba)'!$A:$A,0))</f>
        <v>21572.562420000002</v>
      </c>
      <c r="P225" s="19">
        <f>H225*INDEX('Pliegos Tarifarios (Huechuraba)'!$E:$E,MATCH($B225,'Pliegos Tarifarios (Huechuraba)'!$A:$A,0))</f>
        <v>7534.4418400000004</v>
      </c>
      <c r="Q225" s="19" cm="1">
        <f t="array" ref="Q225">H225*_xlfn.IFS(H225&lt;=350,INDEX('Pliegos Tarifarios (Huechuraba)'!$F:$F,MATCH($B225,'Pliegos Tarifarios (Huechuraba)'!$A:$A,0)),H225&lt;=500,INDEX('Pliegos Tarifarios (Huechuraba)'!$G:$G,MATCH($B225,'Pliegos Tarifarios (Huechuraba)'!$A:$A,0)),H225&lt;=1000,INDEX('Pliegos Tarifarios (Huechuraba)'!$H:$H,MATCH($B225,'Pliegos Tarifarios (Huechuraba)'!$A:$A,0)),H225&lt;=5000,INDEX('Pliegos Tarifarios (Huechuraba)'!$I:$I,MATCH($B225,'Pliegos Tarifarios (Huechuraba)'!$A:$A,0)),H225&gt;5000,INDEX('Pliegos Tarifarios (Huechuraba)'!$J:$J,MATCH($B225,'Pliegos Tarifarios (Huechuraba)'!$A:$A,0)))/1.19</f>
        <v>1366.4642184873951</v>
      </c>
      <c r="R225" s="19">
        <f>INDEX('Pliegos Tarifarios (Huechuraba)'!$K:$K,MATCH($B225,'Pliegos Tarifarios (Huechuraba)'!$A:$A,0))</f>
        <v>723.32799999999997</v>
      </c>
      <c r="S225" s="36">
        <f t="shared" si="9"/>
        <v>105874.94563848738</v>
      </c>
      <c r="T225" s="36">
        <f t="shared" si="10"/>
        <v>20116.239671312604</v>
      </c>
      <c r="U225" s="19">
        <v>0</v>
      </c>
      <c r="V225" s="36">
        <f t="shared" si="11"/>
        <v>125991.18530979998</v>
      </c>
    </row>
    <row r="226" spans="1:22" ht="23.4" thickBot="1" x14ac:dyDescent="0.35">
      <c r="A226" s="25" t="s">
        <v>147</v>
      </c>
      <c r="B226" s="26">
        <v>5</v>
      </c>
      <c r="C226" s="27" t="s">
        <v>15</v>
      </c>
      <c r="D226" s="26" t="s">
        <v>41</v>
      </c>
      <c r="E226" s="26" t="s">
        <v>37</v>
      </c>
      <c r="F226" s="27" t="s">
        <v>42</v>
      </c>
      <c r="G226" s="26" t="s">
        <v>33</v>
      </c>
      <c r="H226" s="28">
        <v>1168.08</v>
      </c>
      <c r="I226" s="26">
        <v>3.23</v>
      </c>
      <c r="J226" s="26">
        <v>3.11</v>
      </c>
      <c r="K226" s="29">
        <v>0.96299999999999997</v>
      </c>
      <c r="L226" s="26">
        <v>38.94</v>
      </c>
      <c r="M226" s="19">
        <f>H226*INDEX('Pliegos Tarifarios (Huechuraba)'!$B:$B,MATCH($B226,'Pliegos Tarifarios (Huechuraba)'!$A:$A,0))</f>
        <v>138812.29103999998</v>
      </c>
      <c r="N226" s="19">
        <f>I226*INDEX('Pliegos Tarifarios (Huechuraba)'!$C:$C,MATCH($B226,'Pliegos Tarifarios (Huechuraba)'!$A:$A,0))</f>
        <v>10983.52133</v>
      </c>
      <c r="O226" s="19">
        <f>J226*INDEX('Pliegos Tarifarios (Huechuraba)'!$D:$D,MATCH($B226,'Pliegos Tarifarios (Huechuraba)'!$A:$A,0))</f>
        <v>43850.110540000001</v>
      </c>
      <c r="P226" s="19">
        <f>H226*INDEX('Pliegos Tarifarios (Huechuraba)'!$E:$E,MATCH($B226,'Pliegos Tarifarios (Huechuraba)'!$A:$A,0))</f>
        <v>15105.610559999999</v>
      </c>
      <c r="Q226" s="19" cm="1">
        <f t="array" ref="Q226">H226*_xlfn.IFS(H226&lt;=350,INDEX('Pliegos Tarifarios (Huechuraba)'!$F:$F,MATCH($B226,'Pliegos Tarifarios (Huechuraba)'!$A:$A,0)),H226&lt;=500,INDEX('Pliegos Tarifarios (Huechuraba)'!$G:$G,MATCH($B226,'Pliegos Tarifarios (Huechuraba)'!$A:$A,0)),H226&lt;=1000,INDEX('Pliegos Tarifarios (Huechuraba)'!$H:$H,MATCH($B226,'Pliegos Tarifarios (Huechuraba)'!$A:$A,0)),H226&lt;=5000,INDEX('Pliegos Tarifarios (Huechuraba)'!$I:$I,MATCH($B226,'Pliegos Tarifarios (Huechuraba)'!$A:$A,0)),H226&gt;5000,INDEX('Pliegos Tarifarios (Huechuraba)'!$J:$J,MATCH($B226,'Pliegos Tarifarios (Huechuraba)'!$A:$A,0)))/1.19</f>
        <v>3505.221579831933</v>
      </c>
      <c r="R226" s="19">
        <f>INDEX('Pliegos Tarifarios (Huechuraba)'!$K:$K,MATCH($B226,'Pliegos Tarifarios (Huechuraba)'!$A:$A,0))</f>
        <v>723.32799999999997</v>
      </c>
      <c r="S226" s="36">
        <f t="shared" si="9"/>
        <v>212980.08304983191</v>
      </c>
      <c r="T226" s="36">
        <f t="shared" si="10"/>
        <v>40466.215779468061</v>
      </c>
      <c r="U226" s="19">
        <v>0</v>
      </c>
      <c r="V226" s="36">
        <f t="shared" si="11"/>
        <v>253446.29882929998</v>
      </c>
    </row>
    <row r="227" spans="1:22" ht="23.4" thickBot="1" x14ac:dyDescent="0.35">
      <c r="A227" s="25" t="s">
        <v>147</v>
      </c>
      <c r="B227" s="26">
        <v>5</v>
      </c>
      <c r="C227" s="27" t="s">
        <v>15</v>
      </c>
      <c r="D227" s="26" t="s">
        <v>43</v>
      </c>
      <c r="E227" s="26" t="s">
        <v>37</v>
      </c>
      <c r="F227" s="27" t="s">
        <v>44</v>
      </c>
      <c r="G227" s="26" t="s">
        <v>33</v>
      </c>
      <c r="H227" s="26">
        <v>437.94</v>
      </c>
      <c r="I227" s="26">
        <v>1.18</v>
      </c>
      <c r="J227" s="26">
        <v>1.18</v>
      </c>
      <c r="K227" s="29">
        <v>0.996</v>
      </c>
      <c r="L227" s="26">
        <v>14.6</v>
      </c>
      <c r="M227" s="19">
        <f>H227*INDEX('Pliegos Tarifarios (Huechuraba)'!$B:$B,MATCH($B227,'Pliegos Tarifarios (Huechuraba)'!$A:$A,0))</f>
        <v>52043.913719999997</v>
      </c>
      <c r="N227" s="19">
        <f>I227*INDEX('Pliegos Tarifarios (Huechuraba)'!$C:$C,MATCH($B227,'Pliegos Tarifarios (Huechuraba)'!$A:$A,0))</f>
        <v>4012.5557799999997</v>
      </c>
      <c r="O227" s="19">
        <f>J227*INDEX('Pliegos Tarifarios (Huechuraba)'!$D:$D,MATCH($B227,'Pliegos Tarifarios (Huechuraba)'!$A:$A,0))</f>
        <v>16637.662519999998</v>
      </c>
      <c r="P227" s="19">
        <f>H227*INDEX('Pliegos Tarifarios (Huechuraba)'!$E:$E,MATCH($B227,'Pliegos Tarifarios (Huechuraba)'!$A:$A,0))</f>
        <v>5663.4400800000003</v>
      </c>
      <c r="Q227" s="19" cm="1">
        <f t="array" ref="Q227">H227*_xlfn.IFS(H227&lt;=350,INDEX('Pliegos Tarifarios (Huechuraba)'!$F:$F,MATCH($B227,'Pliegos Tarifarios (Huechuraba)'!$A:$A,0)),H227&lt;=500,INDEX('Pliegos Tarifarios (Huechuraba)'!$G:$G,MATCH($B227,'Pliegos Tarifarios (Huechuraba)'!$A:$A,0)),H227&lt;=1000,INDEX('Pliegos Tarifarios (Huechuraba)'!$H:$H,MATCH($B227,'Pliegos Tarifarios (Huechuraba)'!$A:$A,0)),H227&lt;=5000,INDEX('Pliegos Tarifarios (Huechuraba)'!$I:$I,MATCH($B227,'Pliegos Tarifarios (Huechuraba)'!$A:$A,0)),H227&gt;5000,INDEX('Pliegos Tarifarios (Huechuraba)'!$J:$J,MATCH($B227,'Pliegos Tarifarios (Huechuraba)'!$A:$A,0)))/1.19</f>
        <v>616.79616806722697</v>
      </c>
      <c r="R227" s="19">
        <f>INDEX('Pliegos Tarifarios (Huechuraba)'!$K:$K,MATCH($B227,'Pliegos Tarifarios (Huechuraba)'!$A:$A,0))</f>
        <v>723.32799999999997</v>
      </c>
      <c r="S227" s="36">
        <f t="shared" si="9"/>
        <v>79697.696268067215</v>
      </c>
      <c r="T227" s="36">
        <f t="shared" si="10"/>
        <v>15142.56229093277</v>
      </c>
      <c r="U227" s="19">
        <v>0</v>
      </c>
      <c r="V227" s="36">
        <f t="shared" si="11"/>
        <v>94840.25855899998</v>
      </c>
    </row>
    <row r="228" spans="1:22" ht="23.4" thickBot="1" x14ac:dyDescent="0.35">
      <c r="A228" s="25" t="s">
        <v>147</v>
      </c>
      <c r="B228" s="26">
        <v>5</v>
      </c>
      <c r="C228" s="27" t="s">
        <v>15</v>
      </c>
      <c r="D228" s="26" t="s">
        <v>45</v>
      </c>
      <c r="E228" s="26" t="s">
        <v>37</v>
      </c>
      <c r="F228" s="27" t="s">
        <v>46</v>
      </c>
      <c r="G228" s="26" t="s">
        <v>33</v>
      </c>
      <c r="H228" s="26">
        <v>437.36</v>
      </c>
      <c r="I228" s="26">
        <v>1.17</v>
      </c>
      <c r="J228" s="26">
        <v>1.17</v>
      </c>
      <c r="K228" s="29">
        <v>1</v>
      </c>
      <c r="L228" s="26">
        <v>14.58</v>
      </c>
      <c r="M228" s="19">
        <f>H228*INDEX('Pliegos Tarifarios (Huechuraba)'!$B:$B,MATCH($B228,'Pliegos Tarifarios (Huechuraba)'!$A:$A,0))</f>
        <v>51974.987679999998</v>
      </c>
      <c r="N228" s="19">
        <f>I228*INDEX('Pliegos Tarifarios (Huechuraba)'!$C:$C,MATCH($B228,'Pliegos Tarifarios (Huechuraba)'!$A:$A,0))</f>
        <v>3978.55107</v>
      </c>
      <c r="O228" s="19">
        <f>J228*INDEX('Pliegos Tarifarios (Huechuraba)'!$D:$D,MATCH($B228,'Pliegos Tarifarios (Huechuraba)'!$A:$A,0))</f>
        <v>16496.665379999999</v>
      </c>
      <c r="P228" s="19">
        <f>H228*INDEX('Pliegos Tarifarios (Huechuraba)'!$E:$E,MATCH($B228,'Pliegos Tarifarios (Huechuraba)'!$A:$A,0))</f>
        <v>5655.9395199999999</v>
      </c>
      <c r="Q228" s="19" cm="1">
        <f t="array" ref="Q228">H228*_xlfn.IFS(H228&lt;=350,INDEX('Pliegos Tarifarios (Huechuraba)'!$F:$F,MATCH($B228,'Pliegos Tarifarios (Huechuraba)'!$A:$A,0)),H228&lt;=500,INDEX('Pliegos Tarifarios (Huechuraba)'!$G:$G,MATCH($B228,'Pliegos Tarifarios (Huechuraba)'!$A:$A,0)),H228&lt;=1000,INDEX('Pliegos Tarifarios (Huechuraba)'!$H:$H,MATCH($B228,'Pliegos Tarifarios (Huechuraba)'!$A:$A,0)),H228&lt;=5000,INDEX('Pliegos Tarifarios (Huechuraba)'!$I:$I,MATCH($B228,'Pliegos Tarifarios (Huechuraba)'!$A:$A,0)),H228&gt;5000,INDEX('Pliegos Tarifarios (Huechuraba)'!$J:$J,MATCH($B228,'Pliegos Tarifarios (Huechuraba)'!$A:$A,0)))/1.19</f>
        <v>615.97929411764721</v>
      </c>
      <c r="R228" s="19">
        <f>INDEX('Pliegos Tarifarios (Huechuraba)'!$K:$K,MATCH($B228,'Pliegos Tarifarios (Huechuraba)'!$A:$A,0))</f>
        <v>723.32799999999997</v>
      </c>
      <c r="S228" s="36">
        <f t="shared" si="9"/>
        <v>79445.450944117634</v>
      </c>
      <c r="T228" s="36">
        <f t="shared" si="10"/>
        <v>15094.635679382351</v>
      </c>
      <c r="U228" s="19">
        <v>0</v>
      </c>
      <c r="V228" s="36">
        <f t="shared" si="11"/>
        <v>94540.086623499985</v>
      </c>
    </row>
    <row r="229" spans="1:22" ht="23.4" thickBot="1" x14ac:dyDescent="0.35">
      <c r="A229" s="25" t="s">
        <v>147</v>
      </c>
      <c r="B229" s="26">
        <v>5</v>
      </c>
      <c r="C229" s="27" t="s">
        <v>15</v>
      </c>
      <c r="D229" s="26" t="s">
        <v>47</v>
      </c>
      <c r="E229" s="26" t="s">
        <v>37</v>
      </c>
      <c r="F229" s="27" t="s">
        <v>48</v>
      </c>
      <c r="G229" s="26" t="s">
        <v>33</v>
      </c>
      <c r="H229" s="26">
        <v>871.54</v>
      </c>
      <c r="I229" s="26">
        <v>2.36</v>
      </c>
      <c r="J229" s="26">
        <v>2.2999999999999998</v>
      </c>
      <c r="K229" s="29">
        <v>0.97499999999999998</v>
      </c>
      <c r="L229" s="26">
        <v>29.05</v>
      </c>
      <c r="M229" s="19">
        <f>H229*INDEX('Pliegos Tarifarios (Huechuraba)'!$B:$B,MATCH($B229,'Pliegos Tarifarios (Huechuraba)'!$A:$A,0))</f>
        <v>103572.07051999999</v>
      </c>
      <c r="N229" s="19">
        <f>I229*INDEX('Pliegos Tarifarios (Huechuraba)'!$C:$C,MATCH($B229,'Pliegos Tarifarios (Huechuraba)'!$A:$A,0))</f>
        <v>8025.1115599999994</v>
      </c>
      <c r="O229" s="19">
        <f>J229*INDEX('Pliegos Tarifarios (Huechuraba)'!$D:$D,MATCH($B229,'Pliegos Tarifarios (Huechuraba)'!$A:$A,0))</f>
        <v>32429.342199999999</v>
      </c>
      <c r="P229" s="19">
        <f>H229*INDEX('Pliegos Tarifarios (Huechuraba)'!$E:$E,MATCH($B229,'Pliegos Tarifarios (Huechuraba)'!$A:$A,0))</f>
        <v>11270.755279999999</v>
      </c>
      <c r="Q229" s="19" cm="1">
        <f t="array" ref="Q229">H229*_xlfn.IFS(H229&lt;=350,INDEX('Pliegos Tarifarios (Huechuraba)'!$F:$F,MATCH($B229,'Pliegos Tarifarios (Huechuraba)'!$A:$A,0)),H229&lt;=500,INDEX('Pliegos Tarifarios (Huechuraba)'!$G:$G,MATCH($B229,'Pliegos Tarifarios (Huechuraba)'!$A:$A,0)),H229&lt;=1000,INDEX('Pliegos Tarifarios (Huechuraba)'!$H:$H,MATCH($B229,'Pliegos Tarifarios (Huechuraba)'!$A:$A,0)),H229&lt;=5000,INDEX('Pliegos Tarifarios (Huechuraba)'!$I:$I,MATCH($B229,'Pliegos Tarifarios (Huechuraba)'!$A:$A,0)),H229&gt;5000,INDEX('Pliegos Tarifarios (Huechuraba)'!$J:$J,MATCH($B229,'Pliegos Tarifarios (Huechuraba)'!$A:$A,0)))/1.19</f>
        <v>2044.0908739495803</v>
      </c>
      <c r="R229" s="19">
        <f>INDEX('Pliegos Tarifarios (Huechuraba)'!$K:$K,MATCH($B229,'Pliegos Tarifarios (Huechuraba)'!$A:$A,0))</f>
        <v>723.32799999999997</v>
      </c>
      <c r="S229" s="36">
        <f t="shared" si="9"/>
        <v>158064.69843394961</v>
      </c>
      <c r="T229" s="36">
        <f t="shared" si="10"/>
        <v>30032.292702450428</v>
      </c>
      <c r="U229" s="19">
        <v>0</v>
      </c>
      <c r="V229" s="36">
        <f t="shared" si="11"/>
        <v>188096.99113640003</v>
      </c>
    </row>
    <row r="230" spans="1:22" ht="23.4" thickBot="1" x14ac:dyDescent="0.35">
      <c r="A230" s="25" t="s">
        <v>147</v>
      </c>
      <c r="B230" s="26">
        <v>5</v>
      </c>
      <c r="C230" s="27" t="s">
        <v>15</v>
      </c>
      <c r="D230" s="26" t="s">
        <v>49</v>
      </c>
      <c r="E230" s="26" t="s">
        <v>50</v>
      </c>
      <c r="F230" s="27" t="s">
        <v>51</v>
      </c>
      <c r="G230" s="26" t="s">
        <v>33</v>
      </c>
      <c r="H230" s="26">
        <v>874.67</v>
      </c>
      <c r="I230" s="26">
        <v>2.35</v>
      </c>
      <c r="J230" s="26">
        <v>2.33</v>
      </c>
      <c r="K230" s="29">
        <v>0.99399999999999999</v>
      </c>
      <c r="L230" s="26">
        <v>29.16</v>
      </c>
      <c r="M230" s="19">
        <f>H230*INDEX('Pliegos Tarifarios (Huechuraba)'!$B:$B,MATCH($B230,'Pliegos Tarifarios (Huechuraba)'!$A:$A,0))</f>
        <v>103944.03345999999</v>
      </c>
      <c r="N230" s="19">
        <f>I230*INDEX('Pliegos Tarifarios (Huechuraba)'!$C:$C,MATCH($B230,'Pliegos Tarifarios (Huechuraba)'!$A:$A,0))</f>
        <v>7991.1068500000001</v>
      </c>
      <c r="O230" s="19">
        <f>J230*INDEX('Pliegos Tarifarios (Huechuraba)'!$D:$D,MATCH($B230,'Pliegos Tarifarios (Huechuraba)'!$A:$A,0))</f>
        <v>32852.333619999998</v>
      </c>
      <c r="P230" s="19">
        <f>H230*INDEX('Pliegos Tarifarios (Huechuraba)'!$E:$E,MATCH($B230,'Pliegos Tarifarios (Huechuraba)'!$A:$A,0))</f>
        <v>11311.23244</v>
      </c>
      <c r="Q230" s="19" cm="1">
        <f t="array" ref="Q230">H230*_xlfn.IFS(H230&lt;=350,INDEX('Pliegos Tarifarios (Huechuraba)'!$F:$F,MATCH($B230,'Pliegos Tarifarios (Huechuraba)'!$A:$A,0)),H230&lt;=500,INDEX('Pliegos Tarifarios (Huechuraba)'!$G:$G,MATCH($B230,'Pliegos Tarifarios (Huechuraba)'!$A:$A,0)),H230&lt;=1000,INDEX('Pliegos Tarifarios (Huechuraba)'!$H:$H,MATCH($B230,'Pliegos Tarifarios (Huechuraba)'!$A:$A,0)),H230&lt;=5000,INDEX('Pliegos Tarifarios (Huechuraba)'!$I:$I,MATCH($B230,'Pliegos Tarifarios (Huechuraba)'!$A:$A,0)),H230&gt;5000,INDEX('Pliegos Tarifarios (Huechuraba)'!$J:$J,MATCH($B230,'Pliegos Tarifarios (Huechuraba)'!$A:$A,0)))/1.19</f>
        <v>2051.4319075630251</v>
      </c>
      <c r="R230" s="19">
        <f>INDEX('Pliegos Tarifarios (Huechuraba)'!$K:$K,MATCH($B230,'Pliegos Tarifarios (Huechuraba)'!$A:$A,0))</f>
        <v>723.32799999999997</v>
      </c>
      <c r="S230" s="36">
        <f t="shared" si="9"/>
        <v>158873.46627756301</v>
      </c>
      <c r="T230" s="36">
        <f t="shared" si="10"/>
        <v>30185.958592736974</v>
      </c>
      <c r="U230" s="19">
        <v>0</v>
      </c>
      <c r="V230" s="36">
        <f t="shared" si="11"/>
        <v>189059.42487029999</v>
      </c>
    </row>
    <row r="231" spans="1:22" ht="23.4" thickBot="1" x14ac:dyDescent="0.35">
      <c r="A231" s="25" t="s">
        <v>147</v>
      </c>
      <c r="B231" s="26">
        <v>5</v>
      </c>
      <c r="C231" s="27" t="s">
        <v>15</v>
      </c>
      <c r="D231" s="26" t="s">
        <v>52</v>
      </c>
      <c r="E231" s="26" t="s">
        <v>50</v>
      </c>
      <c r="F231" s="27" t="s">
        <v>53</v>
      </c>
      <c r="G231" s="26" t="s">
        <v>33</v>
      </c>
      <c r="H231" s="26">
        <v>875.81</v>
      </c>
      <c r="I231" s="26">
        <v>2.34</v>
      </c>
      <c r="J231" s="26">
        <v>2.31</v>
      </c>
      <c r="K231" s="29">
        <v>0.99</v>
      </c>
      <c r="L231" s="26">
        <v>29.19</v>
      </c>
      <c r="M231" s="19">
        <f>H231*INDEX('Pliegos Tarifarios (Huechuraba)'!$B:$B,MATCH($B231,'Pliegos Tarifarios (Huechuraba)'!$A:$A,0))</f>
        <v>104079.50877999999</v>
      </c>
      <c r="N231" s="19">
        <f>I231*INDEX('Pliegos Tarifarios (Huechuraba)'!$C:$C,MATCH($B231,'Pliegos Tarifarios (Huechuraba)'!$A:$A,0))</f>
        <v>7957.10214</v>
      </c>
      <c r="O231" s="19">
        <f>J231*INDEX('Pliegos Tarifarios (Huechuraba)'!$D:$D,MATCH($B231,'Pliegos Tarifarios (Huechuraba)'!$A:$A,0))</f>
        <v>32570.339340000002</v>
      </c>
      <c r="P231" s="19">
        <f>H231*INDEX('Pliegos Tarifarios (Huechuraba)'!$E:$E,MATCH($B231,'Pliegos Tarifarios (Huechuraba)'!$A:$A,0))</f>
        <v>11325.974919999999</v>
      </c>
      <c r="Q231" s="19" cm="1">
        <f t="array" ref="Q231">H231*_xlfn.IFS(H231&lt;=350,INDEX('Pliegos Tarifarios (Huechuraba)'!$F:$F,MATCH($B231,'Pliegos Tarifarios (Huechuraba)'!$A:$A,0)),H231&lt;=500,INDEX('Pliegos Tarifarios (Huechuraba)'!$G:$G,MATCH($B231,'Pliegos Tarifarios (Huechuraba)'!$A:$A,0)),H231&lt;=1000,INDEX('Pliegos Tarifarios (Huechuraba)'!$H:$H,MATCH($B231,'Pliegos Tarifarios (Huechuraba)'!$A:$A,0)),H231&lt;=5000,INDEX('Pliegos Tarifarios (Huechuraba)'!$I:$I,MATCH($B231,'Pliegos Tarifarios (Huechuraba)'!$A:$A,0)),H231&gt;5000,INDEX('Pliegos Tarifarios (Huechuraba)'!$J:$J,MATCH($B231,'Pliegos Tarifarios (Huechuraba)'!$A:$A,0)))/1.19</f>
        <v>2054.1056386554624</v>
      </c>
      <c r="R231" s="19">
        <f>INDEX('Pliegos Tarifarios (Huechuraba)'!$K:$K,MATCH($B231,'Pliegos Tarifarios (Huechuraba)'!$A:$A,0))</f>
        <v>723.32799999999997</v>
      </c>
      <c r="S231" s="36">
        <f t="shared" si="9"/>
        <v>158710.35881865546</v>
      </c>
      <c r="T231" s="36">
        <f t="shared" si="10"/>
        <v>30154.968175544538</v>
      </c>
      <c r="U231" s="19">
        <v>0</v>
      </c>
      <c r="V231" s="36">
        <f t="shared" si="11"/>
        <v>188865.3269942</v>
      </c>
    </row>
    <row r="232" spans="1:22" ht="23.4" thickBot="1" x14ac:dyDescent="0.35">
      <c r="A232" s="25" t="s">
        <v>147</v>
      </c>
      <c r="B232" s="26">
        <v>5</v>
      </c>
      <c r="C232" s="27" t="s">
        <v>15</v>
      </c>
      <c r="D232" s="26" t="s">
        <v>54</v>
      </c>
      <c r="E232" s="26" t="s">
        <v>55</v>
      </c>
      <c r="F232" s="27" t="s">
        <v>56</v>
      </c>
      <c r="G232" s="26" t="s">
        <v>33</v>
      </c>
      <c r="H232" s="26">
        <v>438.6</v>
      </c>
      <c r="I232" s="26">
        <v>1.19</v>
      </c>
      <c r="J232" s="26">
        <v>1.19</v>
      </c>
      <c r="K232" s="29">
        <v>1</v>
      </c>
      <c r="L232" s="26">
        <v>14.62</v>
      </c>
      <c r="M232" s="19">
        <f>H232*INDEX('Pliegos Tarifarios (Huechuraba)'!$B:$B,MATCH($B232,'Pliegos Tarifarios (Huechuraba)'!$A:$A,0))</f>
        <v>52122.346799999999</v>
      </c>
      <c r="N232" s="19">
        <f>I232*INDEX('Pliegos Tarifarios (Huechuraba)'!$C:$C,MATCH($B232,'Pliegos Tarifarios (Huechuraba)'!$A:$A,0))</f>
        <v>4046.5604899999998</v>
      </c>
      <c r="O232" s="19">
        <f>J232*INDEX('Pliegos Tarifarios (Huechuraba)'!$D:$D,MATCH($B232,'Pliegos Tarifarios (Huechuraba)'!$A:$A,0))</f>
        <v>16778.659659999998</v>
      </c>
      <c r="P232" s="19">
        <f>H232*INDEX('Pliegos Tarifarios (Huechuraba)'!$E:$E,MATCH($B232,'Pliegos Tarifarios (Huechuraba)'!$A:$A,0))</f>
        <v>5671.9752000000008</v>
      </c>
      <c r="Q232" s="19" cm="1">
        <f t="array" ref="Q232">H232*_xlfn.IFS(H232&lt;=350,INDEX('Pliegos Tarifarios (Huechuraba)'!$F:$F,MATCH($B232,'Pliegos Tarifarios (Huechuraba)'!$A:$A,0)),H232&lt;=500,INDEX('Pliegos Tarifarios (Huechuraba)'!$G:$G,MATCH($B232,'Pliegos Tarifarios (Huechuraba)'!$A:$A,0)),H232&lt;=1000,INDEX('Pliegos Tarifarios (Huechuraba)'!$H:$H,MATCH($B232,'Pliegos Tarifarios (Huechuraba)'!$A:$A,0)),H232&lt;=5000,INDEX('Pliegos Tarifarios (Huechuraba)'!$I:$I,MATCH($B232,'Pliegos Tarifarios (Huechuraba)'!$A:$A,0)),H232&gt;5000,INDEX('Pliegos Tarifarios (Huechuraba)'!$J:$J,MATCH($B232,'Pliegos Tarifarios (Huechuraba)'!$A:$A,0)))/1.19</f>
        <v>617.72571428571439</v>
      </c>
      <c r="R232" s="19">
        <f>INDEX('Pliegos Tarifarios (Huechuraba)'!$K:$K,MATCH($B232,'Pliegos Tarifarios (Huechuraba)'!$A:$A,0))</f>
        <v>723.32799999999997</v>
      </c>
      <c r="S232" s="36">
        <f t="shared" si="9"/>
        <v>79960.595864285715</v>
      </c>
      <c r="T232" s="36">
        <f t="shared" si="10"/>
        <v>15192.513214214287</v>
      </c>
      <c r="U232" s="19">
        <v>0</v>
      </c>
      <c r="V232" s="36">
        <f t="shared" si="11"/>
        <v>95153.109078499998</v>
      </c>
    </row>
    <row r="233" spans="1:22" ht="23.4" thickBot="1" x14ac:dyDescent="0.35">
      <c r="A233" s="25" t="s">
        <v>147</v>
      </c>
      <c r="B233" s="26">
        <v>5</v>
      </c>
      <c r="C233" s="27" t="s">
        <v>15</v>
      </c>
      <c r="D233" s="26" t="s">
        <v>57</v>
      </c>
      <c r="E233" s="26" t="s">
        <v>58</v>
      </c>
      <c r="F233" s="27" t="s">
        <v>59</v>
      </c>
      <c r="G233" s="26" t="s">
        <v>33</v>
      </c>
      <c r="H233" s="26">
        <v>292.27999999999997</v>
      </c>
      <c r="I233" s="26">
        <v>0.78</v>
      </c>
      <c r="J233" s="26">
        <v>0.78</v>
      </c>
      <c r="K233" s="29">
        <v>1</v>
      </c>
      <c r="L233" s="26">
        <v>9.74</v>
      </c>
      <c r="M233" s="19">
        <f>H233*INDEX('Pliegos Tarifarios (Huechuraba)'!$B:$B,MATCH($B233,'Pliegos Tarifarios (Huechuraba)'!$A:$A,0))</f>
        <v>34733.970639999992</v>
      </c>
      <c r="N233" s="19">
        <f>I233*INDEX('Pliegos Tarifarios (Huechuraba)'!$C:$C,MATCH($B233,'Pliegos Tarifarios (Huechuraba)'!$A:$A,0))</f>
        <v>2652.3673800000001</v>
      </c>
      <c r="O233" s="19">
        <f>J233*INDEX('Pliegos Tarifarios (Huechuraba)'!$D:$D,MATCH($B233,'Pliegos Tarifarios (Huechuraba)'!$A:$A,0))</f>
        <v>10997.77692</v>
      </c>
      <c r="P233" s="19">
        <f>H233*INDEX('Pliegos Tarifarios (Huechuraba)'!$E:$E,MATCH($B233,'Pliegos Tarifarios (Huechuraba)'!$A:$A,0))</f>
        <v>3779.76496</v>
      </c>
      <c r="Q233" s="19" cm="1">
        <f t="array" ref="Q233">H233*_xlfn.IFS(H233&lt;=350,INDEX('Pliegos Tarifarios (Huechuraba)'!$F:$F,MATCH($B233,'Pliegos Tarifarios (Huechuraba)'!$A:$A,0)),H233&lt;=500,INDEX('Pliegos Tarifarios (Huechuraba)'!$G:$G,MATCH($B233,'Pliegos Tarifarios (Huechuraba)'!$A:$A,0)),H233&lt;=1000,INDEX('Pliegos Tarifarios (Huechuraba)'!$H:$H,MATCH($B233,'Pliegos Tarifarios (Huechuraba)'!$A:$A,0)),H233&lt;=5000,INDEX('Pliegos Tarifarios (Huechuraba)'!$I:$I,MATCH($B233,'Pliegos Tarifarios (Huechuraba)'!$A:$A,0)),H233&gt;5000,INDEX('Pliegos Tarifarios (Huechuraba)'!$J:$J,MATCH($B233,'Pliegos Tarifarios (Huechuraba)'!$A:$A,0)))/1.19</f>
        <v>192.56094117647058</v>
      </c>
      <c r="R233" s="19">
        <f>INDEX('Pliegos Tarifarios (Huechuraba)'!$K:$K,MATCH($B233,'Pliegos Tarifarios (Huechuraba)'!$A:$A,0))</f>
        <v>723.32799999999997</v>
      </c>
      <c r="S233" s="36">
        <f t="shared" si="9"/>
        <v>53079.768841176468</v>
      </c>
      <c r="T233" s="36">
        <f t="shared" si="10"/>
        <v>10085.15607982353</v>
      </c>
      <c r="U233" s="19">
        <v>0</v>
      </c>
      <c r="V233" s="36">
        <f t="shared" si="11"/>
        <v>63164.924920999998</v>
      </c>
    </row>
    <row r="234" spans="1:22" ht="23.4" thickBot="1" x14ac:dyDescent="0.35">
      <c r="A234" s="25" t="s">
        <v>147</v>
      </c>
      <c r="B234" s="26">
        <v>5</v>
      </c>
      <c r="C234" s="27" t="s">
        <v>15</v>
      </c>
      <c r="D234" s="26" t="s">
        <v>60</v>
      </c>
      <c r="E234" s="26" t="s">
        <v>61</v>
      </c>
      <c r="F234" s="27" t="s">
        <v>62</v>
      </c>
      <c r="G234" s="26" t="s">
        <v>33</v>
      </c>
      <c r="H234" s="26">
        <v>291.5</v>
      </c>
      <c r="I234" s="26">
        <v>0.78</v>
      </c>
      <c r="J234" s="26">
        <v>0.78</v>
      </c>
      <c r="K234" s="29">
        <v>0.999</v>
      </c>
      <c r="L234" s="26">
        <v>9.7200000000000006</v>
      </c>
      <c r="M234" s="19">
        <f>H234*INDEX('Pliegos Tarifarios (Huechuraba)'!$B:$B,MATCH($B234,'Pliegos Tarifarios (Huechuraba)'!$A:$A,0))</f>
        <v>34641.276999999995</v>
      </c>
      <c r="N234" s="19">
        <f>I234*INDEX('Pliegos Tarifarios (Huechuraba)'!$C:$C,MATCH($B234,'Pliegos Tarifarios (Huechuraba)'!$A:$A,0))</f>
        <v>2652.3673800000001</v>
      </c>
      <c r="O234" s="19">
        <f>J234*INDEX('Pliegos Tarifarios (Huechuraba)'!$D:$D,MATCH($B234,'Pliegos Tarifarios (Huechuraba)'!$A:$A,0))</f>
        <v>10997.77692</v>
      </c>
      <c r="P234" s="19">
        <f>H234*INDEX('Pliegos Tarifarios (Huechuraba)'!$E:$E,MATCH($B234,'Pliegos Tarifarios (Huechuraba)'!$A:$A,0))</f>
        <v>3769.6780000000003</v>
      </c>
      <c r="Q234" s="19" cm="1">
        <f t="array" ref="Q234">H234*_xlfn.IFS(H234&lt;=350,INDEX('Pliegos Tarifarios (Huechuraba)'!$F:$F,MATCH($B234,'Pliegos Tarifarios (Huechuraba)'!$A:$A,0)),H234&lt;=500,INDEX('Pliegos Tarifarios (Huechuraba)'!$G:$G,MATCH($B234,'Pliegos Tarifarios (Huechuraba)'!$A:$A,0)),H234&lt;=1000,INDEX('Pliegos Tarifarios (Huechuraba)'!$H:$H,MATCH($B234,'Pliegos Tarifarios (Huechuraba)'!$A:$A,0)),H234&lt;=5000,INDEX('Pliegos Tarifarios (Huechuraba)'!$I:$I,MATCH($B234,'Pliegos Tarifarios (Huechuraba)'!$A:$A,0)),H234&gt;5000,INDEX('Pliegos Tarifarios (Huechuraba)'!$J:$J,MATCH($B234,'Pliegos Tarifarios (Huechuraba)'!$A:$A,0)))/1.19</f>
        <v>192.04705882352943</v>
      </c>
      <c r="R234" s="19">
        <f>INDEX('Pliegos Tarifarios (Huechuraba)'!$K:$K,MATCH($B234,'Pliegos Tarifarios (Huechuraba)'!$A:$A,0))</f>
        <v>723.32799999999997</v>
      </c>
      <c r="S234" s="36">
        <f t="shared" si="9"/>
        <v>52976.474358823536</v>
      </c>
      <c r="T234" s="36">
        <f t="shared" si="10"/>
        <v>10065.530128176471</v>
      </c>
      <c r="U234" s="19">
        <v>0</v>
      </c>
      <c r="V234" s="36">
        <f t="shared" si="11"/>
        <v>63042.004487000006</v>
      </c>
    </row>
    <row r="235" spans="1:22" ht="23.4" thickBot="1" x14ac:dyDescent="0.35">
      <c r="A235" s="25" t="s">
        <v>147</v>
      </c>
      <c r="B235" s="26">
        <v>5</v>
      </c>
      <c r="C235" s="27" t="s">
        <v>15</v>
      </c>
      <c r="D235" s="26" t="s">
        <v>63</v>
      </c>
      <c r="E235" s="26" t="s">
        <v>64</v>
      </c>
      <c r="F235" s="27" t="s">
        <v>65</v>
      </c>
      <c r="G235" s="26" t="s">
        <v>33</v>
      </c>
      <c r="H235" s="26">
        <v>291.69</v>
      </c>
      <c r="I235" s="26">
        <v>0.81</v>
      </c>
      <c r="J235" s="26">
        <v>0.77</v>
      </c>
      <c r="K235" s="29">
        <v>0.94499999999999995</v>
      </c>
      <c r="L235" s="26">
        <v>9.7200000000000006</v>
      </c>
      <c r="M235" s="19">
        <f>H235*INDEX('Pliegos Tarifarios (Huechuraba)'!$B:$B,MATCH($B235,'Pliegos Tarifarios (Huechuraba)'!$A:$A,0))</f>
        <v>34663.856220000001</v>
      </c>
      <c r="N235" s="19">
        <f>I235*INDEX('Pliegos Tarifarios (Huechuraba)'!$C:$C,MATCH($B235,'Pliegos Tarifarios (Huechuraba)'!$A:$A,0))</f>
        <v>2754.3815100000002</v>
      </c>
      <c r="O235" s="19">
        <f>J235*INDEX('Pliegos Tarifarios (Huechuraba)'!$D:$D,MATCH($B235,'Pliegos Tarifarios (Huechuraba)'!$A:$A,0))</f>
        <v>10856.779780000001</v>
      </c>
      <c r="P235" s="19">
        <f>H235*INDEX('Pliegos Tarifarios (Huechuraba)'!$E:$E,MATCH($B235,'Pliegos Tarifarios (Huechuraba)'!$A:$A,0))</f>
        <v>3772.13508</v>
      </c>
      <c r="Q235" s="19" cm="1">
        <f t="array" ref="Q235">H235*_xlfn.IFS(H235&lt;=350,INDEX('Pliegos Tarifarios (Huechuraba)'!$F:$F,MATCH($B235,'Pliegos Tarifarios (Huechuraba)'!$A:$A,0)),H235&lt;=500,INDEX('Pliegos Tarifarios (Huechuraba)'!$G:$G,MATCH($B235,'Pliegos Tarifarios (Huechuraba)'!$A:$A,0)),H235&lt;=1000,INDEX('Pliegos Tarifarios (Huechuraba)'!$H:$H,MATCH($B235,'Pliegos Tarifarios (Huechuraba)'!$A:$A,0)),H235&lt;=5000,INDEX('Pliegos Tarifarios (Huechuraba)'!$I:$I,MATCH($B235,'Pliegos Tarifarios (Huechuraba)'!$A:$A,0)),H235&gt;5000,INDEX('Pliegos Tarifarios (Huechuraba)'!$J:$J,MATCH($B235,'Pliegos Tarifarios (Huechuraba)'!$A:$A,0)))/1.19</f>
        <v>192.17223529411768</v>
      </c>
      <c r="R235" s="19">
        <f>INDEX('Pliegos Tarifarios (Huechuraba)'!$K:$K,MATCH($B235,'Pliegos Tarifarios (Huechuraba)'!$A:$A,0))</f>
        <v>723.32799999999997</v>
      </c>
      <c r="S235" s="36">
        <f t="shared" si="9"/>
        <v>52962.652825294121</v>
      </c>
      <c r="T235" s="36">
        <f t="shared" si="10"/>
        <v>10062.904036805883</v>
      </c>
      <c r="U235" s="19">
        <v>0</v>
      </c>
      <c r="V235" s="36">
        <f t="shared" si="11"/>
        <v>63025.556862100006</v>
      </c>
    </row>
    <row r="236" spans="1:22" ht="23.4" thickBot="1" x14ac:dyDescent="0.35">
      <c r="A236" s="25" t="s">
        <v>147</v>
      </c>
      <c r="B236" s="26">
        <v>5</v>
      </c>
      <c r="C236" s="27" t="s">
        <v>15</v>
      </c>
      <c r="D236" s="26" t="s">
        <v>66</v>
      </c>
      <c r="E236" s="26" t="s">
        <v>37</v>
      </c>
      <c r="F236" s="27" t="s">
        <v>67</v>
      </c>
      <c r="G236" s="26" t="s">
        <v>33</v>
      </c>
      <c r="H236" s="26">
        <v>583.42999999999995</v>
      </c>
      <c r="I236" s="26">
        <v>1.58</v>
      </c>
      <c r="J236" s="26">
        <v>1.5</v>
      </c>
      <c r="K236" s="29">
        <v>0.94899999999999995</v>
      </c>
      <c r="L236" s="26">
        <v>19.45</v>
      </c>
      <c r="M236" s="19">
        <f>H236*INDEX('Pliegos Tarifarios (Huechuraba)'!$B:$B,MATCH($B236,'Pliegos Tarifarios (Huechuraba)'!$A:$A,0))</f>
        <v>69333.654339999994</v>
      </c>
      <c r="N236" s="19">
        <f>I236*INDEX('Pliegos Tarifarios (Huechuraba)'!$C:$C,MATCH($B236,'Pliegos Tarifarios (Huechuraba)'!$A:$A,0))</f>
        <v>5372.7441800000006</v>
      </c>
      <c r="O236" s="19">
        <f>J236*INDEX('Pliegos Tarifarios (Huechuraba)'!$D:$D,MATCH($B236,'Pliegos Tarifarios (Huechuraba)'!$A:$A,0))</f>
        <v>21149.571</v>
      </c>
      <c r="P236" s="19">
        <f>H236*INDEX('Pliegos Tarifarios (Huechuraba)'!$E:$E,MATCH($B236,'Pliegos Tarifarios (Huechuraba)'!$A:$A,0))</f>
        <v>7544.9167599999992</v>
      </c>
      <c r="Q236" s="19" cm="1">
        <f t="array" ref="Q236">H236*_xlfn.IFS(H236&lt;=350,INDEX('Pliegos Tarifarios (Huechuraba)'!$F:$F,MATCH($B236,'Pliegos Tarifarios (Huechuraba)'!$A:$A,0)),H236&lt;=500,INDEX('Pliegos Tarifarios (Huechuraba)'!$G:$G,MATCH($B236,'Pliegos Tarifarios (Huechuraba)'!$A:$A,0)),H236&lt;=1000,INDEX('Pliegos Tarifarios (Huechuraba)'!$H:$H,MATCH($B236,'Pliegos Tarifarios (Huechuraba)'!$A:$A,0)),H236&lt;=5000,INDEX('Pliegos Tarifarios (Huechuraba)'!$I:$I,MATCH($B236,'Pliegos Tarifarios (Huechuraba)'!$A:$A,0)),H236&gt;5000,INDEX('Pliegos Tarifarios (Huechuraba)'!$J:$J,MATCH($B236,'Pliegos Tarifarios (Huechuraba)'!$A:$A,0)))/1.19</f>
        <v>1368.363974789916</v>
      </c>
      <c r="R236" s="19">
        <f>INDEX('Pliegos Tarifarios (Huechuraba)'!$K:$K,MATCH($B236,'Pliegos Tarifarios (Huechuraba)'!$A:$A,0))</f>
        <v>723.32799999999997</v>
      </c>
      <c r="S236" s="36">
        <f t="shared" si="9"/>
        <v>105492.57825478989</v>
      </c>
      <c r="T236" s="36">
        <f t="shared" si="10"/>
        <v>20043.589868410079</v>
      </c>
      <c r="U236" s="19">
        <v>0</v>
      </c>
      <c r="V236" s="36">
        <f t="shared" si="11"/>
        <v>125536.16812319997</v>
      </c>
    </row>
    <row r="237" spans="1:22" ht="23.4" thickBot="1" x14ac:dyDescent="0.35">
      <c r="A237" s="25" t="s">
        <v>147</v>
      </c>
      <c r="B237" s="26">
        <v>5</v>
      </c>
      <c r="C237" s="27" t="s">
        <v>15</v>
      </c>
      <c r="D237" s="26" t="s">
        <v>68</v>
      </c>
      <c r="E237" s="26" t="s">
        <v>37</v>
      </c>
      <c r="F237" s="27" t="s">
        <v>69</v>
      </c>
      <c r="G237" s="26" t="s">
        <v>33</v>
      </c>
      <c r="H237" s="26">
        <v>584.85</v>
      </c>
      <c r="I237" s="26">
        <v>1.53</v>
      </c>
      <c r="J237" s="26">
        <v>1.52</v>
      </c>
      <c r="K237" s="29">
        <v>0.99299999999999999</v>
      </c>
      <c r="L237" s="26">
        <v>19.5</v>
      </c>
      <c r="M237" s="19">
        <f>H237*INDEX('Pliegos Tarifarios (Huechuraba)'!$B:$B,MATCH($B237,'Pliegos Tarifarios (Huechuraba)'!$A:$A,0))</f>
        <v>69502.404299999995</v>
      </c>
      <c r="N237" s="19">
        <f>I237*INDEX('Pliegos Tarifarios (Huechuraba)'!$C:$C,MATCH($B237,'Pliegos Tarifarios (Huechuraba)'!$A:$A,0))</f>
        <v>5202.7206299999998</v>
      </c>
      <c r="O237" s="19">
        <f>J237*INDEX('Pliegos Tarifarios (Huechuraba)'!$D:$D,MATCH($B237,'Pliegos Tarifarios (Huechuraba)'!$A:$A,0))</f>
        <v>21431.565279999999</v>
      </c>
      <c r="P237" s="19">
        <f>H237*INDEX('Pliegos Tarifarios (Huechuraba)'!$E:$E,MATCH($B237,'Pliegos Tarifarios (Huechuraba)'!$A:$A,0))</f>
        <v>7563.2802000000001</v>
      </c>
      <c r="Q237" s="19" cm="1">
        <f t="array" ref="Q237">H237*_xlfn.IFS(H237&lt;=350,INDEX('Pliegos Tarifarios (Huechuraba)'!$F:$F,MATCH($B237,'Pliegos Tarifarios (Huechuraba)'!$A:$A,0)),H237&lt;=500,INDEX('Pliegos Tarifarios (Huechuraba)'!$G:$G,MATCH($B237,'Pliegos Tarifarios (Huechuraba)'!$A:$A,0)),H237&lt;=1000,INDEX('Pliegos Tarifarios (Huechuraba)'!$H:$H,MATCH($B237,'Pliegos Tarifarios (Huechuraba)'!$A:$A,0)),H237&lt;=5000,INDEX('Pliegos Tarifarios (Huechuraba)'!$I:$I,MATCH($B237,'Pliegos Tarifarios (Huechuraba)'!$A:$A,0)),H237&gt;5000,INDEX('Pliegos Tarifarios (Huechuraba)'!$J:$J,MATCH($B237,'Pliegos Tarifarios (Huechuraba)'!$A:$A,0)))/1.19</f>
        <v>1371.6944117647063</v>
      </c>
      <c r="R237" s="19">
        <f>INDEX('Pliegos Tarifarios (Huechuraba)'!$K:$K,MATCH($B237,'Pliegos Tarifarios (Huechuraba)'!$A:$A,0))</f>
        <v>723.32799999999997</v>
      </c>
      <c r="S237" s="36">
        <f t="shared" si="9"/>
        <v>105794.99282176468</v>
      </c>
      <c r="T237" s="36">
        <f t="shared" si="10"/>
        <v>20101.048636135289</v>
      </c>
      <c r="U237" s="19">
        <v>0</v>
      </c>
      <c r="V237" s="36">
        <f t="shared" si="11"/>
        <v>125896.04145789996</v>
      </c>
    </row>
    <row r="238" spans="1:22" ht="23.4" thickBot="1" x14ac:dyDescent="0.35">
      <c r="A238" s="25" t="s">
        <v>147</v>
      </c>
      <c r="B238" s="26">
        <v>5</v>
      </c>
      <c r="C238" s="27" t="s">
        <v>15</v>
      </c>
      <c r="D238" s="26" t="s">
        <v>70</v>
      </c>
      <c r="E238" s="26" t="s">
        <v>37</v>
      </c>
      <c r="F238" s="27" t="s">
        <v>71</v>
      </c>
      <c r="G238" s="26" t="s">
        <v>33</v>
      </c>
      <c r="H238" s="26">
        <v>584.05999999999995</v>
      </c>
      <c r="I238" s="26">
        <v>1.58</v>
      </c>
      <c r="J238" s="26">
        <v>1.55</v>
      </c>
      <c r="K238" s="29">
        <v>0.97899999999999998</v>
      </c>
      <c r="L238" s="26">
        <v>19.47</v>
      </c>
      <c r="M238" s="19">
        <f>H238*INDEX('Pliegos Tarifarios (Huechuraba)'!$B:$B,MATCH($B238,'Pliegos Tarifarios (Huechuraba)'!$A:$A,0))</f>
        <v>69408.52227999999</v>
      </c>
      <c r="N238" s="19">
        <f>I238*INDEX('Pliegos Tarifarios (Huechuraba)'!$C:$C,MATCH($B238,'Pliegos Tarifarios (Huechuraba)'!$A:$A,0))</f>
        <v>5372.7441800000006</v>
      </c>
      <c r="O238" s="19">
        <f>J238*INDEX('Pliegos Tarifarios (Huechuraba)'!$D:$D,MATCH($B238,'Pliegos Tarifarios (Huechuraba)'!$A:$A,0))</f>
        <v>21854.556700000001</v>
      </c>
      <c r="P238" s="19">
        <f>H238*INDEX('Pliegos Tarifarios (Huechuraba)'!$E:$E,MATCH($B238,'Pliegos Tarifarios (Huechuraba)'!$A:$A,0))</f>
        <v>7553.0639199999996</v>
      </c>
      <c r="Q238" s="19" cm="1">
        <f t="array" ref="Q238">H238*_xlfn.IFS(H238&lt;=350,INDEX('Pliegos Tarifarios (Huechuraba)'!$F:$F,MATCH($B238,'Pliegos Tarifarios (Huechuraba)'!$A:$A,0)),H238&lt;=500,INDEX('Pliegos Tarifarios (Huechuraba)'!$G:$G,MATCH($B238,'Pliegos Tarifarios (Huechuraba)'!$A:$A,0)),H238&lt;=1000,INDEX('Pliegos Tarifarios (Huechuraba)'!$H:$H,MATCH($B238,'Pliegos Tarifarios (Huechuraba)'!$A:$A,0)),H238&lt;=5000,INDEX('Pliegos Tarifarios (Huechuraba)'!$I:$I,MATCH($B238,'Pliegos Tarifarios (Huechuraba)'!$A:$A,0)),H238&gt;5000,INDEX('Pliegos Tarifarios (Huechuraba)'!$J:$J,MATCH($B238,'Pliegos Tarifarios (Huechuraba)'!$A:$A,0)))/1.19</f>
        <v>1369.8415630252102</v>
      </c>
      <c r="R238" s="19">
        <f>INDEX('Pliegos Tarifarios (Huechuraba)'!$K:$K,MATCH($B238,'Pliegos Tarifarios (Huechuraba)'!$A:$A,0))</f>
        <v>723.32799999999997</v>
      </c>
      <c r="S238" s="36">
        <f t="shared" si="9"/>
        <v>106282.05664302519</v>
      </c>
      <c r="T238" s="36">
        <f t="shared" si="10"/>
        <v>20193.590762174787</v>
      </c>
      <c r="U238" s="19">
        <v>0</v>
      </c>
      <c r="V238" s="36">
        <f t="shared" si="11"/>
        <v>126475.64740519998</v>
      </c>
    </row>
    <row r="239" spans="1:22" ht="23.4" thickBot="1" x14ac:dyDescent="0.35">
      <c r="A239" s="25" t="s">
        <v>147</v>
      </c>
      <c r="B239" s="26">
        <v>5</v>
      </c>
      <c r="C239" s="27" t="s">
        <v>15</v>
      </c>
      <c r="D239" s="26" t="s">
        <v>72</v>
      </c>
      <c r="E239" s="26" t="s">
        <v>73</v>
      </c>
      <c r="F239" s="27" t="s">
        <v>74</v>
      </c>
      <c r="G239" s="26" t="s">
        <v>33</v>
      </c>
      <c r="H239" s="26">
        <v>730.11</v>
      </c>
      <c r="I239" s="26">
        <v>1.97</v>
      </c>
      <c r="J239" s="26">
        <v>1.97</v>
      </c>
      <c r="K239" s="29">
        <v>1</v>
      </c>
      <c r="L239" s="26">
        <v>24.34</v>
      </c>
      <c r="M239" s="19">
        <f>H239*INDEX('Pliegos Tarifarios (Huechuraba)'!$B:$B,MATCH($B239,'Pliegos Tarifarios (Huechuraba)'!$A:$A,0))</f>
        <v>86764.812179999994</v>
      </c>
      <c r="N239" s="19">
        <f>I239*INDEX('Pliegos Tarifarios (Huechuraba)'!$C:$C,MATCH($B239,'Pliegos Tarifarios (Huechuraba)'!$A:$A,0))</f>
        <v>6698.9278699999995</v>
      </c>
      <c r="O239" s="19">
        <f>J239*INDEX('Pliegos Tarifarios (Huechuraba)'!$D:$D,MATCH($B239,'Pliegos Tarifarios (Huechuraba)'!$A:$A,0))</f>
        <v>27776.436579999998</v>
      </c>
      <c r="P239" s="19">
        <f>H239*INDEX('Pliegos Tarifarios (Huechuraba)'!$E:$E,MATCH($B239,'Pliegos Tarifarios (Huechuraba)'!$A:$A,0))</f>
        <v>9441.7825200000007</v>
      </c>
      <c r="Q239" s="19" cm="1">
        <f t="array" ref="Q239">H239*_xlfn.IFS(H239&lt;=350,INDEX('Pliegos Tarifarios (Huechuraba)'!$F:$F,MATCH($B239,'Pliegos Tarifarios (Huechuraba)'!$A:$A,0)),H239&lt;=500,INDEX('Pliegos Tarifarios (Huechuraba)'!$G:$G,MATCH($B239,'Pliegos Tarifarios (Huechuraba)'!$A:$A,0)),H239&lt;=1000,INDEX('Pliegos Tarifarios (Huechuraba)'!$H:$H,MATCH($B239,'Pliegos Tarifarios (Huechuraba)'!$A:$A,0)),H239&lt;=5000,INDEX('Pliegos Tarifarios (Huechuraba)'!$I:$I,MATCH($B239,'Pliegos Tarifarios (Huechuraba)'!$A:$A,0)),H239&gt;5000,INDEX('Pliegos Tarifarios (Huechuraba)'!$J:$J,MATCH($B239,'Pliegos Tarifarios (Huechuraba)'!$A:$A,0)))/1.19</f>
        <v>1712.3840420168071</v>
      </c>
      <c r="R239" s="19">
        <f>INDEX('Pliegos Tarifarios (Huechuraba)'!$K:$K,MATCH($B239,'Pliegos Tarifarios (Huechuraba)'!$A:$A,0))</f>
        <v>723.32799999999997</v>
      </c>
      <c r="S239" s="36">
        <f t="shared" si="9"/>
        <v>133117.6711920168</v>
      </c>
      <c r="T239" s="36">
        <f t="shared" si="10"/>
        <v>25292.357526483192</v>
      </c>
      <c r="U239" s="19">
        <v>0</v>
      </c>
      <c r="V239" s="36">
        <f t="shared" si="11"/>
        <v>158410.02871849999</v>
      </c>
    </row>
    <row r="240" spans="1:22" ht="23.4" thickBot="1" x14ac:dyDescent="0.35">
      <c r="A240" s="25" t="s">
        <v>147</v>
      </c>
      <c r="B240" s="26">
        <v>5</v>
      </c>
      <c r="C240" s="27" t="s">
        <v>15</v>
      </c>
      <c r="D240" s="26" t="s">
        <v>75</v>
      </c>
      <c r="E240" s="26" t="s">
        <v>76</v>
      </c>
      <c r="F240" s="27" t="s">
        <v>77</v>
      </c>
      <c r="G240" s="26" t="s">
        <v>19</v>
      </c>
      <c r="H240" s="28">
        <v>1163.2</v>
      </c>
      <c r="I240" s="26">
        <v>3.15</v>
      </c>
      <c r="J240" s="26">
        <v>3.15</v>
      </c>
      <c r="K240" s="29">
        <v>1</v>
      </c>
      <c r="L240" s="26">
        <v>38.770000000000003</v>
      </c>
      <c r="M240" s="19">
        <f>H240*INDEX('Pliegos Tarifarios (Huechuraba)'!$B:$B,MATCH($B240,'Pliegos Tarifarios (Huechuraba)'!$A:$A,0))</f>
        <v>138232.3616</v>
      </c>
      <c r="N240" s="19">
        <f>I240*INDEX('Pliegos Tarifarios (Huechuraba)'!$C:$C,MATCH($B240,'Pliegos Tarifarios (Huechuraba)'!$A:$A,0))</f>
        <v>10711.48365</v>
      </c>
      <c r="O240" s="19">
        <f>J240*INDEX('Pliegos Tarifarios (Huechuraba)'!$D:$D,MATCH($B240,'Pliegos Tarifarios (Huechuraba)'!$A:$A,0))</f>
        <v>44414.099099999999</v>
      </c>
      <c r="P240" s="19">
        <f>H240*INDEX('Pliegos Tarifarios (Huechuraba)'!$E:$E,MATCH($B240,'Pliegos Tarifarios (Huechuraba)'!$A:$A,0))</f>
        <v>15042.502400000001</v>
      </c>
      <c r="Q240" s="19" cm="1">
        <f t="array" ref="Q240">H240*_xlfn.IFS(H240&lt;=350,INDEX('Pliegos Tarifarios (Huechuraba)'!$F:$F,MATCH($B240,'Pliegos Tarifarios (Huechuraba)'!$A:$A,0)),H240&lt;=500,INDEX('Pliegos Tarifarios (Huechuraba)'!$G:$G,MATCH($B240,'Pliegos Tarifarios (Huechuraba)'!$A:$A,0)),H240&lt;=1000,INDEX('Pliegos Tarifarios (Huechuraba)'!$H:$H,MATCH($B240,'Pliegos Tarifarios (Huechuraba)'!$A:$A,0)),H240&lt;=5000,INDEX('Pliegos Tarifarios (Huechuraba)'!$I:$I,MATCH($B240,'Pliegos Tarifarios (Huechuraba)'!$A:$A,0)),H240&gt;5000,INDEX('Pliegos Tarifarios (Huechuraba)'!$J:$J,MATCH($B240,'Pliegos Tarifarios (Huechuraba)'!$A:$A,0)))/1.19</f>
        <v>3490.5774789915968</v>
      </c>
      <c r="R240" s="19">
        <f>INDEX('Pliegos Tarifarios (Huechuraba)'!$K:$K,MATCH($B240,'Pliegos Tarifarios (Huechuraba)'!$A:$A,0))</f>
        <v>723.32799999999997</v>
      </c>
      <c r="S240" s="36">
        <f t="shared" si="9"/>
        <v>212614.3522289916</v>
      </c>
      <c r="T240" s="36">
        <f t="shared" si="10"/>
        <v>40396.726923508402</v>
      </c>
      <c r="U240" s="19">
        <v>0</v>
      </c>
      <c r="V240" s="36">
        <f t="shared" si="11"/>
        <v>253011.07915249999</v>
      </c>
    </row>
    <row r="241" spans="1:22" ht="23.4" thickBot="1" x14ac:dyDescent="0.35">
      <c r="A241" s="25" t="s">
        <v>147</v>
      </c>
      <c r="B241" s="26">
        <v>5</v>
      </c>
      <c r="C241" s="27" t="s">
        <v>15</v>
      </c>
      <c r="D241" s="26" t="s">
        <v>78</v>
      </c>
      <c r="E241" s="26" t="s">
        <v>76</v>
      </c>
      <c r="F241" s="27" t="s">
        <v>79</v>
      </c>
      <c r="G241" s="26" t="s">
        <v>19</v>
      </c>
      <c r="H241" s="26">
        <v>871.85</v>
      </c>
      <c r="I241" s="26">
        <v>2.34</v>
      </c>
      <c r="J241" s="26">
        <v>2.34</v>
      </c>
      <c r="K241" s="29">
        <v>0.999</v>
      </c>
      <c r="L241" s="26">
        <v>29.06</v>
      </c>
      <c r="M241" s="19">
        <f>H241*INDEX('Pliegos Tarifarios (Huechuraba)'!$B:$B,MATCH($B241,'Pliegos Tarifarios (Huechuraba)'!$A:$A,0))</f>
        <v>103608.9103</v>
      </c>
      <c r="N241" s="19">
        <f>I241*INDEX('Pliegos Tarifarios (Huechuraba)'!$C:$C,MATCH($B241,'Pliegos Tarifarios (Huechuraba)'!$A:$A,0))</f>
        <v>7957.10214</v>
      </c>
      <c r="O241" s="19">
        <f>J241*INDEX('Pliegos Tarifarios (Huechuraba)'!$D:$D,MATCH($B241,'Pliegos Tarifarios (Huechuraba)'!$A:$A,0))</f>
        <v>32993.330759999997</v>
      </c>
      <c r="P241" s="19">
        <f>H241*INDEX('Pliegos Tarifarios (Huechuraba)'!$E:$E,MATCH($B241,'Pliegos Tarifarios (Huechuraba)'!$A:$A,0))</f>
        <v>11274.764200000001</v>
      </c>
      <c r="Q241" s="19" cm="1">
        <f t="array" ref="Q241">H241*_xlfn.IFS(H241&lt;=350,INDEX('Pliegos Tarifarios (Huechuraba)'!$F:$F,MATCH($B241,'Pliegos Tarifarios (Huechuraba)'!$A:$A,0)),H241&lt;=500,INDEX('Pliegos Tarifarios (Huechuraba)'!$G:$G,MATCH($B241,'Pliegos Tarifarios (Huechuraba)'!$A:$A,0)),H241&lt;=1000,INDEX('Pliegos Tarifarios (Huechuraba)'!$H:$H,MATCH($B241,'Pliegos Tarifarios (Huechuraba)'!$A:$A,0)),H241&lt;=5000,INDEX('Pliegos Tarifarios (Huechuraba)'!$I:$I,MATCH($B241,'Pliegos Tarifarios (Huechuraba)'!$A:$A,0)),H241&gt;5000,INDEX('Pliegos Tarifarios (Huechuraba)'!$J:$J,MATCH($B241,'Pliegos Tarifarios (Huechuraba)'!$A:$A,0)))/1.19</f>
        <v>2044.8179411764709</v>
      </c>
      <c r="R241" s="19">
        <f>INDEX('Pliegos Tarifarios (Huechuraba)'!$K:$K,MATCH($B241,'Pliegos Tarifarios (Huechuraba)'!$A:$A,0))</f>
        <v>723.32799999999997</v>
      </c>
      <c r="S241" s="36">
        <f t="shared" si="9"/>
        <v>158602.25334117649</v>
      </c>
      <c r="T241" s="36">
        <f t="shared" si="10"/>
        <v>30134.428134823534</v>
      </c>
      <c r="U241" s="19">
        <v>0</v>
      </c>
      <c r="V241" s="36">
        <f t="shared" si="11"/>
        <v>188736.68147600003</v>
      </c>
    </row>
    <row r="242" spans="1:22" ht="23.4" thickBot="1" x14ac:dyDescent="0.35">
      <c r="A242" s="25" t="s">
        <v>147</v>
      </c>
      <c r="B242" s="26">
        <v>5</v>
      </c>
      <c r="C242" s="27" t="s">
        <v>15</v>
      </c>
      <c r="D242" s="26" t="s">
        <v>80</v>
      </c>
      <c r="E242" s="26" t="s">
        <v>81</v>
      </c>
      <c r="F242" s="27" t="s">
        <v>82</v>
      </c>
      <c r="G242" s="26" t="s">
        <v>19</v>
      </c>
      <c r="H242" s="26">
        <v>730.38</v>
      </c>
      <c r="I242" s="26">
        <v>1.97</v>
      </c>
      <c r="J242" s="26">
        <v>1.97</v>
      </c>
      <c r="K242" s="29">
        <v>0.999</v>
      </c>
      <c r="L242" s="26">
        <v>24.35</v>
      </c>
      <c r="M242" s="19">
        <f>H242*INDEX('Pliegos Tarifarios (Huechuraba)'!$B:$B,MATCH($B242,'Pliegos Tarifarios (Huechuraba)'!$A:$A,0))</f>
        <v>86796.89843999999</v>
      </c>
      <c r="N242" s="19">
        <f>I242*INDEX('Pliegos Tarifarios (Huechuraba)'!$C:$C,MATCH($B242,'Pliegos Tarifarios (Huechuraba)'!$A:$A,0))</f>
        <v>6698.9278699999995</v>
      </c>
      <c r="O242" s="19">
        <f>J242*INDEX('Pliegos Tarifarios (Huechuraba)'!$D:$D,MATCH($B242,'Pliegos Tarifarios (Huechuraba)'!$A:$A,0))</f>
        <v>27776.436579999998</v>
      </c>
      <c r="P242" s="19">
        <f>H242*INDEX('Pliegos Tarifarios (Huechuraba)'!$E:$E,MATCH($B242,'Pliegos Tarifarios (Huechuraba)'!$A:$A,0))</f>
        <v>9445.2741600000008</v>
      </c>
      <c r="Q242" s="19" cm="1">
        <f t="array" ref="Q242">H242*_xlfn.IFS(H242&lt;=350,INDEX('Pliegos Tarifarios (Huechuraba)'!$F:$F,MATCH($B242,'Pliegos Tarifarios (Huechuraba)'!$A:$A,0)),H242&lt;=500,INDEX('Pliegos Tarifarios (Huechuraba)'!$G:$G,MATCH($B242,'Pliegos Tarifarios (Huechuraba)'!$A:$A,0)),H242&lt;=1000,INDEX('Pliegos Tarifarios (Huechuraba)'!$H:$H,MATCH($B242,'Pliegos Tarifarios (Huechuraba)'!$A:$A,0)),H242&lt;=5000,INDEX('Pliegos Tarifarios (Huechuraba)'!$I:$I,MATCH($B242,'Pliegos Tarifarios (Huechuraba)'!$A:$A,0)),H242&gt;5000,INDEX('Pliegos Tarifarios (Huechuraba)'!$J:$J,MATCH($B242,'Pliegos Tarifarios (Huechuraba)'!$A:$A,0)))/1.19</f>
        <v>1713.0172941176475</v>
      </c>
      <c r="R242" s="19">
        <f>INDEX('Pliegos Tarifarios (Huechuraba)'!$K:$K,MATCH($B242,'Pliegos Tarifarios (Huechuraba)'!$A:$A,0))</f>
        <v>723.32799999999997</v>
      </c>
      <c r="S242" s="36">
        <f t="shared" si="9"/>
        <v>133153.88234411765</v>
      </c>
      <c r="T242" s="36">
        <f t="shared" si="10"/>
        <v>25299.237645382353</v>
      </c>
      <c r="U242" s="19">
        <v>0</v>
      </c>
      <c r="V242" s="36">
        <f t="shared" si="11"/>
        <v>158453.1199895</v>
      </c>
    </row>
    <row r="243" spans="1:22" ht="23.4" thickBot="1" x14ac:dyDescent="0.35">
      <c r="A243" s="25" t="s">
        <v>147</v>
      </c>
      <c r="B243" s="26">
        <v>5</v>
      </c>
      <c r="C243" s="27" t="s">
        <v>15</v>
      </c>
      <c r="D243" s="26" t="s">
        <v>83</v>
      </c>
      <c r="E243" s="26" t="s">
        <v>81</v>
      </c>
      <c r="F243" s="27" t="s">
        <v>84</v>
      </c>
      <c r="G243" s="26" t="s">
        <v>19</v>
      </c>
      <c r="H243" s="26">
        <v>486.23</v>
      </c>
      <c r="I243" s="26">
        <v>1.31</v>
      </c>
      <c r="J243" s="26">
        <v>1.31</v>
      </c>
      <c r="K243" s="29">
        <v>1</v>
      </c>
      <c r="L243" s="26">
        <v>16.21</v>
      </c>
      <c r="M243" s="19">
        <f>H243*INDEX('Pliegos Tarifarios (Huechuraba)'!$B:$B,MATCH($B243,'Pliegos Tarifarios (Huechuraba)'!$A:$A,0))</f>
        <v>57782.600740000002</v>
      </c>
      <c r="N243" s="19">
        <f>I243*INDEX('Pliegos Tarifarios (Huechuraba)'!$C:$C,MATCH($B243,'Pliegos Tarifarios (Huechuraba)'!$A:$A,0))</f>
        <v>4454.6170099999999</v>
      </c>
      <c r="O243" s="19">
        <f>J243*INDEX('Pliegos Tarifarios (Huechuraba)'!$D:$D,MATCH($B243,'Pliegos Tarifarios (Huechuraba)'!$A:$A,0))</f>
        <v>18470.625340000002</v>
      </c>
      <c r="P243" s="19">
        <f>H243*INDEX('Pliegos Tarifarios (Huechuraba)'!$E:$E,MATCH($B243,'Pliegos Tarifarios (Huechuraba)'!$A:$A,0))</f>
        <v>6287.9263600000004</v>
      </c>
      <c r="Q243" s="19" cm="1">
        <f t="array" ref="Q243">H243*_xlfn.IFS(H243&lt;=350,INDEX('Pliegos Tarifarios (Huechuraba)'!$F:$F,MATCH($B243,'Pliegos Tarifarios (Huechuraba)'!$A:$A,0)),H243&lt;=500,INDEX('Pliegos Tarifarios (Huechuraba)'!$G:$G,MATCH($B243,'Pliegos Tarifarios (Huechuraba)'!$A:$A,0)),H243&lt;=1000,INDEX('Pliegos Tarifarios (Huechuraba)'!$H:$H,MATCH($B243,'Pliegos Tarifarios (Huechuraba)'!$A:$A,0)),H243&lt;=5000,INDEX('Pliegos Tarifarios (Huechuraba)'!$I:$I,MATCH($B243,'Pliegos Tarifarios (Huechuraba)'!$A:$A,0)),H243&gt;5000,INDEX('Pliegos Tarifarios (Huechuraba)'!$J:$J,MATCH($B243,'Pliegos Tarifarios (Huechuraba)'!$A:$A,0)))/1.19</f>
        <v>684.80796638655477</v>
      </c>
      <c r="R243" s="19">
        <f>INDEX('Pliegos Tarifarios (Huechuraba)'!$K:$K,MATCH($B243,'Pliegos Tarifarios (Huechuraba)'!$A:$A,0))</f>
        <v>723.32799999999997</v>
      </c>
      <c r="S243" s="36">
        <f t="shared" si="9"/>
        <v>88403.905416386551</v>
      </c>
      <c r="T243" s="36">
        <f t="shared" si="10"/>
        <v>16796.742029113444</v>
      </c>
      <c r="U243" s="19">
        <v>0</v>
      </c>
      <c r="V243" s="36">
        <f t="shared" si="11"/>
        <v>105200.6474455</v>
      </c>
    </row>
    <row r="244" spans="1:22" ht="23.4" thickBot="1" x14ac:dyDescent="0.35">
      <c r="A244" s="25" t="s">
        <v>147</v>
      </c>
      <c r="B244" s="26">
        <v>5</v>
      </c>
      <c r="C244" s="27" t="s">
        <v>15</v>
      </c>
      <c r="D244" s="26" t="s">
        <v>85</v>
      </c>
      <c r="E244" s="26" t="s">
        <v>81</v>
      </c>
      <c r="F244" s="27" t="s">
        <v>86</v>
      </c>
      <c r="G244" s="26" t="s">
        <v>19</v>
      </c>
      <c r="H244" s="26">
        <v>583.20000000000005</v>
      </c>
      <c r="I244" s="26">
        <v>1.54</v>
      </c>
      <c r="J244" s="26">
        <v>1.54</v>
      </c>
      <c r="K244" s="29">
        <v>0.99399999999999999</v>
      </c>
      <c r="L244" s="26">
        <v>19.440000000000001</v>
      </c>
      <c r="M244" s="19">
        <f>H244*INDEX('Pliegos Tarifarios (Huechuraba)'!$B:$B,MATCH($B244,'Pliegos Tarifarios (Huechuraba)'!$A:$A,0))</f>
        <v>69306.321599999996</v>
      </c>
      <c r="N244" s="19">
        <f>I244*INDEX('Pliegos Tarifarios (Huechuraba)'!$C:$C,MATCH($B244,'Pliegos Tarifarios (Huechuraba)'!$A:$A,0))</f>
        <v>5236.72534</v>
      </c>
      <c r="O244" s="19">
        <f>J244*INDEX('Pliegos Tarifarios (Huechuraba)'!$D:$D,MATCH($B244,'Pliegos Tarifarios (Huechuraba)'!$A:$A,0))</f>
        <v>21713.559560000002</v>
      </c>
      <c r="P244" s="19">
        <f>H244*INDEX('Pliegos Tarifarios (Huechuraba)'!$E:$E,MATCH($B244,'Pliegos Tarifarios (Huechuraba)'!$A:$A,0))</f>
        <v>7541.9424000000008</v>
      </c>
      <c r="Q244" s="19" cm="1">
        <f t="array" ref="Q244">H244*_xlfn.IFS(H244&lt;=350,INDEX('Pliegos Tarifarios (Huechuraba)'!$F:$F,MATCH($B244,'Pliegos Tarifarios (Huechuraba)'!$A:$A,0)),H244&lt;=500,INDEX('Pliegos Tarifarios (Huechuraba)'!$G:$G,MATCH($B244,'Pliegos Tarifarios (Huechuraba)'!$A:$A,0)),H244&lt;=1000,INDEX('Pliegos Tarifarios (Huechuraba)'!$H:$H,MATCH($B244,'Pliegos Tarifarios (Huechuraba)'!$A:$A,0)),H244&lt;=5000,INDEX('Pliegos Tarifarios (Huechuraba)'!$I:$I,MATCH($B244,'Pliegos Tarifarios (Huechuraba)'!$A:$A,0)),H244&gt;5000,INDEX('Pliegos Tarifarios (Huechuraba)'!$J:$J,MATCH($B244,'Pliegos Tarifarios (Huechuraba)'!$A:$A,0)))/1.19</f>
        <v>1367.8245378151264</v>
      </c>
      <c r="R244" s="19">
        <f>INDEX('Pliegos Tarifarios (Huechuraba)'!$K:$K,MATCH($B244,'Pliegos Tarifarios (Huechuraba)'!$A:$A,0))</f>
        <v>723.32799999999997</v>
      </c>
      <c r="S244" s="36">
        <f t="shared" si="9"/>
        <v>105889.70143781512</v>
      </c>
      <c r="T244" s="36">
        <f t="shared" si="10"/>
        <v>20119.043273184874</v>
      </c>
      <c r="U244" s="19">
        <v>0</v>
      </c>
      <c r="V244" s="36">
        <f t="shared" si="11"/>
        <v>126008.74471099999</v>
      </c>
    </row>
    <row r="245" spans="1:22" ht="23.4" thickBot="1" x14ac:dyDescent="0.35">
      <c r="A245" s="25" t="s">
        <v>147</v>
      </c>
      <c r="B245" s="26">
        <v>5</v>
      </c>
      <c r="C245" s="27" t="s">
        <v>15</v>
      </c>
      <c r="D245" s="26" t="s">
        <v>87</v>
      </c>
      <c r="E245" s="26" t="s">
        <v>81</v>
      </c>
      <c r="F245" s="27" t="s">
        <v>88</v>
      </c>
      <c r="G245" s="26" t="s">
        <v>19</v>
      </c>
      <c r="H245" s="26">
        <v>583.9</v>
      </c>
      <c r="I245" s="26">
        <v>1.58</v>
      </c>
      <c r="J245" s="26">
        <v>1.55</v>
      </c>
      <c r="K245" s="29">
        <v>0.98199999999999998</v>
      </c>
      <c r="L245" s="26">
        <v>19.46</v>
      </c>
      <c r="M245" s="19">
        <f>H245*INDEX('Pliegos Tarifarios (Huechuraba)'!$B:$B,MATCH($B245,'Pliegos Tarifarios (Huechuraba)'!$A:$A,0))</f>
        <v>69389.508199999997</v>
      </c>
      <c r="N245" s="19">
        <f>I245*INDEX('Pliegos Tarifarios (Huechuraba)'!$C:$C,MATCH($B245,'Pliegos Tarifarios (Huechuraba)'!$A:$A,0))</f>
        <v>5372.7441800000006</v>
      </c>
      <c r="O245" s="19">
        <f>J245*INDEX('Pliegos Tarifarios (Huechuraba)'!$D:$D,MATCH($B245,'Pliegos Tarifarios (Huechuraba)'!$A:$A,0))</f>
        <v>21854.556700000001</v>
      </c>
      <c r="P245" s="19">
        <f>H245*INDEX('Pliegos Tarifarios (Huechuraba)'!$E:$E,MATCH($B245,'Pliegos Tarifarios (Huechuraba)'!$A:$A,0))</f>
        <v>7550.9947999999995</v>
      </c>
      <c r="Q245" s="19" cm="1">
        <f t="array" ref="Q245">H245*_xlfn.IFS(H245&lt;=350,INDEX('Pliegos Tarifarios (Huechuraba)'!$F:$F,MATCH($B245,'Pliegos Tarifarios (Huechuraba)'!$A:$A,0)),H245&lt;=500,INDEX('Pliegos Tarifarios (Huechuraba)'!$G:$G,MATCH($B245,'Pliegos Tarifarios (Huechuraba)'!$A:$A,0)),H245&lt;=1000,INDEX('Pliegos Tarifarios (Huechuraba)'!$H:$H,MATCH($B245,'Pliegos Tarifarios (Huechuraba)'!$A:$A,0)),H245&lt;=5000,INDEX('Pliegos Tarifarios (Huechuraba)'!$I:$I,MATCH($B245,'Pliegos Tarifarios (Huechuraba)'!$A:$A,0)),H245&gt;5000,INDEX('Pliegos Tarifarios (Huechuraba)'!$J:$J,MATCH($B245,'Pliegos Tarifarios (Huechuraba)'!$A:$A,0)))/1.19</f>
        <v>1369.4663025210086</v>
      </c>
      <c r="R245" s="19">
        <f>INDEX('Pliegos Tarifarios (Huechuraba)'!$K:$K,MATCH($B245,'Pliegos Tarifarios (Huechuraba)'!$A:$A,0))</f>
        <v>723.32799999999997</v>
      </c>
      <c r="S245" s="36">
        <f t="shared" si="9"/>
        <v>106260.59818252099</v>
      </c>
      <c r="T245" s="36">
        <f t="shared" si="10"/>
        <v>20189.513654678987</v>
      </c>
      <c r="U245" s="19">
        <v>0</v>
      </c>
      <c r="V245" s="36">
        <f t="shared" si="11"/>
        <v>126450.11183719998</v>
      </c>
    </row>
    <row r="246" spans="1:22" ht="23.4" thickBot="1" x14ac:dyDescent="0.35">
      <c r="A246" s="25" t="s">
        <v>147</v>
      </c>
      <c r="B246" s="26">
        <v>5</v>
      </c>
      <c r="C246" s="27" t="s">
        <v>15</v>
      </c>
      <c r="D246" s="26" t="s">
        <v>89</v>
      </c>
      <c r="E246" s="26" t="s">
        <v>81</v>
      </c>
      <c r="F246" s="27" t="s">
        <v>90</v>
      </c>
      <c r="G246" s="26" t="s">
        <v>19</v>
      </c>
      <c r="H246" s="26">
        <v>581.82000000000005</v>
      </c>
      <c r="I246" s="26">
        <v>1.58</v>
      </c>
      <c r="J246" s="26">
        <v>1.55</v>
      </c>
      <c r="K246" s="29">
        <v>0.98499999999999999</v>
      </c>
      <c r="L246" s="26">
        <v>19.39</v>
      </c>
      <c r="M246" s="19">
        <f>H246*INDEX('Pliegos Tarifarios (Huechuraba)'!$B:$B,MATCH($B246,'Pliegos Tarifarios (Huechuraba)'!$A:$A,0))</f>
        <v>69142.325160000008</v>
      </c>
      <c r="N246" s="19">
        <f>I246*INDEX('Pliegos Tarifarios (Huechuraba)'!$C:$C,MATCH($B246,'Pliegos Tarifarios (Huechuraba)'!$A:$A,0))</f>
        <v>5372.7441800000006</v>
      </c>
      <c r="O246" s="19">
        <f>J246*INDEX('Pliegos Tarifarios (Huechuraba)'!$D:$D,MATCH($B246,'Pliegos Tarifarios (Huechuraba)'!$A:$A,0))</f>
        <v>21854.556700000001</v>
      </c>
      <c r="P246" s="19">
        <f>H246*INDEX('Pliegos Tarifarios (Huechuraba)'!$E:$E,MATCH($B246,'Pliegos Tarifarios (Huechuraba)'!$A:$A,0))</f>
        <v>7524.0962400000008</v>
      </c>
      <c r="Q246" s="19" cm="1">
        <f t="array" ref="Q246">H246*_xlfn.IFS(H246&lt;=350,INDEX('Pliegos Tarifarios (Huechuraba)'!$F:$F,MATCH($B246,'Pliegos Tarifarios (Huechuraba)'!$A:$A,0)),H246&lt;=500,INDEX('Pliegos Tarifarios (Huechuraba)'!$G:$G,MATCH($B246,'Pliegos Tarifarios (Huechuraba)'!$A:$A,0)),H246&lt;=1000,INDEX('Pliegos Tarifarios (Huechuraba)'!$H:$H,MATCH($B246,'Pliegos Tarifarios (Huechuraba)'!$A:$A,0)),H246&lt;=5000,INDEX('Pliegos Tarifarios (Huechuraba)'!$I:$I,MATCH($B246,'Pliegos Tarifarios (Huechuraba)'!$A:$A,0)),H246&gt;5000,INDEX('Pliegos Tarifarios (Huechuraba)'!$J:$J,MATCH($B246,'Pliegos Tarifarios (Huechuraba)'!$A:$A,0)))/1.19</f>
        <v>1364.5879159663868</v>
      </c>
      <c r="R246" s="19">
        <f>INDEX('Pliegos Tarifarios (Huechuraba)'!$K:$K,MATCH($B246,'Pliegos Tarifarios (Huechuraba)'!$A:$A,0))</f>
        <v>723.32799999999997</v>
      </c>
      <c r="S246" s="36">
        <f t="shared" si="9"/>
        <v>105981.63819596638</v>
      </c>
      <c r="T246" s="36">
        <f t="shared" si="10"/>
        <v>20136.511257233615</v>
      </c>
      <c r="U246" s="19">
        <v>0</v>
      </c>
      <c r="V246" s="36">
        <f t="shared" si="11"/>
        <v>126118.14945319999</v>
      </c>
    </row>
    <row r="247" spans="1:22" ht="23.4" thickBot="1" x14ac:dyDescent="0.35">
      <c r="A247" s="25" t="s">
        <v>147</v>
      </c>
      <c r="B247" s="26">
        <v>5</v>
      </c>
      <c r="C247" s="27" t="s">
        <v>15</v>
      </c>
      <c r="D247" s="26" t="s">
        <v>91</v>
      </c>
      <c r="E247" s="26" t="s">
        <v>81</v>
      </c>
      <c r="F247" s="27" t="s">
        <v>92</v>
      </c>
      <c r="G247" s="26" t="s">
        <v>19</v>
      </c>
      <c r="H247" s="26">
        <v>728.83</v>
      </c>
      <c r="I247" s="26">
        <v>2</v>
      </c>
      <c r="J247" s="26">
        <v>1.94</v>
      </c>
      <c r="K247" s="29">
        <v>0.96899999999999997</v>
      </c>
      <c r="L247" s="26">
        <v>24.29</v>
      </c>
      <c r="M247" s="19">
        <f>H247*INDEX('Pliegos Tarifarios (Huechuraba)'!$B:$B,MATCH($B247,'Pliegos Tarifarios (Huechuraba)'!$A:$A,0))</f>
        <v>86612.699540000001</v>
      </c>
      <c r="N247" s="19">
        <f>I247*INDEX('Pliegos Tarifarios (Huechuraba)'!$C:$C,MATCH($B247,'Pliegos Tarifarios (Huechuraba)'!$A:$A,0))</f>
        <v>6800.942</v>
      </c>
      <c r="O247" s="19">
        <f>J247*INDEX('Pliegos Tarifarios (Huechuraba)'!$D:$D,MATCH($B247,'Pliegos Tarifarios (Huechuraba)'!$A:$A,0))</f>
        <v>27353.445159999999</v>
      </c>
      <c r="P247" s="19">
        <f>H247*INDEX('Pliegos Tarifarios (Huechuraba)'!$E:$E,MATCH($B247,'Pliegos Tarifarios (Huechuraba)'!$A:$A,0))</f>
        <v>9425.2295600000016</v>
      </c>
      <c r="Q247" s="19" cm="1">
        <f t="array" ref="Q247">H247*_xlfn.IFS(H247&lt;=350,INDEX('Pliegos Tarifarios (Huechuraba)'!$F:$F,MATCH($B247,'Pliegos Tarifarios (Huechuraba)'!$A:$A,0)),H247&lt;=500,INDEX('Pliegos Tarifarios (Huechuraba)'!$G:$G,MATCH($B247,'Pliegos Tarifarios (Huechuraba)'!$A:$A,0)),H247&lt;=1000,INDEX('Pliegos Tarifarios (Huechuraba)'!$H:$H,MATCH($B247,'Pliegos Tarifarios (Huechuraba)'!$A:$A,0)),H247&lt;=5000,INDEX('Pliegos Tarifarios (Huechuraba)'!$I:$I,MATCH($B247,'Pliegos Tarifarios (Huechuraba)'!$A:$A,0)),H247&gt;5000,INDEX('Pliegos Tarifarios (Huechuraba)'!$J:$J,MATCH($B247,'Pliegos Tarifarios (Huechuraba)'!$A:$A,0)))/1.19</f>
        <v>1709.3819579831938</v>
      </c>
      <c r="R247" s="19">
        <f>INDEX('Pliegos Tarifarios (Huechuraba)'!$K:$K,MATCH($B247,'Pliegos Tarifarios (Huechuraba)'!$A:$A,0))</f>
        <v>723.32799999999997</v>
      </c>
      <c r="S247" s="36">
        <f t="shared" si="9"/>
        <v>132625.02621798322</v>
      </c>
      <c r="T247" s="36">
        <f t="shared" si="10"/>
        <v>25198.754981416812</v>
      </c>
      <c r="U247" s="19">
        <v>0</v>
      </c>
      <c r="V247" s="36">
        <f t="shared" si="11"/>
        <v>157823.78119940002</v>
      </c>
    </row>
    <row r="248" spans="1:22" ht="23.4" thickBot="1" x14ac:dyDescent="0.35">
      <c r="A248" s="25" t="s">
        <v>147</v>
      </c>
      <c r="B248" s="26">
        <v>5</v>
      </c>
      <c r="C248" s="27" t="s">
        <v>15</v>
      </c>
      <c r="D248" s="26" t="s">
        <v>93</v>
      </c>
      <c r="E248" s="26" t="s">
        <v>94</v>
      </c>
      <c r="F248" s="27" t="s">
        <v>95</v>
      </c>
      <c r="G248" s="26" t="s">
        <v>19</v>
      </c>
      <c r="H248" s="26">
        <v>583.36</v>
      </c>
      <c r="I248" s="26">
        <v>1.56</v>
      </c>
      <c r="J248" s="26">
        <v>1.54</v>
      </c>
      <c r="K248" s="29">
        <v>0.98899999999999999</v>
      </c>
      <c r="L248" s="26">
        <v>19.45</v>
      </c>
      <c r="M248" s="19">
        <f>H248*INDEX('Pliegos Tarifarios (Huechuraba)'!$B:$B,MATCH($B248,'Pliegos Tarifarios (Huechuraba)'!$A:$A,0))</f>
        <v>69325.335680000004</v>
      </c>
      <c r="N248" s="19">
        <f>I248*INDEX('Pliegos Tarifarios (Huechuraba)'!$C:$C,MATCH($B248,'Pliegos Tarifarios (Huechuraba)'!$A:$A,0))</f>
        <v>5304.7347600000003</v>
      </c>
      <c r="O248" s="19">
        <f>J248*INDEX('Pliegos Tarifarios (Huechuraba)'!$D:$D,MATCH($B248,'Pliegos Tarifarios (Huechuraba)'!$A:$A,0))</f>
        <v>21713.559560000002</v>
      </c>
      <c r="P248" s="19">
        <f>H248*INDEX('Pliegos Tarifarios (Huechuraba)'!$E:$E,MATCH($B248,'Pliegos Tarifarios (Huechuraba)'!$A:$A,0))</f>
        <v>7544.01152</v>
      </c>
      <c r="Q248" s="19" cm="1">
        <f t="array" ref="Q248">H248*_xlfn.IFS(H248&lt;=350,INDEX('Pliegos Tarifarios (Huechuraba)'!$F:$F,MATCH($B248,'Pliegos Tarifarios (Huechuraba)'!$A:$A,0)),H248&lt;=500,INDEX('Pliegos Tarifarios (Huechuraba)'!$G:$G,MATCH($B248,'Pliegos Tarifarios (Huechuraba)'!$A:$A,0)),H248&lt;=1000,INDEX('Pliegos Tarifarios (Huechuraba)'!$H:$H,MATCH($B248,'Pliegos Tarifarios (Huechuraba)'!$A:$A,0)),H248&lt;=5000,INDEX('Pliegos Tarifarios (Huechuraba)'!$I:$I,MATCH($B248,'Pliegos Tarifarios (Huechuraba)'!$A:$A,0)),H248&gt;5000,INDEX('Pliegos Tarifarios (Huechuraba)'!$J:$J,MATCH($B248,'Pliegos Tarifarios (Huechuraba)'!$A:$A,0)))/1.19</f>
        <v>1368.199798319328</v>
      </c>
      <c r="R248" s="19">
        <f>INDEX('Pliegos Tarifarios (Huechuraba)'!$K:$K,MATCH($B248,'Pliegos Tarifarios (Huechuraba)'!$A:$A,0))</f>
        <v>723.32799999999997</v>
      </c>
      <c r="S248" s="36">
        <f t="shared" si="9"/>
        <v>105979.16931831933</v>
      </c>
      <c r="T248" s="36">
        <f t="shared" si="10"/>
        <v>20136.042170480672</v>
      </c>
      <c r="U248" s="19">
        <v>0</v>
      </c>
      <c r="V248" s="36">
        <f t="shared" si="11"/>
        <v>126115.21148880001</v>
      </c>
    </row>
    <row r="249" spans="1:22" ht="23.4" thickBot="1" x14ac:dyDescent="0.35">
      <c r="A249" s="25" t="s">
        <v>147</v>
      </c>
      <c r="B249" s="26">
        <v>5</v>
      </c>
      <c r="C249" s="27" t="s">
        <v>15</v>
      </c>
      <c r="D249" s="26" t="s">
        <v>96</v>
      </c>
      <c r="E249" s="26" t="s">
        <v>97</v>
      </c>
      <c r="F249" s="27" t="s">
        <v>98</v>
      </c>
      <c r="G249" s="26" t="s">
        <v>19</v>
      </c>
      <c r="H249" s="26">
        <v>874.84</v>
      </c>
      <c r="I249" s="26">
        <v>2.39</v>
      </c>
      <c r="J249" s="26">
        <v>2.36</v>
      </c>
      <c r="K249" s="29">
        <v>0.98399999999999999</v>
      </c>
      <c r="L249" s="26">
        <v>29.16</v>
      </c>
      <c r="M249" s="19">
        <f>H249*INDEX('Pliegos Tarifarios (Huechuraba)'!$B:$B,MATCH($B249,'Pliegos Tarifarios (Huechuraba)'!$A:$A,0))</f>
        <v>103964.23591999999</v>
      </c>
      <c r="N249" s="19">
        <f>I249*INDEX('Pliegos Tarifarios (Huechuraba)'!$C:$C,MATCH($B249,'Pliegos Tarifarios (Huechuraba)'!$A:$A,0))</f>
        <v>8127.1256900000008</v>
      </c>
      <c r="O249" s="19">
        <f>J249*INDEX('Pliegos Tarifarios (Huechuraba)'!$D:$D,MATCH($B249,'Pliegos Tarifarios (Huechuraba)'!$A:$A,0))</f>
        <v>33275.325039999996</v>
      </c>
      <c r="P249" s="19">
        <f>H249*INDEX('Pliegos Tarifarios (Huechuraba)'!$E:$E,MATCH($B249,'Pliegos Tarifarios (Huechuraba)'!$A:$A,0))</f>
        <v>11313.43088</v>
      </c>
      <c r="Q249" s="19" cm="1">
        <f t="array" ref="Q249">H249*_xlfn.IFS(H249&lt;=350,INDEX('Pliegos Tarifarios (Huechuraba)'!$F:$F,MATCH($B249,'Pliegos Tarifarios (Huechuraba)'!$A:$A,0)),H249&lt;=500,INDEX('Pliegos Tarifarios (Huechuraba)'!$G:$G,MATCH($B249,'Pliegos Tarifarios (Huechuraba)'!$A:$A,0)),H249&lt;=1000,INDEX('Pliegos Tarifarios (Huechuraba)'!$H:$H,MATCH($B249,'Pliegos Tarifarios (Huechuraba)'!$A:$A,0)),H249&lt;=5000,INDEX('Pliegos Tarifarios (Huechuraba)'!$I:$I,MATCH($B249,'Pliegos Tarifarios (Huechuraba)'!$A:$A,0)),H249&gt;5000,INDEX('Pliegos Tarifarios (Huechuraba)'!$J:$J,MATCH($B249,'Pliegos Tarifarios (Huechuraba)'!$A:$A,0)))/1.19</f>
        <v>2051.8306218487401</v>
      </c>
      <c r="R249" s="19">
        <f>INDEX('Pliegos Tarifarios (Huechuraba)'!$K:$K,MATCH($B249,'Pliegos Tarifarios (Huechuraba)'!$A:$A,0))</f>
        <v>723.32799999999997</v>
      </c>
      <c r="S249" s="36">
        <f t="shared" si="9"/>
        <v>159455.27615184872</v>
      </c>
      <c r="T249" s="36">
        <f t="shared" si="10"/>
        <v>30296.502468851257</v>
      </c>
      <c r="U249" s="19">
        <v>0</v>
      </c>
      <c r="V249" s="36">
        <f t="shared" si="11"/>
        <v>189751.77862069997</v>
      </c>
    </row>
    <row r="250" spans="1:22" ht="23.4" thickBot="1" x14ac:dyDescent="0.35">
      <c r="A250" s="25" t="s">
        <v>147</v>
      </c>
      <c r="B250" s="26">
        <v>5</v>
      </c>
      <c r="C250" s="27" t="s">
        <v>15</v>
      </c>
      <c r="D250" s="26" t="s">
        <v>99</v>
      </c>
      <c r="E250" s="26" t="s">
        <v>94</v>
      </c>
      <c r="F250" s="27" t="s">
        <v>100</v>
      </c>
      <c r="G250" s="26" t="s">
        <v>19</v>
      </c>
      <c r="H250" s="26">
        <v>874.99</v>
      </c>
      <c r="I250" s="26">
        <v>2.35</v>
      </c>
      <c r="J250" s="26">
        <v>2.35</v>
      </c>
      <c r="K250" s="29">
        <v>1</v>
      </c>
      <c r="L250" s="26">
        <v>29.17</v>
      </c>
      <c r="M250" s="19">
        <f>H250*INDEX('Pliegos Tarifarios (Huechuraba)'!$B:$B,MATCH($B250,'Pliegos Tarifarios (Huechuraba)'!$A:$A,0))</f>
        <v>103982.06161999999</v>
      </c>
      <c r="N250" s="19">
        <f>I250*INDEX('Pliegos Tarifarios (Huechuraba)'!$C:$C,MATCH($B250,'Pliegos Tarifarios (Huechuraba)'!$A:$A,0))</f>
        <v>7991.1068500000001</v>
      </c>
      <c r="O250" s="19">
        <f>J250*INDEX('Pliegos Tarifarios (Huechuraba)'!$D:$D,MATCH($B250,'Pliegos Tarifarios (Huechuraba)'!$A:$A,0))</f>
        <v>33134.327900000004</v>
      </c>
      <c r="P250" s="19">
        <f>H250*INDEX('Pliegos Tarifarios (Huechuraba)'!$E:$E,MATCH($B250,'Pliegos Tarifarios (Huechuraba)'!$A:$A,0))</f>
        <v>11315.37068</v>
      </c>
      <c r="Q250" s="19" cm="1">
        <f t="array" ref="Q250">H250*_xlfn.IFS(H250&lt;=350,INDEX('Pliegos Tarifarios (Huechuraba)'!$F:$F,MATCH($B250,'Pliegos Tarifarios (Huechuraba)'!$A:$A,0)),H250&lt;=500,INDEX('Pliegos Tarifarios (Huechuraba)'!$G:$G,MATCH($B250,'Pliegos Tarifarios (Huechuraba)'!$A:$A,0)),H250&lt;=1000,INDEX('Pliegos Tarifarios (Huechuraba)'!$H:$H,MATCH($B250,'Pliegos Tarifarios (Huechuraba)'!$A:$A,0)),H250&lt;=5000,INDEX('Pliegos Tarifarios (Huechuraba)'!$I:$I,MATCH($B250,'Pliegos Tarifarios (Huechuraba)'!$A:$A,0)),H250&gt;5000,INDEX('Pliegos Tarifarios (Huechuraba)'!$J:$J,MATCH($B250,'Pliegos Tarifarios (Huechuraba)'!$A:$A,0)))/1.19</f>
        <v>2052.1824285714288</v>
      </c>
      <c r="R250" s="19">
        <f>INDEX('Pliegos Tarifarios (Huechuraba)'!$K:$K,MATCH($B250,'Pliegos Tarifarios (Huechuraba)'!$A:$A,0))</f>
        <v>723.32799999999997</v>
      </c>
      <c r="S250" s="36">
        <f t="shared" si="9"/>
        <v>159198.37747857143</v>
      </c>
      <c r="T250" s="36">
        <f t="shared" si="10"/>
        <v>30247.691720928571</v>
      </c>
      <c r="U250" s="19">
        <v>0</v>
      </c>
      <c r="V250" s="36">
        <f t="shared" si="11"/>
        <v>189446.06919949999</v>
      </c>
    </row>
    <row r="251" spans="1:22" ht="23.4" thickBot="1" x14ac:dyDescent="0.35">
      <c r="A251" s="25" t="s">
        <v>147</v>
      </c>
      <c r="B251" s="26">
        <v>5</v>
      </c>
      <c r="C251" s="27" t="s">
        <v>15</v>
      </c>
      <c r="D251" s="26" t="s">
        <v>101</v>
      </c>
      <c r="E251" s="26" t="s">
        <v>102</v>
      </c>
      <c r="F251" s="27" t="s">
        <v>103</v>
      </c>
      <c r="G251" s="26" t="s">
        <v>19</v>
      </c>
      <c r="H251" s="28">
        <v>2327.5100000000002</v>
      </c>
      <c r="I251" s="26">
        <v>6.25</v>
      </c>
      <c r="J251" s="26">
        <v>6.25</v>
      </c>
      <c r="K251" s="29">
        <v>1</v>
      </c>
      <c r="L251" s="26">
        <v>77.58</v>
      </c>
      <c r="M251" s="19">
        <f>H251*INDEX('Pliegos Tarifarios (Huechuraba)'!$B:$B,MATCH($B251,'Pliegos Tarifarios (Huechuraba)'!$A:$A,0))</f>
        <v>276596.63338000001</v>
      </c>
      <c r="N251" s="19">
        <f>I251*INDEX('Pliegos Tarifarios (Huechuraba)'!$C:$C,MATCH($B251,'Pliegos Tarifarios (Huechuraba)'!$A:$A,0))</f>
        <v>21252.943749999999</v>
      </c>
      <c r="O251" s="19">
        <f>J251*INDEX('Pliegos Tarifarios (Huechuraba)'!$D:$D,MATCH($B251,'Pliegos Tarifarios (Huechuraba)'!$A:$A,0))</f>
        <v>88123.212499999994</v>
      </c>
      <c r="P251" s="19">
        <f>H251*INDEX('Pliegos Tarifarios (Huechuraba)'!$E:$E,MATCH($B251,'Pliegos Tarifarios (Huechuraba)'!$A:$A,0))</f>
        <v>30099.359320000003</v>
      </c>
      <c r="Q251" s="19" cm="1">
        <f t="array" ref="Q251">H251*_xlfn.IFS(H251&lt;=350,INDEX('Pliegos Tarifarios (Huechuraba)'!$F:$F,MATCH($B251,'Pliegos Tarifarios (Huechuraba)'!$A:$A,0)),H251&lt;=500,INDEX('Pliegos Tarifarios (Huechuraba)'!$G:$G,MATCH($B251,'Pliegos Tarifarios (Huechuraba)'!$A:$A,0)),H251&lt;=1000,INDEX('Pliegos Tarifarios (Huechuraba)'!$H:$H,MATCH($B251,'Pliegos Tarifarios (Huechuraba)'!$A:$A,0)),H251&lt;=5000,INDEX('Pliegos Tarifarios (Huechuraba)'!$I:$I,MATCH($B251,'Pliegos Tarifarios (Huechuraba)'!$A:$A,0)),H251&gt;5000,INDEX('Pliegos Tarifarios (Huechuraba)'!$J:$J,MATCH($B251,'Pliegos Tarifarios (Huechuraba)'!$A:$A,0)))/1.19</f>
        <v>6984.485890756303</v>
      </c>
      <c r="R251" s="19">
        <f>INDEX('Pliegos Tarifarios (Huechuraba)'!$K:$K,MATCH($B251,'Pliegos Tarifarios (Huechuraba)'!$A:$A,0))</f>
        <v>723.32799999999997</v>
      </c>
      <c r="S251" s="36">
        <f t="shared" si="9"/>
        <v>423779.96284075629</v>
      </c>
      <c r="T251" s="36">
        <f t="shared" si="10"/>
        <v>80518.192939743691</v>
      </c>
      <c r="U251" s="19">
        <v>0</v>
      </c>
      <c r="V251" s="36">
        <f t="shared" si="11"/>
        <v>504298.15578049998</v>
      </c>
    </row>
    <row r="252" spans="1:22" ht="23.4" thickBot="1" x14ac:dyDescent="0.35">
      <c r="A252" s="25" t="s">
        <v>147</v>
      </c>
      <c r="B252" s="26">
        <v>5</v>
      </c>
      <c r="C252" s="27" t="s">
        <v>15</v>
      </c>
      <c r="D252" s="26" t="s">
        <v>104</v>
      </c>
      <c r="E252" s="26" t="s">
        <v>105</v>
      </c>
      <c r="F252" s="27" t="s">
        <v>106</v>
      </c>
      <c r="G252" s="26" t="s">
        <v>19</v>
      </c>
      <c r="H252" s="28">
        <v>1750.08</v>
      </c>
      <c r="I252" s="26">
        <v>4.67</v>
      </c>
      <c r="J252" s="26">
        <v>4.67</v>
      </c>
      <c r="K252" s="29">
        <v>1</v>
      </c>
      <c r="L252" s="26">
        <v>58.34</v>
      </c>
      <c r="M252" s="19">
        <f>H252*INDEX('Pliegos Tarifarios (Huechuraba)'!$B:$B,MATCH($B252,'Pliegos Tarifarios (Huechuraba)'!$A:$A,0))</f>
        <v>207976.00703999997</v>
      </c>
      <c r="N252" s="19">
        <f>I252*INDEX('Pliegos Tarifarios (Huechuraba)'!$C:$C,MATCH($B252,'Pliegos Tarifarios (Huechuraba)'!$A:$A,0))</f>
        <v>15880.199570000001</v>
      </c>
      <c r="O252" s="19">
        <f>J252*INDEX('Pliegos Tarifarios (Huechuraba)'!$D:$D,MATCH($B252,'Pliegos Tarifarios (Huechuraba)'!$A:$A,0))</f>
        <v>65845.664380000002</v>
      </c>
      <c r="P252" s="19">
        <f>H252*INDEX('Pliegos Tarifarios (Huechuraba)'!$E:$E,MATCH($B252,'Pliegos Tarifarios (Huechuraba)'!$A:$A,0))</f>
        <v>22632.03456</v>
      </c>
      <c r="Q252" s="19" cm="1">
        <f t="array" ref="Q252">H252*_xlfn.IFS(H252&lt;=350,INDEX('Pliegos Tarifarios (Huechuraba)'!$F:$F,MATCH($B252,'Pliegos Tarifarios (Huechuraba)'!$A:$A,0)),H252&lt;=500,INDEX('Pliegos Tarifarios (Huechuraba)'!$G:$G,MATCH($B252,'Pliegos Tarifarios (Huechuraba)'!$A:$A,0)),H252&lt;=1000,INDEX('Pliegos Tarifarios (Huechuraba)'!$H:$H,MATCH($B252,'Pliegos Tarifarios (Huechuraba)'!$A:$A,0)),H252&lt;=5000,INDEX('Pliegos Tarifarios (Huechuraba)'!$I:$I,MATCH($B252,'Pliegos Tarifarios (Huechuraba)'!$A:$A,0)),H252&gt;5000,INDEX('Pliegos Tarifarios (Huechuraba)'!$J:$J,MATCH($B252,'Pliegos Tarifarios (Huechuraba)'!$A:$A,0)))/1.19</f>
        <v>5251.7106554621841</v>
      </c>
      <c r="R252" s="19">
        <f>INDEX('Pliegos Tarifarios (Huechuraba)'!$K:$K,MATCH($B252,'Pliegos Tarifarios (Huechuraba)'!$A:$A,0))</f>
        <v>723.32799999999997</v>
      </c>
      <c r="S252" s="36">
        <f t="shared" si="9"/>
        <v>318308.94420546212</v>
      </c>
      <c r="T252" s="36">
        <f t="shared" si="10"/>
        <v>60478.699399037803</v>
      </c>
      <c r="U252" s="19">
        <v>0</v>
      </c>
      <c r="V252" s="36">
        <f t="shared" si="11"/>
        <v>378787.64360449993</v>
      </c>
    </row>
    <row r="253" spans="1:22" ht="23.4" thickBot="1" x14ac:dyDescent="0.35">
      <c r="A253" s="25" t="s">
        <v>147</v>
      </c>
      <c r="B253" s="26">
        <v>5</v>
      </c>
      <c r="C253" s="27" t="s">
        <v>15</v>
      </c>
      <c r="D253" s="26" t="s">
        <v>107</v>
      </c>
      <c r="E253" s="26" t="s">
        <v>108</v>
      </c>
      <c r="F253" s="27" t="s">
        <v>109</v>
      </c>
      <c r="G253" s="26" t="s">
        <v>33</v>
      </c>
      <c r="H253" s="26">
        <v>582.99</v>
      </c>
      <c r="I253" s="26">
        <v>1.56</v>
      </c>
      <c r="J253" s="26">
        <v>1.55</v>
      </c>
      <c r="K253" s="29">
        <v>0.99</v>
      </c>
      <c r="L253" s="26">
        <v>19.43</v>
      </c>
      <c r="M253" s="19">
        <f>H253*INDEX('Pliegos Tarifarios (Huechuraba)'!$B:$B,MATCH($B253,'Pliegos Tarifarios (Huechuraba)'!$A:$A,0))</f>
        <v>69281.365619999997</v>
      </c>
      <c r="N253" s="19">
        <f>I253*INDEX('Pliegos Tarifarios (Huechuraba)'!$C:$C,MATCH($B253,'Pliegos Tarifarios (Huechuraba)'!$A:$A,0))</f>
        <v>5304.7347600000003</v>
      </c>
      <c r="O253" s="19">
        <f>J253*INDEX('Pliegos Tarifarios (Huechuraba)'!$D:$D,MATCH($B253,'Pliegos Tarifarios (Huechuraba)'!$A:$A,0))</f>
        <v>21854.556700000001</v>
      </c>
      <c r="P253" s="19">
        <f>H253*INDEX('Pliegos Tarifarios (Huechuraba)'!$E:$E,MATCH($B253,'Pliegos Tarifarios (Huechuraba)'!$A:$A,0))</f>
        <v>7539.2266800000007</v>
      </c>
      <c r="Q253" s="19" cm="1">
        <f t="array" ref="Q253">H253*_xlfn.IFS(H253&lt;=350,INDEX('Pliegos Tarifarios (Huechuraba)'!$F:$F,MATCH($B253,'Pliegos Tarifarios (Huechuraba)'!$A:$A,0)),H253&lt;=500,INDEX('Pliegos Tarifarios (Huechuraba)'!$G:$G,MATCH($B253,'Pliegos Tarifarios (Huechuraba)'!$A:$A,0)),H253&lt;=1000,INDEX('Pliegos Tarifarios (Huechuraba)'!$H:$H,MATCH($B253,'Pliegos Tarifarios (Huechuraba)'!$A:$A,0)),H253&lt;=5000,INDEX('Pliegos Tarifarios (Huechuraba)'!$I:$I,MATCH($B253,'Pliegos Tarifarios (Huechuraba)'!$A:$A,0)),H253&gt;5000,INDEX('Pliegos Tarifarios (Huechuraba)'!$J:$J,MATCH($B253,'Pliegos Tarifarios (Huechuraba)'!$A:$A,0)))/1.19</f>
        <v>1367.3320084033617</v>
      </c>
      <c r="R253" s="19">
        <f>INDEX('Pliegos Tarifarios (Huechuraba)'!$K:$K,MATCH($B253,'Pliegos Tarifarios (Huechuraba)'!$A:$A,0))</f>
        <v>723.32799999999997</v>
      </c>
      <c r="S253" s="36">
        <f t="shared" si="9"/>
        <v>106070.54376840337</v>
      </c>
      <c r="T253" s="36">
        <f t="shared" si="10"/>
        <v>20153.403315996638</v>
      </c>
      <c r="U253" s="19">
        <v>0</v>
      </c>
      <c r="V253" s="36">
        <f t="shared" si="11"/>
        <v>126223.9470844</v>
      </c>
    </row>
    <row r="254" spans="1:22" ht="23.4" thickBot="1" x14ac:dyDescent="0.35">
      <c r="A254" s="25" t="s">
        <v>147</v>
      </c>
      <c r="B254" s="26">
        <v>5</v>
      </c>
      <c r="C254" s="27" t="s">
        <v>15</v>
      </c>
      <c r="D254" s="26" t="s">
        <v>110</v>
      </c>
      <c r="E254" s="26" t="s">
        <v>108</v>
      </c>
      <c r="F254" s="27" t="s">
        <v>111</v>
      </c>
      <c r="G254" s="26" t="s">
        <v>33</v>
      </c>
      <c r="H254" s="28">
        <v>1069.6600000000001</v>
      </c>
      <c r="I254" s="26">
        <v>2.92</v>
      </c>
      <c r="J254" s="26">
        <v>2.82</v>
      </c>
      <c r="K254" s="29">
        <v>0.96599999999999997</v>
      </c>
      <c r="L254" s="26">
        <v>35.659999999999997</v>
      </c>
      <c r="M254" s="19">
        <f>H254*INDEX('Pliegos Tarifarios (Huechuraba)'!$B:$B,MATCH($B254,'Pliegos Tarifarios (Huechuraba)'!$A:$A,0))</f>
        <v>127116.25508</v>
      </c>
      <c r="N254" s="19">
        <f>I254*INDEX('Pliegos Tarifarios (Huechuraba)'!$C:$C,MATCH($B254,'Pliegos Tarifarios (Huechuraba)'!$A:$A,0))</f>
        <v>9929.3753199999992</v>
      </c>
      <c r="O254" s="19">
        <f>J254*INDEX('Pliegos Tarifarios (Huechuraba)'!$D:$D,MATCH($B254,'Pliegos Tarifarios (Huechuraba)'!$A:$A,0))</f>
        <v>39761.193479999994</v>
      </c>
      <c r="P254" s="19">
        <f>H254*INDEX('Pliegos Tarifarios (Huechuraba)'!$E:$E,MATCH($B254,'Pliegos Tarifarios (Huechuraba)'!$A:$A,0))</f>
        <v>13832.843120000001</v>
      </c>
      <c r="Q254" s="19" cm="1">
        <f t="array" ref="Q254">H254*_xlfn.IFS(H254&lt;=350,INDEX('Pliegos Tarifarios (Huechuraba)'!$F:$F,MATCH($B254,'Pliegos Tarifarios (Huechuraba)'!$A:$A,0)),H254&lt;=500,INDEX('Pliegos Tarifarios (Huechuraba)'!$G:$G,MATCH($B254,'Pliegos Tarifarios (Huechuraba)'!$A:$A,0)),H254&lt;=1000,INDEX('Pliegos Tarifarios (Huechuraba)'!$H:$H,MATCH($B254,'Pliegos Tarifarios (Huechuraba)'!$A:$A,0)),H254&lt;=5000,INDEX('Pliegos Tarifarios (Huechuraba)'!$I:$I,MATCH($B254,'Pliegos Tarifarios (Huechuraba)'!$A:$A,0)),H254&gt;5000,INDEX('Pliegos Tarifarios (Huechuraba)'!$J:$J,MATCH($B254,'Pliegos Tarifarios (Huechuraba)'!$A:$A,0)))/1.19</f>
        <v>3209.8788739495803</v>
      </c>
      <c r="R254" s="19">
        <f>INDEX('Pliegos Tarifarios (Huechuraba)'!$K:$K,MATCH($B254,'Pliegos Tarifarios (Huechuraba)'!$A:$A,0))</f>
        <v>723.32799999999997</v>
      </c>
      <c r="S254" s="36">
        <f t="shared" si="9"/>
        <v>194572.87387394957</v>
      </c>
      <c r="T254" s="36">
        <f t="shared" si="10"/>
        <v>36968.846036050418</v>
      </c>
      <c r="U254" s="19">
        <v>0</v>
      </c>
      <c r="V254" s="36">
        <f t="shared" si="11"/>
        <v>231541.71990999999</v>
      </c>
    </row>
    <row r="255" spans="1:22" ht="23.4" thickBot="1" x14ac:dyDescent="0.35">
      <c r="A255" s="25" t="s">
        <v>147</v>
      </c>
      <c r="B255" s="26">
        <v>5</v>
      </c>
      <c r="C255" s="27" t="s">
        <v>15</v>
      </c>
      <c r="D255" s="26" t="s">
        <v>112</v>
      </c>
      <c r="E255" s="26" t="s">
        <v>113</v>
      </c>
      <c r="F255" s="27" t="s">
        <v>114</v>
      </c>
      <c r="G255" s="26" t="s">
        <v>33</v>
      </c>
      <c r="H255" s="26">
        <v>389.46</v>
      </c>
      <c r="I255" s="26">
        <v>1.04</v>
      </c>
      <c r="J255" s="26">
        <v>1.04</v>
      </c>
      <c r="K255" s="29">
        <v>0.999</v>
      </c>
      <c r="L255" s="26">
        <v>12.98</v>
      </c>
      <c r="M255" s="19">
        <f>H255*INDEX('Pliegos Tarifarios (Huechuraba)'!$B:$B,MATCH($B255,'Pliegos Tarifarios (Huechuraba)'!$A:$A,0))</f>
        <v>46282.647479999992</v>
      </c>
      <c r="N255" s="19">
        <f>I255*INDEX('Pliegos Tarifarios (Huechuraba)'!$C:$C,MATCH($B255,'Pliegos Tarifarios (Huechuraba)'!$A:$A,0))</f>
        <v>3536.4898400000002</v>
      </c>
      <c r="O255" s="19">
        <f>J255*INDEX('Pliegos Tarifarios (Huechuraba)'!$D:$D,MATCH($B255,'Pliegos Tarifarios (Huechuraba)'!$A:$A,0))</f>
        <v>14663.70256</v>
      </c>
      <c r="P255" s="19">
        <f>H255*INDEX('Pliegos Tarifarios (Huechuraba)'!$E:$E,MATCH($B255,'Pliegos Tarifarios (Huechuraba)'!$A:$A,0))</f>
        <v>5036.4967200000001</v>
      </c>
      <c r="Q255" s="19" cm="1">
        <f t="array" ref="Q255">H255*_xlfn.IFS(H255&lt;=350,INDEX('Pliegos Tarifarios (Huechuraba)'!$F:$F,MATCH($B255,'Pliegos Tarifarios (Huechuraba)'!$A:$A,0)),H255&lt;=500,INDEX('Pliegos Tarifarios (Huechuraba)'!$G:$G,MATCH($B255,'Pliegos Tarifarios (Huechuraba)'!$A:$A,0)),H255&lt;=1000,INDEX('Pliegos Tarifarios (Huechuraba)'!$H:$H,MATCH($B255,'Pliegos Tarifarios (Huechuraba)'!$A:$A,0)),H255&lt;=5000,INDEX('Pliegos Tarifarios (Huechuraba)'!$I:$I,MATCH($B255,'Pliegos Tarifarios (Huechuraba)'!$A:$A,0)),H255&gt;5000,INDEX('Pliegos Tarifarios (Huechuraba)'!$J:$J,MATCH($B255,'Pliegos Tarifarios (Huechuraba)'!$A:$A,0)))/1.19</f>
        <v>548.51677310924367</v>
      </c>
      <c r="R255" s="19">
        <f>INDEX('Pliegos Tarifarios (Huechuraba)'!$K:$K,MATCH($B255,'Pliegos Tarifarios (Huechuraba)'!$A:$A,0))</f>
        <v>723.32799999999997</v>
      </c>
      <c r="S255" s="36">
        <f t="shared" si="9"/>
        <v>70791.181373109226</v>
      </c>
      <c r="T255" s="36">
        <f t="shared" si="10"/>
        <v>13450.324460890753</v>
      </c>
      <c r="U255" s="19">
        <v>0</v>
      </c>
      <c r="V255" s="36">
        <f t="shared" si="11"/>
        <v>84241.505833999981</v>
      </c>
    </row>
    <row r="256" spans="1:22" ht="23.4" thickBot="1" x14ac:dyDescent="0.35">
      <c r="A256" s="25" t="s">
        <v>147</v>
      </c>
      <c r="B256" s="26">
        <v>5</v>
      </c>
      <c r="C256" s="27" t="s">
        <v>15</v>
      </c>
      <c r="D256" s="26" t="s">
        <v>115</v>
      </c>
      <c r="E256" s="26" t="s">
        <v>116</v>
      </c>
      <c r="F256" s="27" t="s">
        <v>117</v>
      </c>
      <c r="G256" s="26" t="s">
        <v>33</v>
      </c>
      <c r="H256" s="26">
        <v>438.33</v>
      </c>
      <c r="I256" s="26">
        <v>1.19</v>
      </c>
      <c r="J256" s="26">
        <v>1.1499999999999999</v>
      </c>
      <c r="K256" s="29">
        <v>0.97</v>
      </c>
      <c r="L256" s="26">
        <v>14.61</v>
      </c>
      <c r="M256" s="19">
        <f>H256*INDEX('Pliegos Tarifarios (Huechuraba)'!$B:$B,MATCH($B256,'Pliegos Tarifarios (Huechuraba)'!$A:$A,0))</f>
        <v>52090.260539999996</v>
      </c>
      <c r="N256" s="19">
        <f>I256*INDEX('Pliegos Tarifarios (Huechuraba)'!$C:$C,MATCH($B256,'Pliegos Tarifarios (Huechuraba)'!$A:$A,0))</f>
        <v>4046.5604899999998</v>
      </c>
      <c r="O256" s="19">
        <f>J256*INDEX('Pliegos Tarifarios (Huechuraba)'!$D:$D,MATCH($B256,'Pliegos Tarifarios (Huechuraba)'!$A:$A,0))</f>
        <v>16214.6711</v>
      </c>
      <c r="P256" s="19">
        <f>H256*INDEX('Pliegos Tarifarios (Huechuraba)'!$E:$E,MATCH($B256,'Pliegos Tarifarios (Huechuraba)'!$A:$A,0))</f>
        <v>5668.4835599999997</v>
      </c>
      <c r="Q256" s="19" cm="1">
        <f t="array" ref="Q256">H256*_xlfn.IFS(H256&lt;=350,INDEX('Pliegos Tarifarios (Huechuraba)'!$F:$F,MATCH($B256,'Pliegos Tarifarios (Huechuraba)'!$A:$A,0)),H256&lt;=500,INDEX('Pliegos Tarifarios (Huechuraba)'!$G:$G,MATCH($B256,'Pliegos Tarifarios (Huechuraba)'!$A:$A,0)),H256&lt;=1000,INDEX('Pliegos Tarifarios (Huechuraba)'!$H:$H,MATCH($B256,'Pliegos Tarifarios (Huechuraba)'!$A:$A,0)),H256&lt;=5000,INDEX('Pliegos Tarifarios (Huechuraba)'!$I:$I,MATCH($B256,'Pliegos Tarifarios (Huechuraba)'!$A:$A,0)),H256&gt;5000,INDEX('Pliegos Tarifarios (Huechuraba)'!$J:$J,MATCH($B256,'Pliegos Tarifarios (Huechuraba)'!$A:$A,0)))/1.19</f>
        <v>617.34544537815123</v>
      </c>
      <c r="R256" s="19">
        <f>INDEX('Pliegos Tarifarios (Huechuraba)'!$K:$K,MATCH($B256,'Pliegos Tarifarios (Huechuraba)'!$A:$A,0))</f>
        <v>723.32799999999997</v>
      </c>
      <c r="S256" s="36">
        <f t="shared" si="9"/>
        <v>79360.649135378131</v>
      </c>
      <c r="T256" s="36">
        <f t="shared" si="10"/>
        <v>15078.523335721846</v>
      </c>
      <c r="U256" s="19">
        <v>0</v>
      </c>
      <c r="V256" s="36">
        <f t="shared" si="11"/>
        <v>94439.17247109997</v>
      </c>
    </row>
    <row r="257" spans="1:22" ht="23.4" thickBot="1" x14ac:dyDescent="0.35">
      <c r="A257" s="25" t="s">
        <v>147</v>
      </c>
      <c r="B257" s="26">
        <v>5</v>
      </c>
      <c r="C257" s="27" t="s">
        <v>15</v>
      </c>
      <c r="D257" s="26" t="s">
        <v>118</v>
      </c>
      <c r="E257" s="26" t="s">
        <v>119</v>
      </c>
      <c r="F257" s="27" t="s">
        <v>120</v>
      </c>
      <c r="G257" s="26" t="s">
        <v>33</v>
      </c>
      <c r="H257" s="26">
        <v>72.77</v>
      </c>
      <c r="I257" s="26">
        <v>0.19</v>
      </c>
      <c r="J257" s="26">
        <v>0.19</v>
      </c>
      <c r="K257" s="29">
        <v>1</v>
      </c>
      <c r="L257" s="26">
        <v>2.4300000000000002</v>
      </c>
      <c r="M257" s="19">
        <f>H257*INDEX('Pliegos Tarifarios (Huechuraba)'!$B:$B,MATCH($B257,'Pliegos Tarifarios (Huechuraba)'!$A:$A,0))</f>
        <v>8647.8412599999992</v>
      </c>
      <c r="N257" s="19">
        <f>I257*INDEX('Pliegos Tarifarios (Huechuraba)'!$C:$C,MATCH($B257,'Pliegos Tarifarios (Huechuraba)'!$A:$A,0))</f>
        <v>646.08948999999996</v>
      </c>
      <c r="O257" s="19">
        <f>J257*INDEX('Pliegos Tarifarios (Huechuraba)'!$D:$D,MATCH($B257,'Pliegos Tarifarios (Huechuraba)'!$A:$A,0))</f>
        <v>2678.9456599999999</v>
      </c>
      <c r="P257" s="19">
        <f>H257*INDEX('Pliegos Tarifarios (Huechuraba)'!$E:$E,MATCH($B257,'Pliegos Tarifarios (Huechuraba)'!$A:$A,0))</f>
        <v>941.06164000000001</v>
      </c>
      <c r="Q257" s="19" cm="1">
        <f t="array" ref="Q257">H257*_xlfn.IFS(H257&lt;=350,INDEX('Pliegos Tarifarios (Huechuraba)'!$F:$F,MATCH($B257,'Pliegos Tarifarios (Huechuraba)'!$A:$A,0)),H257&lt;=500,INDEX('Pliegos Tarifarios (Huechuraba)'!$G:$G,MATCH($B257,'Pliegos Tarifarios (Huechuraba)'!$A:$A,0)),H257&lt;=1000,INDEX('Pliegos Tarifarios (Huechuraba)'!$H:$H,MATCH($B257,'Pliegos Tarifarios (Huechuraba)'!$A:$A,0)),H257&lt;=5000,INDEX('Pliegos Tarifarios (Huechuraba)'!$I:$I,MATCH($B257,'Pliegos Tarifarios (Huechuraba)'!$A:$A,0)),H257&gt;5000,INDEX('Pliegos Tarifarios (Huechuraba)'!$J:$J,MATCH($B257,'Pliegos Tarifarios (Huechuraba)'!$A:$A,0)))/1.19</f>
        <v>47.942588235294117</v>
      </c>
      <c r="R257" s="19">
        <f>INDEX('Pliegos Tarifarios (Huechuraba)'!$K:$K,MATCH($B257,'Pliegos Tarifarios (Huechuraba)'!$A:$A,0))</f>
        <v>723.32799999999997</v>
      </c>
      <c r="S257" s="36">
        <f t="shared" si="9"/>
        <v>13685.208638235292</v>
      </c>
      <c r="T257" s="36">
        <f t="shared" si="10"/>
        <v>2600.1896412647056</v>
      </c>
      <c r="U257" s="19">
        <v>0</v>
      </c>
      <c r="V257" s="36">
        <f t="shared" si="11"/>
        <v>16285.398279499997</v>
      </c>
    </row>
    <row r="258" spans="1:22" ht="23.4" thickBot="1" x14ac:dyDescent="0.35">
      <c r="A258" s="25" t="s">
        <v>147</v>
      </c>
      <c r="B258" s="26">
        <v>5</v>
      </c>
      <c r="C258" s="27" t="s">
        <v>15</v>
      </c>
      <c r="D258" s="26" t="s">
        <v>121</v>
      </c>
      <c r="E258" s="26" t="s">
        <v>119</v>
      </c>
      <c r="F258" s="27" t="s">
        <v>122</v>
      </c>
      <c r="G258" s="26" t="s">
        <v>33</v>
      </c>
      <c r="H258" s="26">
        <v>72.77</v>
      </c>
      <c r="I258" s="26">
        <v>0.2</v>
      </c>
      <c r="J258" s="26">
        <v>0.19</v>
      </c>
      <c r="K258" s="29">
        <v>0.99</v>
      </c>
      <c r="L258" s="26">
        <v>2.4300000000000002</v>
      </c>
      <c r="M258" s="19">
        <f>H258*INDEX('Pliegos Tarifarios (Huechuraba)'!$B:$B,MATCH($B258,'Pliegos Tarifarios (Huechuraba)'!$A:$A,0))</f>
        <v>8647.8412599999992</v>
      </c>
      <c r="N258" s="19">
        <f>I258*INDEX('Pliegos Tarifarios (Huechuraba)'!$C:$C,MATCH($B258,'Pliegos Tarifarios (Huechuraba)'!$A:$A,0))</f>
        <v>680.0942</v>
      </c>
      <c r="O258" s="19">
        <f>J258*INDEX('Pliegos Tarifarios (Huechuraba)'!$D:$D,MATCH($B258,'Pliegos Tarifarios (Huechuraba)'!$A:$A,0))</f>
        <v>2678.9456599999999</v>
      </c>
      <c r="P258" s="19">
        <f>H258*INDEX('Pliegos Tarifarios (Huechuraba)'!$E:$E,MATCH($B258,'Pliegos Tarifarios (Huechuraba)'!$A:$A,0))</f>
        <v>941.06164000000001</v>
      </c>
      <c r="Q258" s="19" cm="1">
        <f t="array" ref="Q258">H258*_xlfn.IFS(H258&lt;=350,INDEX('Pliegos Tarifarios (Huechuraba)'!$F:$F,MATCH($B258,'Pliegos Tarifarios (Huechuraba)'!$A:$A,0)),H258&lt;=500,INDEX('Pliegos Tarifarios (Huechuraba)'!$G:$G,MATCH($B258,'Pliegos Tarifarios (Huechuraba)'!$A:$A,0)),H258&lt;=1000,INDEX('Pliegos Tarifarios (Huechuraba)'!$H:$H,MATCH($B258,'Pliegos Tarifarios (Huechuraba)'!$A:$A,0)),H258&lt;=5000,INDEX('Pliegos Tarifarios (Huechuraba)'!$I:$I,MATCH($B258,'Pliegos Tarifarios (Huechuraba)'!$A:$A,0)),H258&gt;5000,INDEX('Pliegos Tarifarios (Huechuraba)'!$J:$J,MATCH($B258,'Pliegos Tarifarios (Huechuraba)'!$A:$A,0)))/1.19</f>
        <v>47.942588235294117</v>
      </c>
      <c r="R258" s="19">
        <f>INDEX('Pliegos Tarifarios (Huechuraba)'!$K:$K,MATCH($B258,'Pliegos Tarifarios (Huechuraba)'!$A:$A,0))</f>
        <v>723.32799999999997</v>
      </c>
      <c r="S258" s="36">
        <f t="shared" si="9"/>
        <v>13719.213348235291</v>
      </c>
      <c r="T258" s="36">
        <f t="shared" si="10"/>
        <v>2606.6505361647055</v>
      </c>
      <c r="U258" s="19">
        <v>0</v>
      </c>
      <c r="V258" s="36">
        <f t="shared" si="11"/>
        <v>16325.863884399996</v>
      </c>
    </row>
    <row r="259" spans="1:22" ht="23.4" thickBot="1" x14ac:dyDescent="0.35">
      <c r="A259" s="25" t="s">
        <v>147</v>
      </c>
      <c r="B259" s="26">
        <v>5</v>
      </c>
      <c r="C259" s="27" t="s">
        <v>15</v>
      </c>
      <c r="D259" s="26" t="s">
        <v>123</v>
      </c>
      <c r="E259" s="26" t="s">
        <v>124</v>
      </c>
      <c r="F259" s="27" t="s">
        <v>125</v>
      </c>
      <c r="G259" s="26" t="s">
        <v>33</v>
      </c>
      <c r="H259" s="26">
        <v>72.98</v>
      </c>
      <c r="I259" s="26">
        <v>0.2</v>
      </c>
      <c r="J259" s="26">
        <v>0.2</v>
      </c>
      <c r="K259" s="29">
        <v>1</v>
      </c>
      <c r="L259" s="26">
        <v>2.4300000000000002</v>
      </c>
      <c r="M259" s="19">
        <f>H259*INDEX('Pliegos Tarifarios (Huechuraba)'!$B:$B,MATCH($B259,'Pliegos Tarifarios (Huechuraba)'!$A:$A,0))</f>
        <v>8672.7972399999999</v>
      </c>
      <c r="N259" s="19">
        <f>I259*INDEX('Pliegos Tarifarios (Huechuraba)'!$C:$C,MATCH($B259,'Pliegos Tarifarios (Huechuraba)'!$A:$A,0))</f>
        <v>680.0942</v>
      </c>
      <c r="O259" s="19">
        <f>J259*INDEX('Pliegos Tarifarios (Huechuraba)'!$D:$D,MATCH($B259,'Pliegos Tarifarios (Huechuraba)'!$A:$A,0))</f>
        <v>2819.9428000000003</v>
      </c>
      <c r="P259" s="19">
        <f>H259*INDEX('Pliegos Tarifarios (Huechuraba)'!$E:$E,MATCH($B259,'Pliegos Tarifarios (Huechuraba)'!$A:$A,0))</f>
        <v>943.77736000000004</v>
      </c>
      <c r="Q259" s="19" cm="1">
        <f t="array" ref="Q259">H259*_xlfn.IFS(H259&lt;=350,INDEX('Pliegos Tarifarios (Huechuraba)'!$F:$F,MATCH($B259,'Pliegos Tarifarios (Huechuraba)'!$A:$A,0)),H259&lt;=500,INDEX('Pliegos Tarifarios (Huechuraba)'!$G:$G,MATCH($B259,'Pliegos Tarifarios (Huechuraba)'!$A:$A,0)),H259&lt;=1000,INDEX('Pliegos Tarifarios (Huechuraba)'!$H:$H,MATCH($B259,'Pliegos Tarifarios (Huechuraba)'!$A:$A,0)),H259&lt;=5000,INDEX('Pliegos Tarifarios (Huechuraba)'!$I:$I,MATCH($B259,'Pliegos Tarifarios (Huechuraba)'!$A:$A,0)),H259&gt;5000,INDEX('Pliegos Tarifarios (Huechuraba)'!$J:$J,MATCH($B259,'Pliegos Tarifarios (Huechuraba)'!$A:$A,0)))/1.19</f>
        <v>48.080941176470596</v>
      </c>
      <c r="R259" s="19">
        <f>INDEX('Pliegos Tarifarios (Huechuraba)'!$K:$K,MATCH($B259,'Pliegos Tarifarios (Huechuraba)'!$A:$A,0))</f>
        <v>723.32799999999997</v>
      </c>
      <c r="S259" s="36">
        <f t="shared" si="9"/>
        <v>13888.020541176471</v>
      </c>
      <c r="T259" s="36">
        <f t="shared" si="10"/>
        <v>2638.7239028235294</v>
      </c>
      <c r="U259" s="19">
        <v>0</v>
      </c>
      <c r="V259" s="36">
        <f t="shared" si="11"/>
        <v>16526.744444</v>
      </c>
    </row>
    <row r="260" spans="1:22" ht="23.4" thickBot="1" x14ac:dyDescent="0.35">
      <c r="A260" s="25" t="s">
        <v>147</v>
      </c>
      <c r="B260" s="26">
        <v>5</v>
      </c>
      <c r="C260" s="27" t="s">
        <v>15</v>
      </c>
      <c r="D260" s="26" t="s">
        <v>126</v>
      </c>
      <c r="E260" s="26" t="s">
        <v>124</v>
      </c>
      <c r="F260" s="27" t="s">
        <v>127</v>
      </c>
      <c r="G260" s="26" t="s">
        <v>33</v>
      </c>
      <c r="H260" s="26">
        <v>121.57</v>
      </c>
      <c r="I260" s="26">
        <v>0.33</v>
      </c>
      <c r="J260" s="26">
        <v>0.32</v>
      </c>
      <c r="K260" s="29">
        <v>0.95899999999999996</v>
      </c>
      <c r="L260" s="26">
        <v>4.05</v>
      </c>
      <c r="M260" s="19">
        <f>H260*INDEX('Pliegos Tarifarios (Huechuraba)'!$B:$B,MATCH($B260,'Pliegos Tarifarios (Huechuraba)'!$A:$A,0))</f>
        <v>14447.135659999998</v>
      </c>
      <c r="N260" s="19">
        <f>I260*INDEX('Pliegos Tarifarios (Huechuraba)'!$C:$C,MATCH($B260,'Pliegos Tarifarios (Huechuraba)'!$A:$A,0))</f>
        <v>1122.15543</v>
      </c>
      <c r="O260" s="19">
        <f>J260*INDEX('Pliegos Tarifarios (Huechuraba)'!$D:$D,MATCH($B260,'Pliegos Tarifarios (Huechuraba)'!$A:$A,0))</f>
        <v>4511.9084800000001</v>
      </c>
      <c r="P260" s="19">
        <f>H260*INDEX('Pliegos Tarifarios (Huechuraba)'!$E:$E,MATCH($B260,'Pliegos Tarifarios (Huechuraba)'!$A:$A,0))</f>
        <v>1572.1432399999999</v>
      </c>
      <c r="Q260" s="19" cm="1">
        <f t="array" ref="Q260">H260*_xlfn.IFS(H260&lt;=350,INDEX('Pliegos Tarifarios (Huechuraba)'!$F:$F,MATCH($B260,'Pliegos Tarifarios (Huechuraba)'!$A:$A,0)),H260&lt;=500,INDEX('Pliegos Tarifarios (Huechuraba)'!$G:$G,MATCH($B260,'Pliegos Tarifarios (Huechuraba)'!$A:$A,0)),H260&lt;=1000,INDEX('Pliegos Tarifarios (Huechuraba)'!$H:$H,MATCH($B260,'Pliegos Tarifarios (Huechuraba)'!$A:$A,0)),H260&lt;=5000,INDEX('Pliegos Tarifarios (Huechuraba)'!$I:$I,MATCH($B260,'Pliegos Tarifarios (Huechuraba)'!$A:$A,0)),H260&gt;5000,INDEX('Pliegos Tarifarios (Huechuraba)'!$J:$J,MATCH($B260,'Pliegos Tarifarios (Huechuraba)'!$A:$A,0)))/1.19</f>
        <v>80.093176470588233</v>
      </c>
      <c r="R260" s="19">
        <f>INDEX('Pliegos Tarifarios (Huechuraba)'!$K:$K,MATCH($B260,'Pliegos Tarifarios (Huechuraba)'!$A:$A,0))</f>
        <v>723.32799999999997</v>
      </c>
      <c r="S260" s="36">
        <f t="shared" si="9"/>
        <v>22456.763986470589</v>
      </c>
      <c r="T260" s="36">
        <f t="shared" si="10"/>
        <v>4266.7851574294118</v>
      </c>
      <c r="U260" s="19">
        <v>0</v>
      </c>
      <c r="V260" s="36">
        <f t="shared" si="11"/>
        <v>26723.5491439</v>
      </c>
    </row>
    <row r="261" spans="1:22" ht="23.4" thickBot="1" x14ac:dyDescent="0.35">
      <c r="A261" s="25" t="s">
        <v>147</v>
      </c>
      <c r="B261" s="26">
        <v>5</v>
      </c>
      <c r="C261" s="27" t="s">
        <v>15</v>
      </c>
      <c r="D261" s="26" t="s">
        <v>128</v>
      </c>
      <c r="E261" s="26" t="s">
        <v>124</v>
      </c>
      <c r="F261" s="27" t="s">
        <v>129</v>
      </c>
      <c r="G261" s="26" t="s">
        <v>33</v>
      </c>
      <c r="H261" s="26">
        <v>72.88</v>
      </c>
      <c r="I261" s="26">
        <v>0.19</v>
      </c>
      <c r="J261" s="26">
        <v>0.19</v>
      </c>
      <c r="K261" s="29">
        <v>0.97399999999999998</v>
      </c>
      <c r="L261" s="26">
        <v>2.4300000000000002</v>
      </c>
      <c r="M261" s="19">
        <f>H261*INDEX('Pliegos Tarifarios (Huechuraba)'!$B:$B,MATCH($B261,'Pliegos Tarifarios (Huechuraba)'!$A:$A,0))</f>
        <v>8660.9134399999984</v>
      </c>
      <c r="N261" s="19">
        <f>I261*INDEX('Pliegos Tarifarios (Huechuraba)'!$C:$C,MATCH($B261,'Pliegos Tarifarios (Huechuraba)'!$A:$A,0))</f>
        <v>646.08948999999996</v>
      </c>
      <c r="O261" s="19">
        <f>J261*INDEX('Pliegos Tarifarios (Huechuraba)'!$D:$D,MATCH($B261,'Pliegos Tarifarios (Huechuraba)'!$A:$A,0))</f>
        <v>2678.9456599999999</v>
      </c>
      <c r="P261" s="19">
        <f>H261*INDEX('Pliegos Tarifarios (Huechuraba)'!$E:$E,MATCH($B261,'Pliegos Tarifarios (Huechuraba)'!$A:$A,0))</f>
        <v>942.48415999999997</v>
      </c>
      <c r="Q261" s="19" cm="1">
        <f t="array" ref="Q261">H261*_xlfn.IFS(H261&lt;=350,INDEX('Pliegos Tarifarios (Huechuraba)'!$F:$F,MATCH($B261,'Pliegos Tarifarios (Huechuraba)'!$A:$A,0)),H261&lt;=500,INDEX('Pliegos Tarifarios (Huechuraba)'!$G:$G,MATCH($B261,'Pliegos Tarifarios (Huechuraba)'!$A:$A,0)),H261&lt;=1000,INDEX('Pliegos Tarifarios (Huechuraba)'!$H:$H,MATCH($B261,'Pliegos Tarifarios (Huechuraba)'!$A:$A,0)),H261&lt;=5000,INDEX('Pliegos Tarifarios (Huechuraba)'!$I:$I,MATCH($B261,'Pliegos Tarifarios (Huechuraba)'!$A:$A,0)),H261&gt;5000,INDEX('Pliegos Tarifarios (Huechuraba)'!$J:$J,MATCH($B261,'Pliegos Tarifarios (Huechuraba)'!$A:$A,0)))/1.19</f>
        <v>48.015058823529415</v>
      </c>
      <c r="R261" s="19">
        <f>INDEX('Pliegos Tarifarios (Huechuraba)'!$K:$K,MATCH($B261,'Pliegos Tarifarios (Huechuraba)'!$A:$A,0))</f>
        <v>723.32799999999997</v>
      </c>
      <c r="S261" s="36">
        <f t="shared" ref="S261:S324" si="12">SUM(M261:R261)</f>
        <v>13699.775808823528</v>
      </c>
      <c r="T261" s="36">
        <f t="shared" ref="T261:T324" si="13">S261*0.19</f>
        <v>2602.9574036764702</v>
      </c>
      <c r="U261" s="19">
        <v>0</v>
      </c>
      <c r="V261" s="36">
        <f t="shared" ref="V261:V324" si="14">SUM(S261:T261)</f>
        <v>16302.733212499998</v>
      </c>
    </row>
    <row r="262" spans="1:22" ht="23.4" thickBot="1" x14ac:dyDescent="0.35">
      <c r="A262" s="25" t="s">
        <v>147</v>
      </c>
      <c r="B262" s="26">
        <v>5</v>
      </c>
      <c r="C262" s="27" t="s">
        <v>15</v>
      </c>
      <c r="D262" s="26" t="s">
        <v>130</v>
      </c>
      <c r="E262" s="26" t="s">
        <v>124</v>
      </c>
      <c r="F262" s="27" t="s">
        <v>131</v>
      </c>
      <c r="G262" s="26" t="s">
        <v>33</v>
      </c>
      <c r="H262" s="26">
        <v>72.87</v>
      </c>
      <c r="I262" s="26">
        <v>0.2</v>
      </c>
      <c r="J262" s="26">
        <v>0.2</v>
      </c>
      <c r="K262" s="29">
        <v>1</v>
      </c>
      <c r="L262" s="26">
        <v>2.4300000000000002</v>
      </c>
      <c r="M262" s="19">
        <f>H262*INDEX('Pliegos Tarifarios (Huechuraba)'!$B:$B,MATCH($B262,'Pliegos Tarifarios (Huechuraba)'!$A:$A,0))</f>
        <v>8659.7250600000007</v>
      </c>
      <c r="N262" s="19">
        <f>I262*INDEX('Pliegos Tarifarios (Huechuraba)'!$C:$C,MATCH($B262,'Pliegos Tarifarios (Huechuraba)'!$A:$A,0))</f>
        <v>680.0942</v>
      </c>
      <c r="O262" s="19">
        <f>J262*INDEX('Pliegos Tarifarios (Huechuraba)'!$D:$D,MATCH($B262,'Pliegos Tarifarios (Huechuraba)'!$A:$A,0))</f>
        <v>2819.9428000000003</v>
      </c>
      <c r="P262" s="19">
        <f>H262*INDEX('Pliegos Tarifarios (Huechuraba)'!$E:$E,MATCH($B262,'Pliegos Tarifarios (Huechuraba)'!$A:$A,0))</f>
        <v>942.35484000000008</v>
      </c>
      <c r="Q262" s="19" cm="1">
        <f t="array" ref="Q262">H262*_xlfn.IFS(H262&lt;=350,INDEX('Pliegos Tarifarios (Huechuraba)'!$F:$F,MATCH($B262,'Pliegos Tarifarios (Huechuraba)'!$A:$A,0)),H262&lt;=500,INDEX('Pliegos Tarifarios (Huechuraba)'!$G:$G,MATCH($B262,'Pliegos Tarifarios (Huechuraba)'!$A:$A,0)),H262&lt;=1000,INDEX('Pliegos Tarifarios (Huechuraba)'!$H:$H,MATCH($B262,'Pliegos Tarifarios (Huechuraba)'!$A:$A,0)),H262&lt;=5000,INDEX('Pliegos Tarifarios (Huechuraba)'!$I:$I,MATCH($B262,'Pliegos Tarifarios (Huechuraba)'!$A:$A,0)),H262&gt;5000,INDEX('Pliegos Tarifarios (Huechuraba)'!$J:$J,MATCH($B262,'Pliegos Tarifarios (Huechuraba)'!$A:$A,0)))/1.19</f>
        <v>48.008470588235305</v>
      </c>
      <c r="R262" s="19">
        <f>INDEX('Pliegos Tarifarios (Huechuraba)'!$K:$K,MATCH($B262,'Pliegos Tarifarios (Huechuraba)'!$A:$A,0))</f>
        <v>723.32799999999997</v>
      </c>
      <c r="S262" s="36">
        <f t="shared" si="12"/>
        <v>13873.453370588235</v>
      </c>
      <c r="T262" s="36">
        <f t="shared" si="13"/>
        <v>2635.9561404117649</v>
      </c>
      <c r="U262" s="19">
        <v>0</v>
      </c>
      <c r="V262" s="36">
        <f t="shared" si="14"/>
        <v>16509.409510999998</v>
      </c>
    </row>
    <row r="263" spans="1:22" ht="23.4" thickBot="1" x14ac:dyDescent="0.35">
      <c r="A263" s="25" t="s">
        <v>147</v>
      </c>
      <c r="B263" s="26">
        <v>5</v>
      </c>
      <c r="C263" s="27" t="s">
        <v>15</v>
      </c>
      <c r="D263" s="26" t="s">
        <v>132</v>
      </c>
      <c r="E263" s="26" t="s">
        <v>124</v>
      </c>
      <c r="F263" s="27" t="s">
        <v>133</v>
      </c>
      <c r="G263" s="26" t="s">
        <v>33</v>
      </c>
      <c r="H263" s="26">
        <v>72.91</v>
      </c>
      <c r="I263" s="26">
        <v>0.2</v>
      </c>
      <c r="J263" s="26">
        <v>0.2</v>
      </c>
      <c r="K263" s="29">
        <v>1</v>
      </c>
      <c r="L263" s="26">
        <v>2.4300000000000002</v>
      </c>
      <c r="M263" s="19">
        <f>H263*INDEX('Pliegos Tarifarios (Huechuraba)'!$B:$B,MATCH($B263,'Pliegos Tarifarios (Huechuraba)'!$A:$A,0))</f>
        <v>8664.4785799999991</v>
      </c>
      <c r="N263" s="19">
        <f>I263*INDEX('Pliegos Tarifarios (Huechuraba)'!$C:$C,MATCH($B263,'Pliegos Tarifarios (Huechuraba)'!$A:$A,0))</f>
        <v>680.0942</v>
      </c>
      <c r="O263" s="19">
        <f>J263*INDEX('Pliegos Tarifarios (Huechuraba)'!$D:$D,MATCH($B263,'Pliegos Tarifarios (Huechuraba)'!$A:$A,0))</f>
        <v>2819.9428000000003</v>
      </c>
      <c r="P263" s="19">
        <f>H263*INDEX('Pliegos Tarifarios (Huechuraba)'!$E:$E,MATCH($B263,'Pliegos Tarifarios (Huechuraba)'!$A:$A,0))</f>
        <v>942.87212</v>
      </c>
      <c r="Q263" s="19" cm="1">
        <f t="array" ref="Q263">H263*_xlfn.IFS(H263&lt;=350,INDEX('Pliegos Tarifarios (Huechuraba)'!$F:$F,MATCH($B263,'Pliegos Tarifarios (Huechuraba)'!$A:$A,0)),H263&lt;=500,INDEX('Pliegos Tarifarios (Huechuraba)'!$G:$G,MATCH($B263,'Pliegos Tarifarios (Huechuraba)'!$A:$A,0)),H263&lt;=1000,INDEX('Pliegos Tarifarios (Huechuraba)'!$H:$H,MATCH($B263,'Pliegos Tarifarios (Huechuraba)'!$A:$A,0)),H263&lt;=5000,INDEX('Pliegos Tarifarios (Huechuraba)'!$I:$I,MATCH($B263,'Pliegos Tarifarios (Huechuraba)'!$A:$A,0)),H263&gt;5000,INDEX('Pliegos Tarifarios (Huechuraba)'!$J:$J,MATCH($B263,'Pliegos Tarifarios (Huechuraba)'!$A:$A,0)))/1.19</f>
        <v>48.034823529411767</v>
      </c>
      <c r="R263" s="19">
        <f>INDEX('Pliegos Tarifarios (Huechuraba)'!$K:$K,MATCH($B263,'Pliegos Tarifarios (Huechuraba)'!$A:$A,0))</f>
        <v>723.32799999999997</v>
      </c>
      <c r="S263" s="36">
        <f t="shared" si="12"/>
        <v>13878.75052352941</v>
      </c>
      <c r="T263" s="36">
        <f t="shared" si="13"/>
        <v>2636.962599470588</v>
      </c>
      <c r="U263" s="19">
        <v>0</v>
      </c>
      <c r="V263" s="36">
        <f t="shared" si="14"/>
        <v>16515.713122999998</v>
      </c>
    </row>
    <row r="264" spans="1:22" ht="23.4" thickBot="1" x14ac:dyDescent="0.35">
      <c r="A264" s="25" t="s">
        <v>147</v>
      </c>
      <c r="B264" s="26">
        <v>5</v>
      </c>
      <c r="C264" s="27" t="s">
        <v>15</v>
      </c>
      <c r="D264" s="26" t="s">
        <v>134</v>
      </c>
      <c r="E264" s="26" t="s">
        <v>124</v>
      </c>
      <c r="F264" s="27" t="s">
        <v>135</v>
      </c>
      <c r="G264" s="26" t="s">
        <v>33</v>
      </c>
      <c r="H264" s="26">
        <v>145.63</v>
      </c>
      <c r="I264" s="26">
        <v>0.39</v>
      </c>
      <c r="J264" s="26">
        <v>0.39</v>
      </c>
      <c r="K264" s="29">
        <v>1</v>
      </c>
      <c r="L264" s="26">
        <v>4.8499999999999996</v>
      </c>
      <c r="M264" s="19">
        <f>H264*INDEX('Pliegos Tarifarios (Huechuraba)'!$B:$B,MATCH($B264,'Pliegos Tarifarios (Huechuraba)'!$A:$A,0))</f>
        <v>17306.377939999998</v>
      </c>
      <c r="N264" s="19">
        <f>I264*INDEX('Pliegos Tarifarios (Huechuraba)'!$C:$C,MATCH($B264,'Pliegos Tarifarios (Huechuraba)'!$A:$A,0))</f>
        <v>1326.1836900000001</v>
      </c>
      <c r="O264" s="19">
        <f>J264*INDEX('Pliegos Tarifarios (Huechuraba)'!$D:$D,MATCH($B264,'Pliegos Tarifarios (Huechuraba)'!$A:$A,0))</f>
        <v>5498.8884600000001</v>
      </c>
      <c r="P264" s="19">
        <f>H264*INDEX('Pliegos Tarifarios (Huechuraba)'!$E:$E,MATCH($B264,'Pliegos Tarifarios (Huechuraba)'!$A:$A,0))</f>
        <v>1883.2871600000001</v>
      </c>
      <c r="Q264" s="19" cm="1">
        <f t="array" ref="Q264">H264*_xlfn.IFS(H264&lt;=350,INDEX('Pliegos Tarifarios (Huechuraba)'!$F:$F,MATCH($B264,'Pliegos Tarifarios (Huechuraba)'!$A:$A,0)),H264&lt;=500,INDEX('Pliegos Tarifarios (Huechuraba)'!$G:$G,MATCH($B264,'Pliegos Tarifarios (Huechuraba)'!$A:$A,0)),H264&lt;=1000,INDEX('Pliegos Tarifarios (Huechuraba)'!$H:$H,MATCH($B264,'Pliegos Tarifarios (Huechuraba)'!$A:$A,0)),H264&lt;=5000,INDEX('Pliegos Tarifarios (Huechuraba)'!$I:$I,MATCH($B264,'Pliegos Tarifarios (Huechuraba)'!$A:$A,0)),H264&gt;5000,INDEX('Pliegos Tarifarios (Huechuraba)'!$J:$J,MATCH($B264,'Pliegos Tarifarios (Huechuraba)'!$A:$A,0)))/1.19</f>
        <v>95.944470588235291</v>
      </c>
      <c r="R264" s="19">
        <f>INDEX('Pliegos Tarifarios (Huechuraba)'!$K:$K,MATCH($B264,'Pliegos Tarifarios (Huechuraba)'!$A:$A,0))</f>
        <v>723.32799999999997</v>
      </c>
      <c r="S264" s="36">
        <f t="shared" si="12"/>
        <v>26834.009720588234</v>
      </c>
      <c r="T264" s="36">
        <f t="shared" si="13"/>
        <v>5098.461846911765</v>
      </c>
      <c r="U264" s="19">
        <v>0</v>
      </c>
      <c r="V264" s="36">
        <f t="shared" si="14"/>
        <v>31932.471567499997</v>
      </c>
    </row>
    <row r="265" spans="1:22" ht="23.4" thickBot="1" x14ac:dyDescent="0.35">
      <c r="A265" s="25" t="s">
        <v>147</v>
      </c>
      <c r="B265" s="26">
        <v>5</v>
      </c>
      <c r="C265" s="27" t="s">
        <v>15</v>
      </c>
      <c r="D265" s="26" t="s">
        <v>136</v>
      </c>
      <c r="E265" s="26" t="s">
        <v>124</v>
      </c>
      <c r="F265" s="27" t="s">
        <v>137</v>
      </c>
      <c r="G265" s="26" t="s">
        <v>33</v>
      </c>
      <c r="H265" s="26">
        <v>145.75</v>
      </c>
      <c r="I265" s="26">
        <v>0.39</v>
      </c>
      <c r="J265" s="26">
        <v>0.39</v>
      </c>
      <c r="K265" s="29">
        <v>1</v>
      </c>
      <c r="L265" s="26">
        <v>4.8600000000000003</v>
      </c>
      <c r="M265" s="19">
        <f>H265*INDEX('Pliegos Tarifarios (Huechuraba)'!$B:$B,MATCH($B265,'Pliegos Tarifarios (Huechuraba)'!$A:$A,0))</f>
        <v>17320.638499999997</v>
      </c>
      <c r="N265" s="19">
        <f>I265*INDEX('Pliegos Tarifarios (Huechuraba)'!$C:$C,MATCH($B265,'Pliegos Tarifarios (Huechuraba)'!$A:$A,0))</f>
        <v>1326.1836900000001</v>
      </c>
      <c r="O265" s="19">
        <f>J265*INDEX('Pliegos Tarifarios (Huechuraba)'!$D:$D,MATCH($B265,'Pliegos Tarifarios (Huechuraba)'!$A:$A,0))</f>
        <v>5498.8884600000001</v>
      </c>
      <c r="P265" s="19">
        <f>H265*INDEX('Pliegos Tarifarios (Huechuraba)'!$E:$E,MATCH($B265,'Pliegos Tarifarios (Huechuraba)'!$A:$A,0))</f>
        <v>1884.8390000000002</v>
      </c>
      <c r="Q265" s="19" cm="1">
        <f t="array" ref="Q265">H265*_xlfn.IFS(H265&lt;=350,INDEX('Pliegos Tarifarios (Huechuraba)'!$F:$F,MATCH($B265,'Pliegos Tarifarios (Huechuraba)'!$A:$A,0)),H265&lt;=500,INDEX('Pliegos Tarifarios (Huechuraba)'!$G:$G,MATCH($B265,'Pliegos Tarifarios (Huechuraba)'!$A:$A,0)),H265&lt;=1000,INDEX('Pliegos Tarifarios (Huechuraba)'!$H:$H,MATCH($B265,'Pliegos Tarifarios (Huechuraba)'!$A:$A,0)),H265&lt;=5000,INDEX('Pliegos Tarifarios (Huechuraba)'!$I:$I,MATCH($B265,'Pliegos Tarifarios (Huechuraba)'!$A:$A,0)),H265&gt;5000,INDEX('Pliegos Tarifarios (Huechuraba)'!$J:$J,MATCH($B265,'Pliegos Tarifarios (Huechuraba)'!$A:$A,0)))/1.19</f>
        <v>96.023529411764713</v>
      </c>
      <c r="R265" s="19">
        <f>INDEX('Pliegos Tarifarios (Huechuraba)'!$K:$K,MATCH($B265,'Pliegos Tarifarios (Huechuraba)'!$A:$A,0))</f>
        <v>723.32799999999997</v>
      </c>
      <c r="S265" s="36">
        <f t="shared" si="12"/>
        <v>26849.901179411769</v>
      </c>
      <c r="T265" s="36">
        <f t="shared" si="13"/>
        <v>5101.4812240882366</v>
      </c>
      <c r="U265" s="19">
        <v>0</v>
      </c>
      <c r="V265" s="36">
        <f t="shared" si="14"/>
        <v>31951.382403500007</v>
      </c>
    </row>
    <row r="266" spans="1:22" ht="23.4" thickBot="1" x14ac:dyDescent="0.35">
      <c r="A266" s="25" t="s">
        <v>147</v>
      </c>
      <c r="B266" s="26">
        <v>5</v>
      </c>
      <c r="C266" s="27" t="s">
        <v>15</v>
      </c>
      <c r="D266" s="26" t="s">
        <v>138</v>
      </c>
      <c r="E266" s="26" t="s">
        <v>124</v>
      </c>
      <c r="F266" s="27" t="s">
        <v>139</v>
      </c>
      <c r="G266" s="26" t="s">
        <v>33</v>
      </c>
      <c r="H266" s="26">
        <v>145.76</v>
      </c>
      <c r="I266" s="26">
        <v>0.39</v>
      </c>
      <c r="J266" s="26">
        <v>0.38</v>
      </c>
      <c r="K266" s="29">
        <v>0.97</v>
      </c>
      <c r="L266" s="26">
        <v>4.8600000000000003</v>
      </c>
      <c r="M266" s="19">
        <f>H266*INDEX('Pliegos Tarifarios (Huechuraba)'!$B:$B,MATCH($B266,'Pliegos Tarifarios (Huechuraba)'!$A:$A,0))</f>
        <v>17321.826879999997</v>
      </c>
      <c r="N266" s="19">
        <f>I266*INDEX('Pliegos Tarifarios (Huechuraba)'!$C:$C,MATCH($B266,'Pliegos Tarifarios (Huechuraba)'!$A:$A,0))</f>
        <v>1326.1836900000001</v>
      </c>
      <c r="O266" s="19">
        <f>J266*INDEX('Pliegos Tarifarios (Huechuraba)'!$D:$D,MATCH($B266,'Pliegos Tarifarios (Huechuraba)'!$A:$A,0))</f>
        <v>5357.8913199999997</v>
      </c>
      <c r="P266" s="19">
        <f>H266*INDEX('Pliegos Tarifarios (Huechuraba)'!$E:$E,MATCH($B266,'Pliegos Tarifarios (Huechuraba)'!$A:$A,0))</f>
        <v>1884.9683199999999</v>
      </c>
      <c r="Q266" s="19" cm="1">
        <f t="array" ref="Q266">H266*_xlfn.IFS(H266&lt;=350,INDEX('Pliegos Tarifarios (Huechuraba)'!$F:$F,MATCH($B266,'Pliegos Tarifarios (Huechuraba)'!$A:$A,0)),H266&lt;=500,INDEX('Pliegos Tarifarios (Huechuraba)'!$G:$G,MATCH($B266,'Pliegos Tarifarios (Huechuraba)'!$A:$A,0)),H266&lt;=1000,INDEX('Pliegos Tarifarios (Huechuraba)'!$H:$H,MATCH($B266,'Pliegos Tarifarios (Huechuraba)'!$A:$A,0)),H266&lt;=5000,INDEX('Pliegos Tarifarios (Huechuraba)'!$I:$I,MATCH($B266,'Pliegos Tarifarios (Huechuraba)'!$A:$A,0)),H266&gt;5000,INDEX('Pliegos Tarifarios (Huechuraba)'!$J:$J,MATCH($B266,'Pliegos Tarifarios (Huechuraba)'!$A:$A,0)))/1.19</f>
        <v>96.03011764705883</v>
      </c>
      <c r="R266" s="19">
        <f>INDEX('Pliegos Tarifarios (Huechuraba)'!$K:$K,MATCH($B266,'Pliegos Tarifarios (Huechuraba)'!$A:$A,0))</f>
        <v>723.32799999999997</v>
      </c>
      <c r="S266" s="36">
        <f t="shared" si="12"/>
        <v>26710.228327647059</v>
      </c>
      <c r="T266" s="36">
        <f t="shared" si="13"/>
        <v>5074.9433822529409</v>
      </c>
      <c r="U266" s="19">
        <v>0</v>
      </c>
      <c r="V266" s="36">
        <f t="shared" si="14"/>
        <v>31785.171709900002</v>
      </c>
    </row>
    <row r="267" spans="1:22" ht="23.4" thickBot="1" x14ac:dyDescent="0.35">
      <c r="A267" s="25" t="s">
        <v>147</v>
      </c>
      <c r="B267" s="26">
        <v>5</v>
      </c>
      <c r="C267" s="27" t="s">
        <v>15</v>
      </c>
      <c r="D267" s="26" t="s">
        <v>140</v>
      </c>
      <c r="E267" s="26" t="s">
        <v>124</v>
      </c>
      <c r="F267" s="27" t="s">
        <v>141</v>
      </c>
      <c r="G267" s="26" t="s">
        <v>33</v>
      </c>
      <c r="H267" s="26">
        <v>72.95</v>
      </c>
      <c r="I267" s="26">
        <v>0.2</v>
      </c>
      <c r="J267" s="26">
        <v>0.2</v>
      </c>
      <c r="K267" s="29">
        <v>0.99199999999999999</v>
      </c>
      <c r="L267" s="26">
        <v>2.4300000000000002</v>
      </c>
      <c r="M267" s="19">
        <f>H267*INDEX('Pliegos Tarifarios (Huechuraba)'!$B:$B,MATCH($B267,'Pliegos Tarifarios (Huechuraba)'!$A:$A,0))</f>
        <v>8669.2320999999993</v>
      </c>
      <c r="N267" s="19">
        <f>I267*INDEX('Pliegos Tarifarios (Huechuraba)'!$C:$C,MATCH($B267,'Pliegos Tarifarios (Huechuraba)'!$A:$A,0))</f>
        <v>680.0942</v>
      </c>
      <c r="O267" s="19">
        <f>J267*INDEX('Pliegos Tarifarios (Huechuraba)'!$D:$D,MATCH($B267,'Pliegos Tarifarios (Huechuraba)'!$A:$A,0))</f>
        <v>2819.9428000000003</v>
      </c>
      <c r="P267" s="19">
        <f>H267*INDEX('Pliegos Tarifarios (Huechuraba)'!$E:$E,MATCH($B267,'Pliegos Tarifarios (Huechuraba)'!$A:$A,0))</f>
        <v>943.38940000000002</v>
      </c>
      <c r="Q267" s="19" cm="1">
        <f t="array" ref="Q267">H267*_xlfn.IFS(H267&lt;=350,INDEX('Pliegos Tarifarios (Huechuraba)'!$F:$F,MATCH($B267,'Pliegos Tarifarios (Huechuraba)'!$A:$A,0)),H267&lt;=500,INDEX('Pliegos Tarifarios (Huechuraba)'!$G:$G,MATCH($B267,'Pliegos Tarifarios (Huechuraba)'!$A:$A,0)),H267&lt;=1000,INDEX('Pliegos Tarifarios (Huechuraba)'!$H:$H,MATCH($B267,'Pliegos Tarifarios (Huechuraba)'!$A:$A,0)),H267&lt;=5000,INDEX('Pliegos Tarifarios (Huechuraba)'!$I:$I,MATCH($B267,'Pliegos Tarifarios (Huechuraba)'!$A:$A,0)),H267&gt;5000,INDEX('Pliegos Tarifarios (Huechuraba)'!$J:$J,MATCH($B267,'Pliegos Tarifarios (Huechuraba)'!$A:$A,0)))/1.19</f>
        <v>48.061176470588244</v>
      </c>
      <c r="R267" s="19">
        <f>INDEX('Pliegos Tarifarios (Huechuraba)'!$K:$K,MATCH($B267,'Pliegos Tarifarios (Huechuraba)'!$A:$A,0))</f>
        <v>723.32799999999997</v>
      </c>
      <c r="S267" s="36">
        <f t="shared" si="12"/>
        <v>13884.047676470587</v>
      </c>
      <c r="T267" s="36">
        <f t="shared" si="13"/>
        <v>2637.9690585294115</v>
      </c>
      <c r="U267" s="19">
        <v>0</v>
      </c>
      <c r="V267" s="36">
        <f t="shared" si="14"/>
        <v>16522.016734999997</v>
      </c>
    </row>
    <row r="268" spans="1:22" ht="23.4" thickBot="1" x14ac:dyDescent="0.35">
      <c r="A268" s="25" t="s">
        <v>147</v>
      </c>
      <c r="B268" s="26">
        <v>5</v>
      </c>
      <c r="C268" s="27" t="s">
        <v>15</v>
      </c>
      <c r="D268" s="26" t="s">
        <v>142</v>
      </c>
      <c r="E268" s="26" t="s">
        <v>124</v>
      </c>
      <c r="F268" s="27" t="s">
        <v>143</v>
      </c>
      <c r="G268" s="26" t="s">
        <v>33</v>
      </c>
      <c r="H268" s="26">
        <v>145.80000000000001</v>
      </c>
      <c r="I268" s="26">
        <v>0.39</v>
      </c>
      <c r="J268" s="26">
        <v>0.39</v>
      </c>
      <c r="K268" s="29">
        <v>1</v>
      </c>
      <c r="L268" s="26">
        <v>4.8600000000000003</v>
      </c>
      <c r="M268" s="19">
        <f>H268*INDEX('Pliegos Tarifarios (Huechuraba)'!$B:$B,MATCH($B268,'Pliegos Tarifarios (Huechuraba)'!$A:$A,0))</f>
        <v>17326.580399999999</v>
      </c>
      <c r="N268" s="19">
        <f>I268*INDEX('Pliegos Tarifarios (Huechuraba)'!$C:$C,MATCH($B268,'Pliegos Tarifarios (Huechuraba)'!$A:$A,0))</f>
        <v>1326.1836900000001</v>
      </c>
      <c r="O268" s="19">
        <f>J268*INDEX('Pliegos Tarifarios (Huechuraba)'!$D:$D,MATCH($B268,'Pliegos Tarifarios (Huechuraba)'!$A:$A,0))</f>
        <v>5498.8884600000001</v>
      </c>
      <c r="P268" s="19">
        <f>H268*INDEX('Pliegos Tarifarios (Huechuraba)'!$E:$E,MATCH($B268,'Pliegos Tarifarios (Huechuraba)'!$A:$A,0))</f>
        <v>1885.4856000000002</v>
      </c>
      <c r="Q268" s="19" cm="1">
        <f t="array" ref="Q268">H268*_xlfn.IFS(H268&lt;=350,INDEX('Pliegos Tarifarios (Huechuraba)'!$F:$F,MATCH($B268,'Pliegos Tarifarios (Huechuraba)'!$A:$A,0)),H268&lt;=500,INDEX('Pliegos Tarifarios (Huechuraba)'!$G:$G,MATCH($B268,'Pliegos Tarifarios (Huechuraba)'!$A:$A,0)),H268&lt;=1000,INDEX('Pliegos Tarifarios (Huechuraba)'!$H:$H,MATCH($B268,'Pliegos Tarifarios (Huechuraba)'!$A:$A,0)),H268&lt;=5000,INDEX('Pliegos Tarifarios (Huechuraba)'!$I:$I,MATCH($B268,'Pliegos Tarifarios (Huechuraba)'!$A:$A,0)),H268&gt;5000,INDEX('Pliegos Tarifarios (Huechuraba)'!$J:$J,MATCH($B268,'Pliegos Tarifarios (Huechuraba)'!$A:$A,0)))/1.19</f>
        <v>96.0564705882353</v>
      </c>
      <c r="R268" s="19">
        <f>INDEX('Pliegos Tarifarios (Huechuraba)'!$K:$K,MATCH($B268,'Pliegos Tarifarios (Huechuraba)'!$A:$A,0))</f>
        <v>723.32799999999997</v>
      </c>
      <c r="S268" s="36">
        <f t="shared" si="12"/>
        <v>26856.522620588235</v>
      </c>
      <c r="T268" s="36">
        <f t="shared" si="13"/>
        <v>5102.7392979117649</v>
      </c>
      <c r="U268" s="19">
        <v>0</v>
      </c>
      <c r="V268" s="36">
        <f t="shared" si="14"/>
        <v>31959.2619185</v>
      </c>
    </row>
    <row r="269" spans="1:22" ht="23.4" thickBot="1" x14ac:dyDescent="0.35">
      <c r="A269" s="30" t="s">
        <v>148</v>
      </c>
      <c r="B269" s="31">
        <v>6</v>
      </c>
      <c r="C269" s="32" t="s">
        <v>15</v>
      </c>
      <c r="D269" s="31" t="s">
        <v>16</v>
      </c>
      <c r="E269" s="31" t="s">
        <v>17</v>
      </c>
      <c r="F269" s="32" t="s">
        <v>18</v>
      </c>
      <c r="G269" s="31" t="s">
        <v>19</v>
      </c>
      <c r="H269" s="33">
        <v>6707.25</v>
      </c>
      <c r="I269" s="31">
        <v>18.649999999999999</v>
      </c>
      <c r="J269" s="31">
        <v>18.440000000000001</v>
      </c>
      <c r="K269" s="34">
        <v>0.98899999999999999</v>
      </c>
      <c r="L269" s="31">
        <v>216.36</v>
      </c>
      <c r="M269" s="19">
        <f>H269*INDEX('Pliegos Tarifarios (Huechuraba)'!$B:$B,MATCH($B269,'Pliegos Tarifarios (Huechuraba)'!$A:$A,0))</f>
        <v>797076.17550000001</v>
      </c>
      <c r="N269" s="19">
        <f>I269*INDEX('Pliegos Tarifarios (Huechuraba)'!$C:$C,MATCH($B269,'Pliegos Tarifarios (Huechuraba)'!$A:$A,0))</f>
        <v>64539.350749999991</v>
      </c>
      <c r="O269" s="19">
        <f>J269*INDEX('Pliegos Tarifarios (Huechuraba)'!$D:$D,MATCH($B269,'Pliegos Tarifarios (Huechuraba)'!$A:$A,0))</f>
        <v>261193.91476000001</v>
      </c>
      <c r="P269" s="19">
        <f>H269*INDEX('Pliegos Tarifarios (Huechuraba)'!$E:$E,MATCH($B269,'Pliegos Tarifarios (Huechuraba)'!$A:$A,0))</f>
        <v>86738.157000000007</v>
      </c>
      <c r="Q269" s="19" cm="1">
        <f t="array" ref="Q269">H269*_xlfn.IFS(H269&lt;=350,INDEX('Pliegos Tarifarios (Huechuraba)'!$F:$F,MATCH($B269,'Pliegos Tarifarios (Huechuraba)'!$A:$A,0)),H269&lt;=500,INDEX('Pliegos Tarifarios (Huechuraba)'!$G:$G,MATCH($B269,'Pliegos Tarifarios (Huechuraba)'!$A:$A,0)),H269&lt;=1000,INDEX('Pliegos Tarifarios (Huechuraba)'!$H:$H,MATCH($B269,'Pliegos Tarifarios (Huechuraba)'!$A:$A,0)),H269&lt;=5000,INDEX('Pliegos Tarifarios (Huechuraba)'!$I:$I,MATCH($B269,'Pliegos Tarifarios (Huechuraba)'!$A:$A,0)),H269&gt;5000,INDEX('Pliegos Tarifarios (Huechuraba)'!$J:$J,MATCH($B269,'Pliegos Tarifarios (Huechuraba)'!$A:$A,0)))/1.19</f>
        <v>22009.925420168071</v>
      </c>
      <c r="R269" s="19">
        <f>INDEX('Pliegos Tarifarios (Huechuraba)'!$K:$K,MATCH($B269,'Pliegos Tarifarios (Huechuraba)'!$A:$A,0))</f>
        <v>724.74800000000005</v>
      </c>
      <c r="S269" s="36">
        <f t="shared" si="12"/>
        <v>1232282.2714301678</v>
      </c>
      <c r="T269" s="36">
        <f t="shared" si="13"/>
        <v>234133.63157173188</v>
      </c>
      <c r="U269" s="19">
        <v>0</v>
      </c>
      <c r="V269" s="36">
        <f t="shared" si="14"/>
        <v>1466415.9030018998</v>
      </c>
    </row>
    <row r="270" spans="1:22" ht="23.4" thickBot="1" x14ac:dyDescent="0.35">
      <c r="A270" s="30" t="s">
        <v>148</v>
      </c>
      <c r="B270" s="31">
        <v>6</v>
      </c>
      <c r="C270" s="32" t="s">
        <v>15</v>
      </c>
      <c r="D270" s="31" t="s">
        <v>20</v>
      </c>
      <c r="E270" s="31" t="s">
        <v>21</v>
      </c>
      <c r="F270" s="32" t="s">
        <v>22</v>
      </c>
      <c r="G270" s="31" t="s">
        <v>19</v>
      </c>
      <c r="H270" s="33">
        <v>3344.76</v>
      </c>
      <c r="I270" s="31">
        <v>9.36</v>
      </c>
      <c r="J270" s="31">
        <v>9.06</v>
      </c>
      <c r="K270" s="34">
        <v>0.96799999999999997</v>
      </c>
      <c r="L270" s="31">
        <v>107.9</v>
      </c>
      <c r="M270" s="19">
        <f>H270*INDEX('Pliegos Tarifarios (Huechuraba)'!$B:$B,MATCH($B270,'Pliegos Tarifarios (Huechuraba)'!$A:$A,0))</f>
        <v>397484.58888</v>
      </c>
      <c r="N270" s="19">
        <f>I270*INDEX('Pliegos Tarifarios (Huechuraba)'!$C:$C,MATCH($B270,'Pliegos Tarifarios (Huechuraba)'!$A:$A,0))</f>
        <v>32390.794799999996</v>
      </c>
      <c r="O270" s="19">
        <f>J270*INDEX('Pliegos Tarifarios (Huechuraba)'!$D:$D,MATCH($B270,'Pliegos Tarifarios (Huechuraba)'!$A:$A,0))</f>
        <v>128330.63274000002</v>
      </c>
      <c r="P270" s="19">
        <f>H270*INDEX('Pliegos Tarifarios (Huechuraba)'!$E:$E,MATCH($B270,'Pliegos Tarifarios (Huechuraba)'!$A:$A,0))</f>
        <v>43254.436320000001</v>
      </c>
      <c r="Q270" s="19" cm="1">
        <f t="array" ref="Q270">H270*_xlfn.IFS(H270&lt;=350,INDEX('Pliegos Tarifarios (Huechuraba)'!$F:$F,MATCH($B270,'Pliegos Tarifarios (Huechuraba)'!$A:$A,0)),H270&lt;=500,INDEX('Pliegos Tarifarios (Huechuraba)'!$G:$G,MATCH($B270,'Pliegos Tarifarios (Huechuraba)'!$A:$A,0)),H270&lt;=1000,INDEX('Pliegos Tarifarios (Huechuraba)'!$H:$H,MATCH($B270,'Pliegos Tarifarios (Huechuraba)'!$A:$A,0)),H270&lt;=5000,INDEX('Pliegos Tarifarios (Huechuraba)'!$I:$I,MATCH($B270,'Pliegos Tarifarios (Huechuraba)'!$A:$A,0)),H270&gt;5000,INDEX('Pliegos Tarifarios (Huechuraba)'!$J:$J,MATCH($B270,'Pliegos Tarifarios (Huechuraba)'!$A:$A,0)))/1.19</f>
        <v>10037.090722689076</v>
      </c>
      <c r="R270" s="19">
        <f>INDEX('Pliegos Tarifarios (Huechuraba)'!$K:$K,MATCH($B270,'Pliegos Tarifarios (Huechuraba)'!$A:$A,0))</f>
        <v>724.74800000000005</v>
      </c>
      <c r="S270" s="36">
        <f t="shared" si="12"/>
        <v>612222.29146268906</v>
      </c>
      <c r="T270" s="36">
        <f t="shared" si="13"/>
        <v>116322.23537791093</v>
      </c>
      <c r="U270" s="19">
        <v>0</v>
      </c>
      <c r="V270" s="36">
        <f t="shared" si="14"/>
        <v>728544.52684059995</v>
      </c>
    </row>
    <row r="271" spans="1:22" ht="23.4" thickBot="1" x14ac:dyDescent="0.35">
      <c r="A271" s="30" t="s">
        <v>148</v>
      </c>
      <c r="B271" s="31">
        <v>6</v>
      </c>
      <c r="C271" s="32" t="s">
        <v>15</v>
      </c>
      <c r="D271" s="31" t="s">
        <v>23</v>
      </c>
      <c r="E271" s="31" t="s">
        <v>21</v>
      </c>
      <c r="F271" s="32" t="s">
        <v>24</v>
      </c>
      <c r="G271" s="31" t="s">
        <v>19</v>
      </c>
      <c r="H271" s="33">
        <v>2668.26</v>
      </c>
      <c r="I271" s="31">
        <v>7.64</v>
      </c>
      <c r="J271" s="31">
        <v>7.45</v>
      </c>
      <c r="K271" s="34">
        <v>0.97499999999999998</v>
      </c>
      <c r="L271" s="31">
        <v>86.07</v>
      </c>
      <c r="M271" s="19">
        <f>H271*INDEX('Pliegos Tarifarios (Huechuraba)'!$B:$B,MATCH($B271,'Pliegos Tarifarios (Huechuraba)'!$A:$A,0))</f>
        <v>317090.68187999999</v>
      </c>
      <c r="N271" s="19">
        <f>I271*INDEX('Pliegos Tarifarios (Huechuraba)'!$C:$C,MATCH($B271,'Pliegos Tarifarios (Huechuraba)'!$A:$A,0))</f>
        <v>26438.640199999998</v>
      </c>
      <c r="O271" s="19">
        <f>J271*INDEX('Pliegos Tarifarios (Huechuraba)'!$D:$D,MATCH($B271,'Pliegos Tarifarios (Huechuraba)'!$A:$A,0))</f>
        <v>105525.74105000001</v>
      </c>
      <c r="P271" s="19">
        <f>H271*INDEX('Pliegos Tarifarios (Huechuraba)'!$E:$E,MATCH($B271,'Pliegos Tarifarios (Huechuraba)'!$A:$A,0))</f>
        <v>34505.938320000001</v>
      </c>
      <c r="Q271" s="19" cm="1">
        <f t="array" ref="Q271">H271*_xlfn.IFS(H271&lt;=350,INDEX('Pliegos Tarifarios (Huechuraba)'!$F:$F,MATCH($B271,'Pliegos Tarifarios (Huechuraba)'!$A:$A,0)),H271&lt;=500,INDEX('Pliegos Tarifarios (Huechuraba)'!$G:$G,MATCH($B271,'Pliegos Tarifarios (Huechuraba)'!$A:$A,0)),H271&lt;=1000,INDEX('Pliegos Tarifarios (Huechuraba)'!$H:$H,MATCH($B271,'Pliegos Tarifarios (Huechuraba)'!$A:$A,0)),H271&lt;=5000,INDEX('Pliegos Tarifarios (Huechuraba)'!$I:$I,MATCH($B271,'Pliegos Tarifarios (Huechuraba)'!$A:$A,0)),H271&gt;5000,INDEX('Pliegos Tarifarios (Huechuraba)'!$J:$J,MATCH($B271,'Pliegos Tarifarios (Huechuraba)'!$A:$A,0)))/1.19</f>
        <v>8007.0222352941191</v>
      </c>
      <c r="R271" s="19">
        <f>INDEX('Pliegos Tarifarios (Huechuraba)'!$K:$K,MATCH($B271,'Pliegos Tarifarios (Huechuraba)'!$A:$A,0))</f>
        <v>724.74800000000005</v>
      </c>
      <c r="S271" s="36">
        <f t="shared" si="12"/>
        <v>492292.77168529417</v>
      </c>
      <c r="T271" s="36">
        <f t="shared" si="13"/>
        <v>93535.626620205891</v>
      </c>
      <c r="U271" s="19">
        <v>0</v>
      </c>
      <c r="V271" s="36">
        <f t="shared" si="14"/>
        <v>585828.39830550004</v>
      </c>
    </row>
    <row r="272" spans="1:22" ht="23.4" thickBot="1" x14ac:dyDescent="0.35">
      <c r="A272" s="30" t="s">
        <v>148</v>
      </c>
      <c r="B272" s="31">
        <v>6</v>
      </c>
      <c r="C272" s="32" t="s">
        <v>15</v>
      </c>
      <c r="D272" s="31" t="s">
        <v>25</v>
      </c>
      <c r="E272" s="31" t="s">
        <v>21</v>
      </c>
      <c r="F272" s="32" t="s">
        <v>26</v>
      </c>
      <c r="G272" s="31" t="s">
        <v>19</v>
      </c>
      <c r="H272" s="33">
        <v>2230.59</v>
      </c>
      <c r="I272" s="31">
        <v>6.15</v>
      </c>
      <c r="J272" s="31">
        <v>6.12</v>
      </c>
      <c r="K272" s="34">
        <v>0.99399999999999999</v>
      </c>
      <c r="L272" s="31">
        <v>71.95</v>
      </c>
      <c r="M272" s="19">
        <f>H272*INDEX('Pliegos Tarifarios (Huechuraba)'!$B:$B,MATCH($B272,'Pliegos Tarifarios (Huechuraba)'!$A:$A,0))</f>
        <v>265078.85441999999</v>
      </c>
      <c r="N272" s="19">
        <f>I272*INDEX('Pliegos Tarifarios (Huechuraba)'!$C:$C,MATCH($B272,'Pliegos Tarifarios (Huechuraba)'!$A:$A,0))</f>
        <v>21282.413250000001</v>
      </c>
      <c r="O272" s="19">
        <f>J272*INDEX('Pliegos Tarifarios (Huechuraba)'!$D:$D,MATCH($B272,'Pliegos Tarifarios (Huechuraba)'!$A:$A,0))</f>
        <v>86686.917480000004</v>
      </c>
      <c r="P272" s="19">
        <f>H272*INDEX('Pliegos Tarifarios (Huechuraba)'!$E:$E,MATCH($B272,'Pliegos Tarifarios (Huechuraba)'!$A:$A,0))</f>
        <v>28845.989880000001</v>
      </c>
      <c r="Q272" s="19" cm="1">
        <f t="array" ref="Q272">H272*_xlfn.IFS(H272&lt;=350,INDEX('Pliegos Tarifarios (Huechuraba)'!$F:$F,MATCH($B272,'Pliegos Tarifarios (Huechuraba)'!$A:$A,0)),H272&lt;=500,INDEX('Pliegos Tarifarios (Huechuraba)'!$G:$G,MATCH($B272,'Pliegos Tarifarios (Huechuraba)'!$A:$A,0)),H272&lt;=1000,INDEX('Pliegos Tarifarios (Huechuraba)'!$H:$H,MATCH($B272,'Pliegos Tarifarios (Huechuraba)'!$A:$A,0)),H272&lt;=5000,INDEX('Pliegos Tarifarios (Huechuraba)'!$I:$I,MATCH($B272,'Pliegos Tarifarios (Huechuraba)'!$A:$A,0)),H272&gt;5000,INDEX('Pliegos Tarifarios (Huechuraba)'!$J:$J,MATCH($B272,'Pliegos Tarifarios (Huechuraba)'!$A:$A,0)))/1.19</f>
        <v>6693.6444453781514</v>
      </c>
      <c r="R272" s="19">
        <f>INDEX('Pliegos Tarifarios (Huechuraba)'!$K:$K,MATCH($B272,'Pliegos Tarifarios (Huechuraba)'!$A:$A,0))</f>
        <v>724.74800000000005</v>
      </c>
      <c r="S272" s="36">
        <f t="shared" si="12"/>
        <v>409312.56747537816</v>
      </c>
      <c r="T272" s="36">
        <f t="shared" si="13"/>
        <v>77769.387820321848</v>
      </c>
      <c r="U272" s="19">
        <v>0</v>
      </c>
      <c r="V272" s="36">
        <f t="shared" si="14"/>
        <v>487081.9552957</v>
      </c>
    </row>
    <row r="273" spans="1:22" ht="23.4" thickBot="1" x14ac:dyDescent="0.35">
      <c r="A273" s="30" t="s">
        <v>148</v>
      </c>
      <c r="B273" s="31">
        <v>6</v>
      </c>
      <c r="C273" s="32" t="s">
        <v>15</v>
      </c>
      <c r="D273" s="31" t="s">
        <v>27</v>
      </c>
      <c r="E273" s="31" t="s">
        <v>21</v>
      </c>
      <c r="F273" s="32" t="s">
        <v>28</v>
      </c>
      <c r="G273" s="31" t="s">
        <v>19</v>
      </c>
      <c r="H273" s="33">
        <v>2409.9699999999998</v>
      </c>
      <c r="I273" s="31">
        <v>6.7</v>
      </c>
      <c r="J273" s="31">
        <v>6.49</v>
      </c>
      <c r="K273" s="34">
        <v>0.96699999999999997</v>
      </c>
      <c r="L273" s="31">
        <v>77.739999999999995</v>
      </c>
      <c r="M273" s="19">
        <f>H273*INDEX('Pliegos Tarifarios (Huechuraba)'!$B:$B,MATCH($B273,'Pliegos Tarifarios (Huechuraba)'!$A:$A,0))</f>
        <v>286396.01485999994</v>
      </c>
      <c r="N273" s="19">
        <f>I273*INDEX('Pliegos Tarifarios (Huechuraba)'!$C:$C,MATCH($B273,'Pliegos Tarifarios (Huechuraba)'!$A:$A,0))</f>
        <v>23185.718499999999</v>
      </c>
      <c r="O273" s="19">
        <f>J273*INDEX('Pliegos Tarifarios (Huechuraba)'!$D:$D,MATCH($B273,'Pliegos Tarifarios (Huechuraba)'!$A:$A,0))</f>
        <v>91927.793210000003</v>
      </c>
      <c r="P273" s="19">
        <f>H273*INDEX('Pliegos Tarifarios (Huechuraba)'!$E:$E,MATCH($B273,'Pliegos Tarifarios (Huechuraba)'!$A:$A,0))</f>
        <v>31165.732039999999</v>
      </c>
      <c r="Q273" s="19" cm="1">
        <f t="array" ref="Q273">H273*_xlfn.IFS(H273&lt;=350,INDEX('Pliegos Tarifarios (Huechuraba)'!$F:$F,MATCH($B273,'Pliegos Tarifarios (Huechuraba)'!$A:$A,0)),H273&lt;=500,INDEX('Pliegos Tarifarios (Huechuraba)'!$G:$G,MATCH($B273,'Pliegos Tarifarios (Huechuraba)'!$A:$A,0)),H273&lt;=1000,INDEX('Pliegos Tarifarios (Huechuraba)'!$H:$H,MATCH($B273,'Pliegos Tarifarios (Huechuraba)'!$A:$A,0)),H273&lt;=5000,INDEX('Pliegos Tarifarios (Huechuraba)'!$I:$I,MATCH($B273,'Pliegos Tarifarios (Huechuraba)'!$A:$A,0)),H273&gt;5000,INDEX('Pliegos Tarifarios (Huechuraba)'!$J:$J,MATCH($B273,'Pliegos Tarifarios (Huechuraba)'!$A:$A,0)))/1.19</f>
        <v>7231.9351848739489</v>
      </c>
      <c r="R273" s="19">
        <f>INDEX('Pliegos Tarifarios (Huechuraba)'!$K:$K,MATCH($B273,'Pliegos Tarifarios (Huechuraba)'!$A:$A,0))</f>
        <v>724.74800000000005</v>
      </c>
      <c r="S273" s="36">
        <f t="shared" si="12"/>
        <v>440631.94179487391</v>
      </c>
      <c r="T273" s="36">
        <f t="shared" si="13"/>
        <v>83720.068941026038</v>
      </c>
      <c r="U273" s="19">
        <v>0</v>
      </c>
      <c r="V273" s="36">
        <f t="shared" si="14"/>
        <v>524352.01073589991</v>
      </c>
    </row>
    <row r="274" spans="1:22" ht="23.4" thickBot="1" x14ac:dyDescent="0.35">
      <c r="A274" s="30" t="s">
        <v>148</v>
      </c>
      <c r="B274" s="31">
        <v>6</v>
      </c>
      <c r="C274" s="32" t="s">
        <v>15</v>
      </c>
      <c r="D274" s="31" t="s">
        <v>29</v>
      </c>
      <c r="E274" s="31" t="s">
        <v>21</v>
      </c>
      <c r="F274" s="32" t="s">
        <v>30</v>
      </c>
      <c r="G274" s="31" t="s">
        <v>19</v>
      </c>
      <c r="H274" s="33">
        <v>1603.6</v>
      </c>
      <c r="I274" s="31">
        <v>4.59</v>
      </c>
      <c r="J274" s="31">
        <v>4.3600000000000003</v>
      </c>
      <c r="K274" s="34">
        <v>0.94899999999999995</v>
      </c>
      <c r="L274" s="31">
        <v>51.73</v>
      </c>
      <c r="M274" s="19">
        <f>H274*INDEX('Pliegos Tarifarios (Huechuraba)'!$B:$B,MATCH($B274,'Pliegos Tarifarios (Huechuraba)'!$A:$A,0))</f>
        <v>190568.61679999999</v>
      </c>
      <c r="N274" s="19">
        <f>I274*INDEX('Pliegos Tarifarios (Huechuraba)'!$C:$C,MATCH($B274,'Pliegos Tarifarios (Huechuraba)'!$A:$A,0))</f>
        <v>15883.94745</v>
      </c>
      <c r="O274" s="19">
        <f>J274*INDEX('Pliegos Tarifarios (Huechuraba)'!$D:$D,MATCH($B274,'Pliegos Tarifarios (Huechuraba)'!$A:$A,0))</f>
        <v>61757.346440000008</v>
      </c>
      <c r="P274" s="19">
        <f>H274*INDEX('Pliegos Tarifarios (Huechuraba)'!$E:$E,MATCH($B274,'Pliegos Tarifarios (Huechuraba)'!$A:$A,0))</f>
        <v>20737.7552</v>
      </c>
      <c r="Q274" s="19" cm="1">
        <f t="array" ref="Q274">H274*_xlfn.IFS(H274&lt;=350,INDEX('Pliegos Tarifarios (Huechuraba)'!$F:$F,MATCH($B274,'Pliegos Tarifarios (Huechuraba)'!$A:$A,0)),H274&lt;=500,INDEX('Pliegos Tarifarios (Huechuraba)'!$G:$G,MATCH($B274,'Pliegos Tarifarios (Huechuraba)'!$A:$A,0)),H274&lt;=1000,INDEX('Pliegos Tarifarios (Huechuraba)'!$H:$H,MATCH($B274,'Pliegos Tarifarios (Huechuraba)'!$A:$A,0)),H274&lt;=5000,INDEX('Pliegos Tarifarios (Huechuraba)'!$I:$I,MATCH($B274,'Pliegos Tarifarios (Huechuraba)'!$A:$A,0)),H274&gt;5000,INDEX('Pliegos Tarifarios (Huechuraba)'!$J:$J,MATCH($B274,'Pliegos Tarifarios (Huechuraba)'!$A:$A,0)))/1.19</f>
        <v>4812.1475630252098</v>
      </c>
      <c r="R274" s="19">
        <f>INDEX('Pliegos Tarifarios (Huechuraba)'!$K:$K,MATCH($B274,'Pliegos Tarifarios (Huechuraba)'!$A:$A,0))</f>
        <v>724.74800000000005</v>
      </c>
      <c r="S274" s="36">
        <f t="shared" si="12"/>
        <v>294484.56145302521</v>
      </c>
      <c r="T274" s="36">
        <f t="shared" si="13"/>
        <v>55952.066676074792</v>
      </c>
      <c r="U274" s="19">
        <v>0</v>
      </c>
      <c r="V274" s="36">
        <f t="shared" si="14"/>
        <v>350436.62812910002</v>
      </c>
    </row>
    <row r="275" spans="1:22" ht="23.4" thickBot="1" x14ac:dyDescent="0.35">
      <c r="A275" s="30" t="s">
        <v>148</v>
      </c>
      <c r="B275" s="31">
        <v>6</v>
      </c>
      <c r="C275" s="32" t="s">
        <v>15</v>
      </c>
      <c r="D275" s="31" t="s">
        <v>31</v>
      </c>
      <c r="E275" s="31" t="s">
        <v>21</v>
      </c>
      <c r="F275" s="32" t="s">
        <v>32</v>
      </c>
      <c r="G275" s="31" t="s">
        <v>33</v>
      </c>
      <c r="H275" s="31">
        <v>535.48</v>
      </c>
      <c r="I275" s="31">
        <v>1.49</v>
      </c>
      <c r="J275" s="31">
        <v>1.47</v>
      </c>
      <c r="K275" s="34">
        <v>0.98699999999999999</v>
      </c>
      <c r="L275" s="31">
        <v>17.27</v>
      </c>
      <c r="M275" s="19">
        <f>H275*INDEX('Pliegos Tarifarios (Huechuraba)'!$B:$B,MATCH($B275,'Pliegos Tarifarios (Huechuraba)'!$A:$A,0))</f>
        <v>63635.372239999997</v>
      </c>
      <c r="N275" s="19">
        <f>I275*INDEX('Pliegos Tarifarios (Huechuraba)'!$C:$C,MATCH($B275,'Pliegos Tarifarios (Huechuraba)'!$A:$A,0))</f>
        <v>5156.2269499999993</v>
      </c>
      <c r="O275" s="19">
        <f>J275*INDEX('Pliegos Tarifarios (Huechuraba)'!$D:$D,MATCH($B275,'Pliegos Tarifarios (Huechuraba)'!$A:$A,0))</f>
        <v>20821.857629999999</v>
      </c>
      <c r="P275" s="19">
        <f>H275*INDEX('Pliegos Tarifarios (Huechuraba)'!$E:$E,MATCH($B275,'Pliegos Tarifarios (Huechuraba)'!$A:$A,0))</f>
        <v>6924.8273600000002</v>
      </c>
      <c r="Q275" s="19" cm="1">
        <f t="array" ref="Q275">H275*_xlfn.IFS(H275&lt;=350,INDEX('Pliegos Tarifarios (Huechuraba)'!$F:$F,MATCH($B275,'Pliegos Tarifarios (Huechuraba)'!$A:$A,0)),H275&lt;=500,INDEX('Pliegos Tarifarios (Huechuraba)'!$G:$G,MATCH($B275,'Pliegos Tarifarios (Huechuraba)'!$A:$A,0)),H275&lt;=1000,INDEX('Pliegos Tarifarios (Huechuraba)'!$H:$H,MATCH($B275,'Pliegos Tarifarios (Huechuraba)'!$A:$A,0)),H275&lt;=5000,INDEX('Pliegos Tarifarios (Huechuraba)'!$I:$I,MATCH($B275,'Pliegos Tarifarios (Huechuraba)'!$A:$A,0)),H275&gt;5000,INDEX('Pliegos Tarifarios (Huechuraba)'!$J:$J,MATCH($B275,'Pliegos Tarifarios (Huechuraba)'!$A:$A,0)))/1.19</f>
        <v>1255.9030924369749</v>
      </c>
      <c r="R275" s="19">
        <f>INDEX('Pliegos Tarifarios (Huechuraba)'!$K:$K,MATCH($B275,'Pliegos Tarifarios (Huechuraba)'!$A:$A,0))</f>
        <v>724.74800000000005</v>
      </c>
      <c r="S275" s="36">
        <f t="shared" si="12"/>
        <v>98518.935272436967</v>
      </c>
      <c r="T275" s="36">
        <f t="shared" si="13"/>
        <v>18718.597701763025</v>
      </c>
      <c r="U275" s="19">
        <v>0</v>
      </c>
      <c r="V275" s="36">
        <f t="shared" si="14"/>
        <v>117237.53297419999</v>
      </c>
    </row>
    <row r="276" spans="1:22" ht="23.4" thickBot="1" x14ac:dyDescent="0.35">
      <c r="A276" s="30" t="s">
        <v>148</v>
      </c>
      <c r="B276" s="31">
        <v>6</v>
      </c>
      <c r="C276" s="32" t="s">
        <v>15</v>
      </c>
      <c r="D276" s="31" t="s">
        <v>34</v>
      </c>
      <c r="E276" s="31" t="s">
        <v>21</v>
      </c>
      <c r="F276" s="32" t="s">
        <v>35</v>
      </c>
      <c r="G276" s="31" t="s">
        <v>19</v>
      </c>
      <c r="H276" s="33">
        <v>1608.55</v>
      </c>
      <c r="I276" s="31">
        <v>4.5199999999999996</v>
      </c>
      <c r="J276" s="31">
        <v>4.5</v>
      </c>
      <c r="K276" s="34">
        <v>0.99399999999999999</v>
      </c>
      <c r="L276" s="31">
        <v>51.89</v>
      </c>
      <c r="M276" s="19">
        <f>H276*INDEX('Pliegos Tarifarios (Huechuraba)'!$B:$B,MATCH($B276,'Pliegos Tarifarios (Huechuraba)'!$A:$A,0))</f>
        <v>191156.86489999999</v>
      </c>
      <c r="N276" s="19">
        <f>I276*INDEX('Pliegos Tarifarios (Huechuraba)'!$C:$C,MATCH($B276,'Pliegos Tarifarios (Huechuraba)'!$A:$A,0))</f>
        <v>15641.708599999998</v>
      </c>
      <c r="O276" s="19">
        <f>J276*INDEX('Pliegos Tarifarios (Huechuraba)'!$D:$D,MATCH($B276,'Pliegos Tarifarios (Huechuraba)'!$A:$A,0))</f>
        <v>63740.380499999999</v>
      </c>
      <c r="P276" s="19">
        <f>H276*INDEX('Pliegos Tarifarios (Huechuraba)'!$E:$E,MATCH($B276,'Pliegos Tarifarios (Huechuraba)'!$A:$A,0))</f>
        <v>20801.768599999999</v>
      </c>
      <c r="Q276" s="19" cm="1">
        <f t="array" ref="Q276">H276*_xlfn.IFS(H276&lt;=350,INDEX('Pliegos Tarifarios (Huechuraba)'!$F:$F,MATCH($B276,'Pliegos Tarifarios (Huechuraba)'!$A:$A,0)),H276&lt;=500,INDEX('Pliegos Tarifarios (Huechuraba)'!$G:$G,MATCH($B276,'Pliegos Tarifarios (Huechuraba)'!$A:$A,0)),H276&lt;=1000,INDEX('Pliegos Tarifarios (Huechuraba)'!$H:$H,MATCH($B276,'Pliegos Tarifarios (Huechuraba)'!$A:$A,0)),H276&lt;=5000,INDEX('Pliegos Tarifarios (Huechuraba)'!$I:$I,MATCH($B276,'Pliegos Tarifarios (Huechuraba)'!$A:$A,0)),H276&gt;5000,INDEX('Pliegos Tarifarios (Huechuraba)'!$J:$J,MATCH($B276,'Pliegos Tarifarios (Huechuraba)'!$A:$A,0)))/1.19</f>
        <v>4827.001722689075</v>
      </c>
      <c r="R276" s="19">
        <f>INDEX('Pliegos Tarifarios (Huechuraba)'!$K:$K,MATCH($B276,'Pliegos Tarifarios (Huechuraba)'!$A:$A,0))</f>
        <v>724.74800000000005</v>
      </c>
      <c r="S276" s="36">
        <f t="shared" si="12"/>
        <v>296892.47232268914</v>
      </c>
      <c r="T276" s="36">
        <f t="shared" si="13"/>
        <v>56409.569741310937</v>
      </c>
      <c r="U276" s="19">
        <v>0</v>
      </c>
      <c r="V276" s="36">
        <f t="shared" si="14"/>
        <v>353302.0420640001</v>
      </c>
    </row>
    <row r="277" spans="1:22" ht="23.4" thickBot="1" x14ac:dyDescent="0.35">
      <c r="A277" s="30" t="s">
        <v>148</v>
      </c>
      <c r="B277" s="31">
        <v>6</v>
      </c>
      <c r="C277" s="32" t="s">
        <v>15</v>
      </c>
      <c r="D277" s="31" t="s">
        <v>36</v>
      </c>
      <c r="E277" s="31" t="s">
        <v>37</v>
      </c>
      <c r="F277" s="32" t="s">
        <v>38</v>
      </c>
      <c r="G277" s="31" t="s">
        <v>33</v>
      </c>
      <c r="H277" s="31">
        <v>669.25</v>
      </c>
      <c r="I277" s="31">
        <v>1.88</v>
      </c>
      <c r="J277" s="31">
        <v>1.85</v>
      </c>
      <c r="K277" s="34">
        <v>0.98799999999999999</v>
      </c>
      <c r="L277" s="31">
        <v>21.59</v>
      </c>
      <c r="M277" s="19">
        <f>H277*INDEX('Pliegos Tarifarios (Huechuraba)'!$B:$B,MATCH($B277,'Pliegos Tarifarios (Huechuraba)'!$A:$A,0))</f>
        <v>79532.3315</v>
      </c>
      <c r="N277" s="19">
        <f>I277*INDEX('Pliegos Tarifarios (Huechuraba)'!$C:$C,MATCH($B277,'Pliegos Tarifarios (Huechuraba)'!$A:$A,0))</f>
        <v>6505.8433999999997</v>
      </c>
      <c r="O277" s="19">
        <f>J277*INDEX('Pliegos Tarifarios (Huechuraba)'!$D:$D,MATCH($B277,'Pliegos Tarifarios (Huechuraba)'!$A:$A,0))</f>
        <v>26204.378650000002</v>
      </c>
      <c r="P277" s="19">
        <f>H277*INDEX('Pliegos Tarifarios (Huechuraba)'!$E:$E,MATCH($B277,'Pliegos Tarifarios (Huechuraba)'!$A:$A,0))</f>
        <v>8654.741</v>
      </c>
      <c r="Q277" s="19" cm="1">
        <f t="array" ref="Q277">H277*_xlfn.IFS(H277&lt;=350,INDEX('Pliegos Tarifarios (Huechuraba)'!$F:$F,MATCH($B277,'Pliegos Tarifarios (Huechuraba)'!$A:$A,0)),H277&lt;=500,INDEX('Pliegos Tarifarios (Huechuraba)'!$G:$G,MATCH($B277,'Pliegos Tarifarios (Huechuraba)'!$A:$A,0)),H277&lt;=1000,INDEX('Pliegos Tarifarios (Huechuraba)'!$H:$H,MATCH($B277,'Pliegos Tarifarios (Huechuraba)'!$A:$A,0)),H277&lt;=5000,INDEX('Pliegos Tarifarios (Huechuraba)'!$I:$I,MATCH($B277,'Pliegos Tarifarios (Huechuraba)'!$A:$A,0)),H277&gt;5000,INDEX('Pliegos Tarifarios (Huechuraba)'!$J:$J,MATCH($B277,'Pliegos Tarifarios (Huechuraba)'!$A:$A,0)))/1.19</f>
        <v>1569.6443277310927</v>
      </c>
      <c r="R277" s="19">
        <f>INDEX('Pliegos Tarifarios (Huechuraba)'!$K:$K,MATCH($B277,'Pliegos Tarifarios (Huechuraba)'!$A:$A,0))</f>
        <v>724.74800000000005</v>
      </c>
      <c r="S277" s="36">
        <f t="shared" si="12"/>
        <v>123191.68687773109</v>
      </c>
      <c r="T277" s="36">
        <f t="shared" si="13"/>
        <v>23406.420506768907</v>
      </c>
      <c r="U277" s="19">
        <v>0</v>
      </c>
      <c r="V277" s="36">
        <f t="shared" si="14"/>
        <v>146598.10738450001</v>
      </c>
    </row>
    <row r="278" spans="1:22" ht="23.4" thickBot="1" x14ac:dyDescent="0.35">
      <c r="A278" s="30" t="s">
        <v>148</v>
      </c>
      <c r="B278" s="31">
        <v>6</v>
      </c>
      <c r="C278" s="32" t="s">
        <v>15</v>
      </c>
      <c r="D278" s="31" t="s">
        <v>39</v>
      </c>
      <c r="E278" s="31" t="s">
        <v>37</v>
      </c>
      <c r="F278" s="32" t="s">
        <v>40</v>
      </c>
      <c r="G278" s="31" t="s">
        <v>33</v>
      </c>
      <c r="H278" s="31">
        <v>535.19000000000005</v>
      </c>
      <c r="I278" s="31">
        <v>1.49</v>
      </c>
      <c r="J278" s="31">
        <v>1.49</v>
      </c>
      <c r="K278" s="34">
        <v>0.997</v>
      </c>
      <c r="L278" s="31">
        <v>17.260000000000002</v>
      </c>
      <c r="M278" s="19">
        <f>H278*INDEX('Pliegos Tarifarios (Huechuraba)'!$B:$B,MATCH($B278,'Pliegos Tarifarios (Huechuraba)'!$A:$A,0))</f>
        <v>63600.909220000001</v>
      </c>
      <c r="N278" s="19">
        <f>I278*INDEX('Pliegos Tarifarios (Huechuraba)'!$C:$C,MATCH($B278,'Pliegos Tarifarios (Huechuraba)'!$A:$A,0))</f>
        <v>5156.2269499999993</v>
      </c>
      <c r="O278" s="19">
        <f>J278*INDEX('Pliegos Tarifarios (Huechuraba)'!$D:$D,MATCH($B278,'Pliegos Tarifarios (Huechuraba)'!$A:$A,0))</f>
        <v>21105.148209999999</v>
      </c>
      <c r="P278" s="19">
        <f>H278*INDEX('Pliegos Tarifarios (Huechuraba)'!$E:$E,MATCH($B278,'Pliegos Tarifarios (Huechuraba)'!$A:$A,0))</f>
        <v>6921.0770800000009</v>
      </c>
      <c r="Q278" s="19" cm="1">
        <f t="array" ref="Q278">H278*_xlfn.IFS(H278&lt;=350,INDEX('Pliegos Tarifarios (Huechuraba)'!$F:$F,MATCH($B278,'Pliegos Tarifarios (Huechuraba)'!$A:$A,0)),H278&lt;=500,INDEX('Pliegos Tarifarios (Huechuraba)'!$G:$G,MATCH($B278,'Pliegos Tarifarios (Huechuraba)'!$A:$A,0)),H278&lt;=1000,INDEX('Pliegos Tarifarios (Huechuraba)'!$H:$H,MATCH($B278,'Pliegos Tarifarios (Huechuraba)'!$A:$A,0)),H278&lt;=5000,INDEX('Pliegos Tarifarios (Huechuraba)'!$I:$I,MATCH($B278,'Pliegos Tarifarios (Huechuraba)'!$A:$A,0)),H278&gt;5000,INDEX('Pliegos Tarifarios (Huechuraba)'!$J:$J,MATCH($B278,'Pliegos Tarifarios (Huechuraba)'!$A:$A,0)))/1.19</f>
        <v>1255.2229327731095</v>
      </c>
      <c r="R278" s="19">
        <f>INDEX('Pliegos Tarifarios (Huechuraba)'!$K:$K,MATCH($B278,'Pliegos Tarifarios (Huechuraba)'!$A:$A,0))</f>
        <v>724.74800000000005</v>
      </c>
      <c r="S278" s="36">
        <f t="shared" si="12"/>
        <v>98763.332392773111</v>
      </c>
      <c r="T278" s="36">
        <f t="shared" si="13"/>
        <v>18765.03315462689</v>
      </c>
      <c r="U278" s="19">
        <v>0</v>
      </c>
      <c r="V278" s="36">
        <f t="shared" si="14"/>
        <v>117528.3655474</v>
      </c>
    </row>
    <row r="279" spans="1:22" ht="23.4" thickBot="1" x14ac:dyDescent="0.35">
      <c r="A279" s="30" t="s">
        <v>148</v>
      </c>
      <c r="B279" s="31">
        <v>6</v>
      </c>
      <c r="C279" s="32" t="s">
        <v>15</v>
      </c>
      <c r="D279" s="31" t="s">
        <v>41</v>
      </c>
      <c r="E279" s="31" t="s">
        <v>37</v>
      </c>
      <c r="F279" s="32" t="s">
        <v>42</v>
      </c>
      <c r="G279" s="31" t="s">
        <v>33</v>
      </c>
      <c r="H279" s="33">
        <v>1071.22</v>
      </c>
      <c r="I279" s="31">
        <v>2.92</v>
      </c>
      <c r="J279" s="31">
        <v>2.9</v>
      </c>
      <c r="K279" s="34">
        <v>0.99199999999999999</v>
      </c>
      <c r="L279" s="31">
        <v>34.56</v>
      </c>
      <c r="M279" s="19">
        <f>H279*INDEX('Pliegos Tarifarios (Huechuraba)'!$B:$B,MATCH($B279,'Pliegos Tarifarios (Huechuraba)'!$A:$A,0))</f>
        <v>127301.64236</v>
      </c>
      <c r="N279" s="19">
        <f>I279*INDEX('Pliegos Tarifarios (Huechuraba)'!$C:$C,MATCH($B279,'Pliegos Tarifarios (Huechuraba)'!$A:$A,0))</f>
        <v>10104.820599999999</v>
      </c>
      <c r="O279" s="19">
        <f>J279*INDEX('Pliegos Tarifarios (Huechuraba)'!$D:$D,MATCH($B279,'Pliegos Tarifarios (Huechuraba)'!$A:$A,0))</f>
        <v>41077.134100000003</v>
      </c>
      <c r="P279" s="19">
        <f>H279*INDEX('Pliegos Tarifarios (Huechuraba)'!$E:$E,MATCH($B279,'Pliegos Tarifarios (Huechuraba)'!$A:$A,0))</f>
        <v>13853.017040000001</v>
      </c>
      <c r="Q279" s="19" cm="1">
        <f t="array" ref="Q279">H279*_xlfn.IFS(H279&lt;=350,INDEX('Pliegos Tarifarios (Huechuraba)'!$F:$F,MATCH($B279,'Pliegos Tarifarios (Huechuraba)'!$A:$A,0)),H279&lt;=500,INDEX('Pliegos Tarifarios (Huechuraba)'!$G:$G,MATCH($B279,'Pliegos Tarifarios (Huechuraba)'!$A:$A,0)),H279&lt;=1000,INDEX('Pliegos Tarifarios (Huechuraba)'!$H:$H,MATCH($B279,'Pliegos Tarifarios (Huechuraba)'!$A:$A,0)),H279&lt;=5000,INDEX('Pliegos Tarifarios (Huechuraba)'!$I:$I,MATCH($B279,'Pliegos Tarifarios (Huechuraba)'!$A:$A,0)),H279&gt;5000,INDEX('Pliegos Tarifarios (Huechuraba)'!$J:$J,MATCH($B279,'Pliegos Tarifarios (Huechuraba)'!$A:$A,0)))/1.19</f>
        <v>3214.5601848739498</v>
      </c>
      <c r="R279" s="19">
        <f>INDEX('Pliegos Tarifarios (Huechuraba)'!$K:$K,MATCH($B279,'Pliegos Tarifarios (Huechuraba)'!$A:$A,0))</f>
        <v>724.74800000000005</v>
      </c>
      <c r="S279" s="36">
        <f t="shared" si="12"/>
        <v>196275.92228487396</v>
      </c>
      <c r="T279" s="36">
        <f t="shared" si="13"/>
        <v>37292.425234126051</v>
      </c>
      <c r="U279" s="19">
        <v>0</v>
      </c>
      <c r="V279" s="36">
        <f t="shared" si="14"/>
        <v>233568.347519</v>
      </c>
    </row>
    <row r="280" spans="1:22" ht="23.4" thickBot="1" x14ac:dyDescent="0.35">
      <c r="A280" s="30" t="s">
        <v>148</v>
      </c>
      <c r="B280" s="31">
        <v>6</v>
      </c>
      <c r="C280" s="32" t="s">
        <v>15</v>
      </c>
      <c r="D280" s="31" t="s">
        <v>43</v>
      </c>
      <c r="E280" s="31" t="s">
        <v>37</v>
      </c>
      <c r="F280" s="32" t="s">
        <v>44</v>
      </c>
      <c r="G280" s="31" t="s">
        <v>33</v>
      </c>
      <c r="H280" s="31">
        <v>401.36</v>
      </c>
      <c r="I280" s="31">
        <v>1.1299999999999999</v>
      </c>
      <c r="J280" s="31">
        <v>1.08</v>
      </c>
      <c r="K280" s="34">
        <v>0.95899999999999996</v>
      </c>
      <c r="L280" s="31">
        <v>12.95</v>
      </c>
      <c r="M280" s="19">
        <f>H280*INDEX('Pliegos Tarifarios (Huechuraba)'!$B:$B,MATCH($B280,'Pliegos Tarifarios (Huechuraba)'!$A:$A,0))</f>
        <v>47696.819680000001</v>
      </c>
      <c r="N280" s="19">
        <f>I280*INDEX('Pliegos Tarifarios (Huechuraba)'!$C:$C,MATCH($B280,'Pliegos Tarifarios (Huechuraba)'!$A:$A,0))</f>
        <v>3910.4271499999995</v>
      </c>
      <c r="O280" s="19">
        <f>J280*INDEX('Pliegos Tarifarios (Huechuraba)'!$D:$D,MATCH($B280,'Pliegos Tarifarios (Huechuraba)'!$A:$A,0))</f>
        <v>15297.691320000002</v>
      </c>
      <c r="P280" s="19">
        <f>H280*INDEX('Pliegos Tarifarios (Huechuraba)'!$E:$E,MATCH($B280,'Pliegos Tarifarios (Huechuraba)'!$A:$A,0))</f>
        <v>5190.3875200000002</v>
      </c>
      <c r="Q280" s="19" cm="1">
        <f t="array" ref="Q280">H280*_xlfn.IFS(H280&lt;=350,INDEX('Pliegos Tarifarios (Huechuraba)'!$F:$F,MATCH($B280,'Pliegos Tarifarios (Huechuraba)'!$A:$A,0)),H280&lt;=500,INDEX('Pliegos Tarifarios (Huechuraba)'!$G:$G,MATCH($B280,'Pliegos Tarifarios (Huechuraba)'!$A:$A,0)),H280&lt;=1000,INDEX('Pliegos Tarifarios (Huechuraba)'!$H:$H,MATCH($B280,'Pliegos Tarifarios (Huechuraba)'!$A:$A,0)),H280&lt;=5000,INDEX('Pliegos Tarifarios (Huechuraba)'!$I:$I,MATCH($B280,'Pliegos Tarifarios (Huechuraba)'!$A:$A,0)),H280&gt;5000,INDEX('Pliegos Tarifarios (Huechuraba)'!$J:$J,MATCH($B280,'Pliegos Tarifarios (Huechuraba)'!$A:$A,0)))/1.19</f>
        <v>565.27677310924378</v>
      </c>
      <c r="R280" s="19">
        <f>INDEX('Pliegos Tarifarios (Huechuraba)'!$K:$K,MATCH($B280,'Pliegos Tarifarios (Huechuraba)'!$A:$A,0))</f>
        <v>724.74800000000005</v>
      </c>
      <c r="S280" s="36">
        <f t="shared" si="12"/>
        <v>73385.350443109259</v>
      </c>
      <c r="T280" s="36">
        <f t="shared" si="13"/>
        <v>13943.216584190759</v>
      </c>
      <c r="U280" s="19">
        <v>0</v>
      </c>
      <c r="V280" s="36">
        <f t="shared" si="14"/>
        <v>87328.567027300014</v>
      </c>
    </row>
    <row r="281" spans="1:22" ht="23.4" thickBot="1" x14ac:dyDescent="0.35">
      <c r="A281" s="30" t="s">
        <v>148</v>
      </c>
      <c r="B281" s="31">
        <v>6</v>
      </c>
      <c r="C281" s="32" t="s">
        <v>15</v>
      </c>
      <c r="D281" s="31" t="s">
        <v>45</v>
      </c>
      <c r="E281" s="31" t="s">
        <v>37</v>
      </c>
      <c r="F281" s="32" t="s">
        <v>46</v>
      </c>
      <c r="G281" s="31" t="s">
        <v>33</v>
      </c>
      <c r="H281" s="31">
        <v>402.46</v>
      </c>
      <c r="I281" s="31">
        <v>1.1299999999999999</v>
      </c>
      <c r="J281" s="31">
        <v>1.1299999999999999</v>
      </c>
      <c r="K281" s="34">
        <v>1</v>
      </c>
      <c r="L281" s="31">
        <v>12.98</v>
      </c>
      <c r="M281" s="19">
        <f>H281*INDEX('Pliegos Tarifarios (Huechuraba)'!$B:$B,MATCH($B281,'Pliegos Tarifarios (Huechuraba)'!$A:$A,0))</f>
        <v>47827.541479999993</v>
      </c>
      <c r="N281" s="19">
        <f>I281*INDEX('Pliegos Tarifarios (Huechuraba)'!$C:$C,MATCH($B281,'Pliegos Tarifarios (Huechuraba)'!$A:$A,0))</f>
        <v>3910.4271499999995</v>
      </c>
      <c r="O281" s="19">
        <f>J281*INDEX('Pliegos Tarifarios (Huechuraba)'!$D:$D,MATCH($B281,'Pliegos Tarifarios (Huechuraba)'!$A:$A,0))</f>
        <v>16005.917769999998</v>
      </c>
      <c r="P281" s="19">
        <f>H281*INDEX('Pliegos Tarifarios (Huechuraba)'!$E:$E,MATCH($B281,'Pliegos Tarifarios (Huechuraba)'!$A:$A,0))</f>
        <v>5204.6127200000001</v>
      </c>
      <c r="Q281" s="19" cm="1">
        <f t="array" ref="Q281">H281*_xlfn.IFS(H281&lt;=350,INDEX('Pliegos Tarifarios (Huechuraba)'!$F:$F,MATCH($B281,'Pliegos Tarifarios (Huechuraba)'!$A:$A,0)),H281&lt;=500,INDEX('Pliegos Tarifarios (Huechuraba)'!$G:$G,MATCH($B281,'Pliegos Tarifarios (Huechuraba)'!$A:$A,0)),H281&lt;=1000,INDEX('Pliegos Tarifarios (Huechuraba)'!$H:$H,MATCH($B281,'Pliegos Tarifarios (Huechuraba)'!$A:$A,0)),H281&lt;=5000,INDEX('Pliegos Tarifarios (Huechuraba)'!$I:$I,MATCH($B281,'Pliegos Tarifarios (Huechuraba)'!$A:$A,0)),H281&gt;5000,INDEX('Pliegos Tarifarios (Huechuraba)'!$J:$J,MATCH($B281,'Pliegos Tarifarios (Huechuraba)'!$A:$A,0)))/1.19</f>
        <v>566.82601680672269</v>
      </c>
      <c r="R281" s="19">
        <f>INDEX('Pliegos Tarifarios (Huechuraba)'!$K:$K,MATCH($B281,'Pliegos Tarifarios (Huechuraba)'!$A:$A,0))</f>
        <v>724.74800000000005</v>
      </c>
      <c r="S281" s="36">
        <f t="shared" si="12"/>
        <v>74240.073136806721</v>
      </c>
      <c r="T281" s="36">
        <f t="shared" si="13"/>
        <v>14105.613895993278</v>
      </c>
      <c r="U281" s="19">
        <v>0</v>
      </c>
      <c r="V281" s="36">
        <f t="shared" si="14"/>
        <v>88345.687032799993</v>
      </c>
    </row>
    <row r="282" spans="1:22" ht="23.4" thickBot="1" x14ac:dyDescent="0.35">
      <c r="A282" s="30" t="s">
        <v>148</v>
      </c>
      <c r="B282" s="31">
        <v>6</v>
      </c>
      <c r="C282" s="32" t="s">
        <v>15</v>
      </c>
      <c r="D282" s="31" t="s">
        <v>47</v>
      </c>
      <c r="E282" s="31" t="s">
        <v>37</v>
      </c>
      <c r="F282" s="32" t="s">
        <v>48</v>
      </c>
      <c r="G282" s="31" t="s">
        <v>33</v>
      </c>
      <c r="H282" s="31">
        <v>804.9</v>
      </c>
      <c r="I282" s="31">
        <v>2.27</v>
      </c>
      <c r="J282" s="31">
        <v>2.17</v>
      </c>
      <c r="K282" s="34">
        <v>0.95699999999999996</v>
      </c>
      <c r="L282" s="31">
        <v>25.96</v>
      </c>
      <c r="M282" s="19">
        <f>H282*INDEX('Pliegos Tarifarios (Huechuraba)'!$B:$B,MATCH($B282,'Pliegos Tarifarios (Huechuraba)'!$A:$A,0))</f>
        <v>95652.706199999986</v>
      </c>
      <c r="N282" s="19">
        <f>I282*INDEX('Pliegos Tarifarios (Huechuraba)'!$C:$C,MATCH($B282,'Pliegos Tarifarios (Huechuraba)'!$A:$A,0))</f>
        <v>7855.4598499999993</v>
      </c>
      <c r="O282" s="19">
        <f>J282*INDEX('Pliegos Tarifarios (Huechuraba)'!$D:$D,MATCH($B282,'Pliegos Tarifarios (Huechuraba)'!$A:$A,0))</f>
        <v>30737.02793</v>
      </c>
      <c r="P282" s="19">
        <f>H282*INDEX('Pliegos Tarifarios (Huechuraba)'!$E:$E,MATCH($B282,'Pliegos Tarifarios (Huechuraba)'!$A:$A,0))</f>
        <v>10408.9668</v>
      </c>
      <c r="Q282" s="19" cm="1">
        <f t="array" ref="Q282">H282*_xlfn.IFS(H282&lt;=350,INDEX('Pliegos Tarifarios (Huechuraba)'!$F:$F,MATCH($B282,'Pliegos Tarifarios (Huechuraba)'!$A:$A,0)),H282&lt;=500,INDEX('Pliegos Tarifarios (Huechuraba)'!$G:$G,MATCH($B282,'Pliegos Tarifarios (Huechuraba)'!$A:$A,0)),H282&lt;=1000,INDEX('Pliegos Tarifarios (Huechuraba)'!$H:$H,MATCH($B282,'Pliegos Tarifarios (Huechuraba)'!$A:$A,0)),H282&lt;=5000,INDEX('Pliegos Tarifarios (Huechuraba)'!$I:$I,MATCH($B282,'Pliegos Tarifarios (Huechuraba)'!$A:$A,0)),H282&gt;5000,INDEX('Pliegos Tarifarios (Huechuraba)'!$J:$J,MATCH($B282,'Pliegos Tarifarios (Huechuraba)'!$A:$A,0)))/1.19</f>
        <v>1887.7948739495803</v>
      </c>
      <c r="R282" s="19">
        <f>INDEX('Pliegos Tarifarios (Huechuraba)'!$K:$K,MATCH($B282,'Pliegos Tarifarios (Huechuraba)'!$A:$A,0))</f>
        <v>724.74800000000005</v>
      </c>
      <c r="S282" s="36">
        <f t="shared" si="12"/>
        <v>147266.70365394955</v>
      </c>
      <c r="T282" s="36">
        <f t="shared" si="13"/>
        <v>27980.673694250414</v>
      </c>
      <c r="U282" s="19">
        <v>0</v>
      </c>
      <c r="V282" s="36">
        <f t="shared" si="14"/>
        <v>175247.37734819995</v>
      </c>
    </row>
    <row r="283" spans="1:22" ht="23.4" thickBot="1" x14ac:dyDescent="0.35">
      <c r="A283" s="30" t="s">
        <v>148</v>
      </c>
      <c r="B283" s="31">
        <v>6</v>
      </c>
      <c r="C283" s="32" t="s">
        <v>15</v>
      </c>
      <c r="D283" s="31" t="s">
        <v>49</v>
      </c>
      <c r="E283" s="31" t="s">
        <v>50</v>
      </c>
      <c r="F283" s="32" t="s">
        <v>51</v>
      </c>
      <c r="G283" s="31" t="s">
        <v>33</v>
      </c>
      <c r="H283" s="31">
        <v>804.72</v>
      </c>
      <c r="I283" s="31">
        <v>2.2400000000000002</v>
      </c>
      <c r="J283" s="31">
        <v>2.17</v>
      </c>
      <c r="K283" s="34">
        <v>0.96899999999999997</v>
      </c>
      <c r="L283" s="31">
        <v>25.96</v>
      </c>
      <c r="M283" s="19">
        <f>H283*INDEX('Pliegos Tarifarios (Huechuraba)'!$B:$B,MATCH($B283,'Pliegos Tarifarios (Huechuraba)'!$A:$A,0))</f>
        <v>95631.315359999993</v>
      </c>
      <c r="N283" s="19">
        <f>I283*INDEX('Pliegos Tarifarios (Huechuraba)'!$C:$C,MATCH($B283,'Pliegos Tarifarios (Huechuraba)'!$A:$A,0))</f>
        <v>7751.6432000000004</v>
      </c>
      <c r="O283" s="19">
        <f>J283*INDEX('Pliegos Tarifarios (Huechuraba)'!$D:$D,MATCH($B283,'Pliegos Tarifarios (Huechuraba)'!$A:$A,0))</f>
        <v>30737.02793</v>
      </c>
      <c r="P283" s="19">
        <f>H283*INDEX('Pliegos Tarifarios (Huechuraba)'!$E:$E,MATCH($B283,'Pliegos Tarifarios (Huechuraba)'!$A:$A,0))</f>
        <v>10406.63904</v>
      </c>
      <c r="Q283" s="19" cm="1">
        <f t="array" ref="Q283">H283*_xlfn.IFS(H283&lt;=350,INDEX('Pliegos Tarifarios (Huechuraba)'!$F:$F,MATCH($B283,'Pliegos Tarifarios (Huechuraba)'!$A:$A,0)),H283&lt;=500,INDEX('Pliegos Tarifarios (Huechuraba)'!$G:$G,MATCH($B283,'Pliegos Tarifarios (Huechuraba)'!$A:$A,0)),H283&lt;=1000,INDEX('Pliegos Tarifarios (Huechuraba)'!$H:$H,MATCH($B283,'Pliegos Tarifarios (Huechuraba)'!$A:$A,0)),H283&lt;=5000,INDEX('Pliegos Tarifarios (Huechuraba)'!$I:$I,MATCH($B283,'Pliegos Tarifarios (Huechuraba)'!$A:$A,0)),H283&gt;5000,INDEX('Pliegos Tarifarios (Huechuraba)'!$J:$J,MATCH($B283,'Pliegos Tarifarios (Huechuraba)'!$A:$A,0)))/1.19</f>
        <v>1887.3727058823533</v>
      </c>
      <c r="R283" s="19">
        <f>INDEX('Pliegos Tarifarios (Huechuraba)'!$K:$K,MATCH($B283,'Pliegos Tarifarios (Huechuraba)'!$A:$A,0))</f>
        <v>724.74800000000005</v>
      </c>
      <c r="S283" s="36">
        <f t="shared" si="12"/>
        <v>147138.74623588237</v>
      </c>
      <c r="T283" s="36">
        <f t="shared" si="13"/>
        <v>27956.361784817651</v>
      </c>
      <c r="U283" s="19">
        <v>0</v>
      </c>
      <c r="V283" s="36">
        <f t="shared" si="14"/>
        <v>175095.10802070002</v>
      </c>
    </row>
    <row r="284" spans="1:22" ht="23.4" thickBot="1" x14ac:dyDescent="0.35">
      <c r="A284" s="30" t="s">
        <v>148</v>
      </c>
      <c r="B284" s="31">
        <v>6</v>
      </c>
      <c r="C284" s="32" t="s">
        <v>15</v>
      </c>
      <c r="D284" s="31" t="s">
        <v>52</v>
      </c>
      <c r="E284" s="31" t="s">
        <v>50</v>
      </c>
      <c r="F284" s="32" t="s">
        <v>53</v>
      </c>
      <c r="G284" s="31" t="s">
        <v>33</v>
      </c>
      <c r="H284" s="31">
        <v>805.02</v>
      </c>
      <c r="I284" s="31">
        <v>2.29</v>
      </c>
      <c r="J284" s="31">
        <v>2.19</v>
      </c>
      <c r="K284" s="34">
        <v>0.95299999999999996</v>
      </c>
      <c r="L284" s="31">
        <v>25.97</v>
      </c>
      <c r="M284" s="19">
        <f>H284*INDEX('Pliegos Tarifarios (Huechuraba)'!$B:$B,MATCH($B284,'Pliegos Tarifarios (Huechuraba)'!$A:$A,0))</f>
        <v>95666.966759999996</v>
      </c>
      <c r="N284" s="19">
        <f>I284*INDEX('Pliegos Tarifarios (Huechuraba)'!$C:$C,MATCH($B284,'Pliegos Tarifarios (Huechuraba)'!$A:$A,0))</f>
        <v>7924.6709499999997</v>
      </c>
      <c r="O284" s="19">
        <f>J284*INDEX('Pliegos Tarifarios (Huechuraba)'!$D:$D,MATCH($B284,'Pliegos Tarifarios (Huechuraba)'!$A:$A,0))</f>
        <v>31020.318510000001</v>
      </c>
      <c r="P284" s="19">
        <f>H284*INDEX('Pliegos Tarifarios (Huechuraba)'!$E:$E,MATCH($B284,'Pliegos Tarifarios (Huechuraba)'!$A:$A,0))</f>
        <v>10410.51864</v>
      </c>
      <c r="Q284" s="19" cm="1">
        <f t="array" ref="Q284">H284*_xlfn.IFS(H284&lt;=350,INDEX('Pliegos Tarifarios (Huechuraba)'!$F:$F,MATCH($B284,'Pliegos Tarifarios (Huechuraba)'!$A:$A,0)),H284&lt;=500,INDEX('Pliegos Tarifarios (Huechuraba)'!$G:$G,MATCH($B284,'Pliegos Tarifarios (Huechuraba)'!$A:$A,0)),H284&lt;=1000,INDEX('Pliegos Tarifarios (Huechuraba)'!$H:$H,MATCH($B284,'Pliegos Tarifarios (Huechuraba)'!$A:$A,0)),H284&lt;=5000,INDEX('Pliegos Tarifarios (Huechuraba)'!$I:$I,MATCH($B284,'Pliegos Tarifarios (Huechuraba)'!$A:$A,0)),H284&gt;5000,INDEX('Pliegos Tarifarios (Huechuraba)'!$J:$J,MATCH($B284,'Pliegos Tarifarios (Huechuraba)'!$A:$A,0)))/1.19</f>
        <v>1888.0763193277312</v>
      </c>
      <c r="R284" s="19">
        <f>INDEX('Pliegos Tarifarios (Huechuraba)'!$K:$K,MATCH($B284,'Pliegos Tarifarios (Huechuraba)'!$A:$A,0))</f>
        <v>724.74800000000005</v>
      </c>
      <c r="S284" s="36">
        <f t="shared" si="12"/>
        <v>147635.2991793277</v>
      </c>
      <c r="T284" s="36">
        <f t="shared" si="13"/>
        <v>28050.706844072265</v>
      </c>
      <c r="U284" s="19">
        <v>0</v>
      </c>
      <c r="V284" s="36">
        <f t="shared" si="14"/>
        <v>175686.00602339997</v>
      </c>
    </row>
    <row r="285" spans="1:22" ht="23.4" thickBot="1" x14ac:dyDescent="0.35">
      <c r="A285" s="30" t="s">
        <v>148</v>
      </c>
      <c r="B285" s="31">
        <v>6</v>
      </c>
      <c r="C285" s="32" t="s">
        <v>15</v>
      </c>
      <c r="D285" s="31" t="s">
        <v>54</v>
      </c>
      <c r="E285" s="31" t="s">
        <v>55</v>
      </c>
      <c r="F285" s="32" t="s">
        <v>56</v>
      </c>
      <c r="G285" s="31" t="s">
        <v>33</v>
      </c>
      <c r="H285" s="31">
        <v>401.19</v>
      </c>
      <c r="I285" s="31">
        <v>1.1200000000000001</v>
      </c>
      <c r="J285" s="31">
        <v>1.1100000000000001</v>
      </c>
      <c r="K285" s="34">
        <v>0.99399999999999999</v>
      </c>
      <c r="L285" s="31">
        <v>12.94</v>
      </c>
      <c r="M285" s="19">
        <f>H285*INDEX('Pliegos Tarifarios (Huechuraba)'!$B:$B,MATCH($B285,'Pliegos Tarifarios (Huechuraba)'!$A:$A,0))</f>
        <v>47676.61722</v>
      </c>
      <c r="N285" s="19">
        <f>I285*INDEX('Pliegos Tarifarios (Huechuraba)'!$C:$C,MATCH($B285,'Pliegos Tarifarios (Huechuraba)'!$A:$A,0))</f>
        <v>3875.8216000000002</v>
      </c>
      <c r="O285" s="19">
        <f>J285*INDEX('Pliegos Tarifarios (Huechuraba)'!$D:$D,MATCH($B285,'Pliegos Tarifarios (Huechuraba)'!$A:$A,0))</f>
        <v>15722.627190000001</v>
      </c>
      <c r="P285" s="19">
        <f>H285*INDEX('Pliegos Tarifarios (Huechuraba)'!$E:$E,MATCH($B285,'Pliegos Tarifarios (Huechuraba)'!$A:$A,0))</f>
        <v>5188.1890800000001</v>
      </c>
      <c r="Q285" s="19" cm="1">
        <f t="array" ref="Q285">H285*_xlfn.IFS(H285&lt;=350,INDEX('Pliegos Tarifarios (Huechuraba)'!$F:$F,MATCH($B285,'Pliegos Tarifarios (Huechuraba)'!$A:$A,0)),H285&lt;=500,INDEX('Pliegos Tarifarios (Huechuraba)'!$G:$G,MATCH($B285,'Pliegos Tarifarios (Huechuraba)'!$A:$A,0)),H285&lt;=1000,INDEX('Pliegos Tarifarios (Huechuraba)'!$H:$H,MATCH($B285,'Pliegos Tarifarios (Huechuraba)'!$A:$A,0)),H285&lt;=5000,INDEX('Pliegos Tarifarios (Huechuraba)'!$I:$I,MATCH($B285,'Pliegos Tarifarios (Huechuraba)'!$A:$A,0)),H285&gt;5000,INDEX('Pliegos Tarifarios (Huechuraba)'!$J:$J,MATCH($B285,'Pliegos Tarifarios (Huechuraba)'!$A:$A,0)))/1.19</f>
        <v>565.03734453781522</v>
      </c>
      <c r="R285" s="19">
        <f>INDEX('Pliegos Tarifarios (Huechuraba)'!$K:$K,MATCH($B285,'Pliegos Tarifarios (Huechuraba)'!$A:$A,0))</f>
        <v>724.74800000000005</v>
      </c>
      <c r="S285" s="36">
        <f t="shared" si="12"/>
        <v>73753.040434537834</v>
      </c>
      <c r="T285" s="36">
        <f t="shared" si="13"/>
        <v>14013.077682562189</v>
      </c>
      <c r="U285" s="19">
        <v>0</v>
      </c>
      <c r="V285" s="36">
        <f t="shared" si="14"/>
        <v>87766.118117100021</v>
      </c>
    </row>
    <row r="286" spans="1:22" ht="23.4" thickBot="1" x14ac:dyDescent="0.35">
      <c r="A286" s="30" t="s">
        <v>148</v>
      </c>
      <c r="B286" s="31">
        <v>6</v>
      </c>
      <c r="C286" s="32" t="s">
        <v>15</v>
      </c>
      <c r="D286" s="31" t="s">
        <v>57</v>
      </c>
      <c r="E286" s="31" t="s">
        <v>58</v>
      </c>
      <c r="F286" s="32" t="s">
        <v>59</v>
      </c>
      <c r="G286" s="31" t="s">
        <v>33</v>
      </c>
      <c r="H286" s="31">
        <v>267.72000000000003</v>
      </c>
      <c r="I286" s="31">
        <v>0.75</v>
      </c>
      <c r="J286" s="31">
        <v>0.72</v>
      </c>
      <c r="K286" s="34">
        <v>0.96599999999999997</v>
      </c>
      <c r="L286" s="31">
        <v>8.64</v>
      </c>
      <c r="M286" s="19">
        <f>H286*INDEX('Pliegos Tarifarios (Huechuraba)'!$B:$B,MATCH($B286,'Pliegos Tarifarios (Huechuraba)'!$A:$A,0))</f>
        <v>31815.309360000003</v>
      </c>
      <c r="N286" s="19">
        <f>I286*INDEX('Pliegos Tarifarios (Huechuraba)'!$C:$C,MATCH($B286,'Pliegos Tarifarios (Huechuraba)'!$A:$A,0))</f>
        <v>2595.4162499999998</v>
      </c>
      <c r="O286" s="19">
        <f>J286*INDEX('Pliegos Tarifarios (Huechuraba)'!$D:$D,MATCH($B286,'Pliegos Tarifarios (Huechuraba)'!$A:$A,0))</f>
        <v>10198.460880000001</v>
      </c>
      <c r="P286" s="19">
        <f>H286*INDEX('Pliegos Tarifarios (Huechuraba)'!$E:$E,MATCH($B286,'Pliegos Tarifarios (Huechuraba)'!$A:$A,0))</f>
        <v>3462.1550400000006</v>
      </c>
      <c r="Q286" s="19" cm="1">
        <f t="array" ref="Q286">H286*_xlfn.IFS(H286&lt;=350,INDEX('Pliegos Tarifarios (Huechuraba)'!$F:$F,MATCH($B286,'Pliegos Tarifarios (Huechuraba)'!$A:$A,0)),H286&lt;=500,INDEX('Pliegos Tarifarios (Huechuraba)'!$G:$G,MATCH($B286,'Pliegos Tarifarios (Huechuraba)'!$A:$A,0)),H286&lt;=1000,INDEX('Pliegos Tarifarios (Huechuraba)'!$H:$H,MATCH($B286,'Pliegos Tarifarios (Huechuraba)'!$A:$A,0)),H286&lt;=5000,INDEX('Pliegos Tarifarios (Huechuraba)'!$I:$I,MATCH($B286,'Pliegos Tarifarios (Huechuraba)'!$A:$A,0)),H286&gt;5000,INDEX('Pliegos Tarifarios (Huechuraba)'!$J:$J,MATCH($B286,'Pliegos Tarifarios (Huechuraba)'!$A:$A,0)))/1.19</f>
        <v>176.38023529411768</v>
      </c>
      <c r="R286" s="19">
        <f>INDEX('Pliegos Tarifarios (Huechuraba)'!$K:$K,MATCH($B286,'Pliegos Tarifarios (Huechuraba)'!$A:$A,0))</f>
        <v>724.74800000000005</v>
      </c>
      <c r="S286" s="36">
        <f t="shared" si="12"/>
        <v>48972.469765294118</v>
      </c>
      <c r="T286" s="36">
        <f t="shared" si="13"/>
        <v>9304.7692554058831</v>
      </c>
      <c r="U286" s="19">
        <v>0</v>
      </c>
      <c r="V286" s="36">
        <f t="shared" si="14"/>
        <v>58277.239020699999</v>
      </c>
    </row>
    <row r="287" spans="1:22" ht="23.4" thickBot="1" x14ac:dyDescent="0.35">
      <c r="A287" s="30" t="s">
        <v>148</v>
      </c>
      <c r="B287" s="31">
        <v>6</v>
      </c>
      <c r="C287" s="32" t="s">
        <v>15</v>
      </c>
      <c r="D287" s="31" t="s">
        <v>60</v>
      </c>
      <c r="E287" s="31" t="s">
        <v>61</v>
      </c>
      <c r="F287" s="32" t="s">
        <v>62</v>
      </c>
      <c r="G287" s="31" t="s">
        <v>33</v>
      </c>
      <c r="H287" s="31">
        <v>267.04000000000002</v>
      </c>
      <c r="I287" s="31">
        <v>0.75</v>
      </c>
      <c r="J287" s="31">
        <v>0.74</v>
      </c>
      <c r="K287" s="34">
        <v>0.98299999999999998</v>
      </c>
      <c r="L287" s="31">
        <v>8.61</v>
      </c>
      <c r="M287" s="19">
        <f>H287*INDEX('Pliegos Tarifarios (Huechuraba)'!$B:$B,MATCH($B287,'Pliegos Tarifarios (Huechuraba)'!$A:$A,0))</f>
        <v>31734.499520000001</v>
      </c>
      <c r="N287" s="19">
        <f>I287*INDEX('Pliegos Tarifarios (Huechuraba)'!$C:$C,MATCH($B287,'Pliegos Tarifarios (Huechuraba)'!$A:$A,0))</f>
        <v>2595.4162499999998</v>
      </c>
      <c r="O287" s="19">
        <f>J287*INDEX('Pliegos Tarifarios (Huechuraba)'!$D:$D,MATCH($B287,'Pliegos Tarifarios (Huechuraba)'!$A:$A,0))</f>
        <v>10481.751459999999</v>
      </c>
      <c r="P287" s="19">
        <f>H287*INDEX('Pliegos Tarifarios (Huechuraba)'!$E:$E,MATCH($B287,'Pliegos Tarifarios (Huechuraba)'!$A:$A,0))</f>
        <v>3453.3612800000005</v>
      </c>
      <c r="Q287" s="19" cm="1">
        <f t="array" ref="Q287">H287*_xlfn.IFS(H287&lt;=350,INDEX('Pliegos Tarifarios (Huechuraba)'!$F:$F,MATCH($B287,'Pliegos Tarifarios (Huechuraba)'!$A:$A,0)),H287&lt;=500,INDEX('Pliegos Tarifarios (Huechuraba)'!$G:$G,MATCH($B287,'Pliegos Tarifarios (Huechuraba)'!$A:$A,0)),H287&lt;=1000,INDEX('Pliegos Tarifarios (Huechuraba)'!$H:$H,MATCH($B287,'Pliegos Tarifarios (Huechuraba)'!$A:$A,0)),H287&lt;=5000,INDEX('Pliegos Tarifarios (Huechuraba)'!$I:$I,MATCH($B287,'Pliegos Tarifarios (Huechuraba)'!$A:$A,0)),H287&gt;5000,INDEX('Pliegos Tarifarios (Huechuraba)'!$J:$J,MATCH($B287,'Pliegos Tarifarios (Huechuraba)'!$A:$A,0)))/1.19</f>
        <v>175.93223529411767</v>
      </c>
      <c r="R287" s="19">
        <f>INDEX('Pliegos Tarifarios (Huechuraba)'!$K:$K,MATCH($B287,'Pliegos Tarifarios (Huechuraba)'!$A:$A,0))</f>
        <v>724.74800000000005</v>
      </c>
      <c r="S287" s="36">
        <f t="shared" si="12"/>
        <v>49165.708745294112</v>
      </c>
      <c r="T287" s="36">
        <f t="shared" si="13"/>
        <v>9341.4846616058821</v>
      </c>
      <c r="U287" s="19">
        <v>0</v>
      </c>
      <c r="V287" s="36">
        <f t="shared" si="14"/>
        <v>58507.193406899998</v>
      </c>
    </row>
    <row r="288" spans="1:22" ht="23.4" thickBot="1" x14ac:dyDescent="0.35">
      <c r="A288" s="30" t="s">
        <v>148</v>
      </c>
      <c r="B288" s="31">
        <v>6</v>
      </c>
      <c r="C288" s="32" t="s">
        <v>15</v>
      </c>
      <c r="D288" s="31" t="s">
        <v>63</v>
      </c>
      <c r="E288" s="31" t="s">
        <v>64</v>
      </c>
      <c r="F288" s="32" t="s">
        <v>65</v>
      </c>
      <c r="G288" s="31" t="s">
        <v>33</v>
      </c>
      <c r="H288" s="31">
        <v>268.04000000000002</v>
      </c>
      <c r="I288" s="31">
        <v>0.75</v>
      </c>
      <c r="J288" s="31">
        <v>0.75</v>
      </c>
      <c r="K288" s="34">
        <v>1</v>
      </c>
      <c r="L288" s="31">
        <v>8.65</v>
      </c>
      <c r="M288" s="19">
        <f>H288*INDEX('Pliegos Tarifarios (Huechuraba)'!$B:$B,MATCH($B288,'Pliegos Tarifarios (Huechuraba)'!$A:$A,0))</f>
        <v>31853.337520000001</v>
      </c>
      <c r="N288" s="19">
        <f>I288*INDEX('Pliegos Tarifarios (Huechuraba)'!$C:$C,MATCH($B288,'Pliegos Tarifarios (Huechuraba)'!$A:$A,0))</f>
        <v>2595.4162499999998</v>
      </c>
      <c r="O288" s="19">
        <f>J288*INDEX('Pliegos Tarifarios (Huechuraba)'!$D:$D,MATCH($B288,'Pliegos Tarifarios (Huechuraba)'!$A:$A,0))</f>
        <v>10623.39675</v>
      </c>
      <c r="P288" s="19">
        <f>H288*INDEX('Pliegos Tarifarios (Huechuraba)'!$E:$E,MATCH($B288,'Pliegos Tarifarios (Huechuraba)'!$A:$A,0))</f>
        <v>3466.2932800000003</v>
      </c>
      <c r="Q288" s="19" cm="1">
        <f t="array" ref="Q288">H288*_xlfn.IFS(H288&lt;=350,INDEX('Pliegos Tarifarios (Huechuraba)'!$F:$F,MATCH($B288,'Pliegos Tarifarios (Huechuraba)'!$A:$A,0)),H288&lt;=500,INDEX('Pliegos Tarifarios (Huechuraba)'!$G:$G,MATCH($B288,'Pliegos Tarifarios (Huechuraba)'!$A:$A,0)),H288&lt;=1000,INDEX('Pliegos Tarifarios (Huechuraba)'!$H:$H,MATCH($B288,'Pliegos Tarifarios (Huechuraba)'!$A:$A,0)),H288&lt;=5000,INDEX('Pliegos Tarifarios (Huechuraba)'!$I:$I,MATCH($B288,'Pliegos Tarifarios (Huechuraba)'!$A:$A,0)),H288&gt;5000,INDEX('Pliegos Tarifarios (Huechuraba)'!$J:$J,MATCH($B288,'Pliegos Tarifarios (Huechuraba)'!$A:$A,0)))/1.19</f>
        <v>176.59105882352944</v>
      </c>
      <c r="R288" s="19">
        <f>INDEX('Pliegos Tarifarios (Huechuraba)'!$K:$K,MATCH($B288,'Pliegos Tarifarios (Huechuraba)'!$A:$A,0))</f>
        <v>724.74800000000005</v>
      </c>
      <c r="S288" s="36">
        <f t="shared" si="12"/>
        <v>49439.782858823528</v>
      </c>
      <c r="T288" s="36">
        <f t="shared" si="13"/>
        <v>9393.5587431764707</v>
      </c>
      <c r="U288" s="19">
        <v>0</v>
      </c>
      <c r="V288" s="36">
        <f t="shared" si="14"/>
        <v>58833.341602</v>
      </c>
    </row>
    <row r="289" spans="1:22" ht="23.4" thickBot="1" x14ac:dyDescent="0.35">
      <c r="A289" s="30" t="s">
        <v>148</v>
      </c>
      <c r="B289" s="31">
        <v>6</v>
      </c>
      <c r="C289" s="32" t="s">
        <v>15</v>
      </c>
      <c r="D289" s="31" t="s">
        <v>66</v>
      </c>
      <c r="E289" s="31" t="s">
        <v>37</v>
      </c>
      <c r="F289" s="32" t="s">
        <v>67</v>
      </c>
      <c r="G289" s="31" t="s">
        <v>33</v>
      </c>
      <c r="H289" s="31">
        <v>534.25</v>
      </c>
      <c r="I289" s="31">
        <v>1.5</v>
      </c>
      <c r="J289" s="31">
        <v>1.48</v>
      </c>
      <c r="K289" s="34">
        <v>0.99</v>
      </c>
      <c r="L289" s="31">
        <v>17.23</v>
      </c>
      <c r="M289" s="19">
        <f>H289*INDEX('Pliegos Tarifarios (Huechuraba)'!$B:$B,MATCH($B289,'Pliegos Tarifarios (Huechuraba)'!$A:$A,0))</f>
        <v>63489.201499999996</v>
      </c>
      <c r="N289" s="19">
        <f>I289*INDEX('Pliegos Tarifarios (Huechuraba)'!$C:$C,MATCH($B289,'Pliegos Tarifarios (Huechuraba)'!$A:$A,0))</f>
        <v>5190.8324999999995</v>
      </c>
      <c r="O289" s="19">
        <f>J289*INDEX('Pliegos Tarifarios (Huechuraba)'!$D:$D,MATCH($B289,'Pliegos Tarifarios (Huechuraba)'!$A:$A,0))</f>
        <v>20963.502919999999</v>
      </c>
      <c r="P289" s="19">
        <f>H289*INDEX('Pliegos Tarifarios (Huechuraba)'!$E:$E,MATCH($B289,'Pliegos Tarifarios (Huechuraba)'!$A:$A,0))</f>
        <v>6908.9210000000003</v>
      </c>
      <c r="Q289" s="19" cm="1">
        <f t="array" ref="Q289">H289*_xlfn.IFS(H289&lt;=350,INDEX('Pliegos Tarifarios (Huechuraba)'!$F:$F,MATCH($B289,'Pliegos Tarifarios (Huechuraba)'!$A:$A,0)),H289&lt;=500,INDEX('Pliegos Tarifarios (Huechuraba)'!$G:$G,MATCH($B289,'Pliegos Tarifarios (Huechuraba)'!$A:$A,0)),H289&lt;=1000,INDEX('Pliegos Tarifarios (Huechuraba)'!$H:$H,MATCH($B289,'Pliegos Tarifarios (Huechuraba)'!$A:$A,0)),H289&lt;=5000,INDEX('Pliegos Tarifarios (Huechuraba)'!$I:$I,MATCH($B289,'Pliegos Tarifarios (Huechuraba)'!$A:$A,0)),H289&gt;5000,INDEX('Pliegos Tarifarios (Huechuraba)'!$J:$J,MATCH($B289,'Pliegos Tarifarios (Huechuraba)'!$A:$A,0)))/1.19</f>
        <v>1253.0182773109248</v>
      </c>
      <c r="R289" s="19">
        <f>INDEX('Pliegos Tarifarios (Huechuraba)'!$K:$K,MATCH($B289,'Pliegos Tarifarios (Huechuraba)'!$A:$A,0))</f>
        <v>724.74800000000005</v>
      </c>
      <c r="S289" s="36">
        <f t="shared" si="12"/>
        <v>98530.224197310934</v>
      </c>
      <c r="T289" s="36">
        <f t="shared" si="13"/>
        <v>18720.742597489079</v>
      </c>
      <c r="U289" s="19">
        <v>0</v>
      </c>
      <c r="V289" s="36">
        <f t="shared" si="14"/>
        <v>117250.96679480001</v>
      </c>
    </row>
    <row r="290" spans="1:22" ht="23.4" thickBot="1" x14ac:dyDescent="0.35">
      <c r="A290" s="30" t="s">
        <v>148</v>
      </c>
      <c r="B290" s="31">
        <v>6</v>
      </c>
      <c r="C290" s="32" t="s">
        <v>15</v>
      </c>
      <c r="D290" s="31" t="s">
        <v>68</v>
      </c>
      <c r="E290" s="31" t="s">
        <v>37</v>
      </c>
      <c r="F290" s="32" t="s">
        <v>69</v>
      </c>
      <c r="G290" s="31" t="s">
        <v>33</v>
      </c>
      <c r="H290" s="31">
        <v>536.11</v>
      </c>
      <c r="I290" s="31">
        <v>1.5</v>
      </c>
      <c r="J290" s="31">
        <v>1.47</v>
      </c>
      <c r="K290" s="34">
        <v>0.98399999999999999</v>
      </c>
      <c r="L290" s="31">
        <v>17.29</v>
      </c>
      <c r="M290" s="19">
        <f>H290*INDEX('Pliegos Tarifarios (Huechuraba)'!$B:$B,MATCH($B290,'Pliegos Tarifarios (Huechuraba)'!$A:$A,0))</f>
        <v>63710.240180000001</v>
      </c>
      <c r="N290" s="19">
        <f>I290*INDEX('Pliegos Tarifarios (Huechuraba)'!$C:$C,MATCH($B290,'Pliegos Tarifarios (Huechuraba)'!$A:$A,0))</f>
        <v>5190.8324999999995</v>
      </c>
      <c r="O290" s="19">
        <f>J290*INDEX('Pliegos Tarifarios (Huechuraba)'!$D:$D,MATCH($B290,'Pliegos Tarifarios (Huechuraba)'!$A:$A,0))</f>
        <v>20821.857629999999</v>
      </c>
      <c r="P290" s="19">
        <f>H290*INDEX('Pliegos Tarifarios (Huechuraba)'!$E:$E,MATCH($B290,'Pliegos Tarifarios (Huechuraba)'!$A:$A,0))</f>
        <v>6932.9745200000007</v>
      </c>
      <c r="Q290" s="19" cm="1">
        <f t="array" ref="Q290">H290*_xlfn.IFS(H290&lt;=350,INDEX('Pliegos Tarifarios (Huechuraba)'!$F:$F,MATCH($B290,'Pliegos Tarifarios (Huechuraba)'!$A:$A,0)),H290&lt;=500,INDEX('Pliegos Tarifarios (Huechuraba)'!$G:$G,MATCH($B290,'Pliegos Tarifarios (Huechuraba)'!$A:$A,0)),H290&lt;=1000,INDEX('Pliegos Tarifarios (Huechuraba)'!$H:$H,MATCH($B290,'Pliegos Tarifarios (Huechuraba)'!$A:$A,0)),H290&lt;=5000,INDEX('Pliegos Tarifarios (Huechuraba)'!$I:$I,MATCH($B290,'Pliegos Tarifarios (Huechuraba)'!$A:$A,0)),H290&gt;5000,INDEX('Pliegos Tarifarios (Huechuraba)'!$J:$J,MATCH($B290,'Pliegos Tarifarios (Huechuraba)'!$A:$A,0)))/1.19</f>
        <v>1257.3806806722691</v>
      </c>
      <c r="R290" s="19">
        <f>INDEX('Pliegos Tarifarios (Huechuraba)'!$K:$K,MATCH($B290,'Pliegos Tarifarios (Huechuraba)'!$A:$A,0))</f>
        <v>724.74800000000005</v>
      </c>
      <c r="S290" s="36">
        <f t="shared" si="12"/>
        <v>98638.033510672278</v>
      </c>
      <c r="T290" s="36">
        <f t="shared" si="13"/>
        <v>18741.226367027732</v>
      </c>
      <c r="U290" s="19">
        <v>0</v>
      </c>
      <c r="V290" s="36">
        <f t="shared" si="14"/>
        <v>117379.25987770001</v>
      </c>
    </row>
    <row r="291" spans="1:22" ht="23.4" thickBot="1" x14ac:dyDescent="0.35">
      <c r="A291" s="30" t="s">
        <v>148</v>
      </c>
      <c r="B291" s="31">
        <v>6</v>
      </c>
      <c r="C291" s="32" t="s">
        <v>15</v>
      </c>
      <c r="D291" s="31" t="s">
        <v>70</v>
      </c>
      <c r="E291" s="31" t="s">
        <v>37</v>
      </c>
      <c r="F291" s="32" t="s">
        <v>71</v>
      </c>
      <c r="G291" s="31" t="s">
        <v>33</v>
      </c>
      <c r="H291" s="31">
        <v>535.89</v>
      </c>
      <c r="I291" s="31">
        <v>1.48</v>
      </c>
      <c r="J291" s="31">
        <v>1.45</v>
      </c>
      <c r="K291" s="34">
        <v>0.97899999999999998</v>
      </c>
      <c r="L291" s="31">
        <v>17.29</v>
      </c>
      <c r="M291" s="19">
        <f>H291*INDEX('Pliegos Tarifarios (Huechuraba)'!$B:$B,MATCH($B291,'Pliegos Tarifarios (Huechuraba)'!$A:$A,0))</f>
        <v>63684.095819999995</v>
      </c>
      <c r="N291" s="19">
        <f>I291*INDEX('Pliegos Tarifarios (Huechuraba)'!$C:$C,MATCH($B291,'Pliegos Tarifarios (Huechuraba)'!$A:$A,0))</f>
        <v>5121.6214</v>
      </c>
      <c r="O291" s="19">
        <f>J291*INDEX('Pliegos Tarifarios (Huechuraba)'!$D:$D,MATCH($B291,'Pliegos Tarifarios (Huechuraba)'!$A:$A,0))</f>
        <v>20538.567050000001</v>
      </c>
      <c r="P291" s="19">
        <f>H291*INDEX('Pliegos Tarifarios (Huechuraba)'!$E:$E,MATCH($B291,'Pliegos Tarifarios (Huechuraba)'!$A:$A,0))</f>
        <v>6930.1294799999996</v>
      </c>
      <c r="Q291" s="19" cm="1">
        <f t="array" ref="Q291">H291*_xlfn.IFS(H291&lt;=350,INDEX('Pliegos Tarifarios (Huechuraba)'!$F:$F,MATCH($B291,'Pliegos Tarifarios (Huechuraba)'!$A:$A,0)),H291&lt;=500,INDEX('Pliegos Tarifarios (Huechuraba)'!$G:$G,MATCH($B291,'Pliegos Tarifarios (Huechuraba)'!$A:$A,0)),H291&lt;=1000,INDEX('Pliegos Tarifarios (Huechuraba)'!$H:$H,MATCH($B291,'Pliegos Tarifarios (Huechuraba)'!$A:$A,0)),H291&lt;=5000,INDEX('Pliegos Tarifarios (Huechuraba)'!$I:$I,MATCH($B291,'Pliegos Tarifarios (Huechuraba)'!$A:$A,0)),H291&gt;5000,INDEX('Pliegos Tarifarios (Huechuraba)'!$J:$J,MATCH($B291,'Pliegos Tarifarios (Huechuraba)'!$A:$A,0)))/1.19</f>
        <v>1256.8646974789917</v>
      </c>
      <c r="R291" s="19">
        <f>INDEX('Pliegos Tarifarios (Huechuraba)'!$K:$K,MATCH($B291,'Pliegos Tarifarios (Huechuraba)'!$A:$A,0))</f>
        <v>724.74800000000005</v>
      </c>
      <c r="S291" s="36">
        <f t="shared" si="12"/>
        <v>98256.026447478987</v>
      </c>
      <c r="T291" s="36">
        <f t="shared" si="13"/>
        <v>18668.645025021007</v>
      </c>
      <c r="U291" s="19">
        <v>0</v>
      </c>
      <c r="V291" s="36">
        <f t="shared" si="14"/>
        <v>116924.67147249999</v>
      </c>
    </row>
    <row r="292" spans="1:22" ht="23.4" thickBot="1" x14ac:dyDescent="0.35">
      <c r="A292" s="30" t="s">
        <v>148</v>
      </c>
      <c r="B292" s="31">
        <v>6</v>
      </c>
      <c r="C292" s="32" t="s">
        <v>15</v>
      </c>
      <c r="D292" s="31" t="s">
        <v>72</v>
      </c>
      <c r="E292" s="31" t="s">
        <v>73</v>
      </c>
      <c r="F292" s="32" t="s">
        <v>74</v>
      </c>
      <c r="G292" s="31" t="s">
        <v>33</v>
      </c>
      <c r="H292" s="31">
        <v>668.53</v>
      </c>
      <c r="I292" s="31">
        <v>1.85</v>
      </c>
      <c r="J292" s="31">
        <v>1.85</v>
      </c>
      <c r="K292" s="34">
        <v>1</v>
      </c>
      <c r="L292" s="31">
        <v>21.57</v>
      </c>
      <c r="M292" s="19">
        <f>H292*INDEX('Pliegos Tarifarios (Huechuraba)'!$B:$B,MATCH($B292,'Pliegos Tarifarios (Huechuraba)'!$A:$A,0))</f>
        <v>79446.768139999986</v>
      </c>
      <c r="N292" s="19">
        <f>I292*INDEX('Pliegos Tarifarios (Huechuraba)'!$C:$C,MATCH($B292,'Pliegos Tarifarios (Huechuraba)'!$A:$A,0))</f>
        <v>6402.02675</v>
      </c>
      <c r="O292" s="19">
        <f>J292*INDEX('Pliegos Tarifarios (Huechuraba)'!$D:$D,MATCH($B292,'Pliegos Tarifarios (Huechuraba)'!$A:$A,0))</f>
        <v>26204.378650000002</v>
      </c>
      <c r="P292" s="19">
        <f>H292*INDEX('Pliegos Tarifarios (Huechuraba)'!$E:$E,MATCH($B292,'Pliegos Tarifarios (Huechuraba)'!$A:$A,0))</f>
        <v>8645.4299599999995</v>
      </c>
      <c r="Q292" s="19" cm="1">
        <f t="array" ref="Q292">H292*_xlfn.IFS(H292&lt;=350,INDEX('Pliegos Tarifarios (Huechuraba)'!$F:$F,MATCH($B292,'Pliegos Tarifarios (Huechuraba)'!$A:$A,0)),H292&lt;=500,INDEX('Pliegos Tarifarios (Huechuraba)'!$G:$G,MATCH($B292,'Pliegos Tarifarios (Huechuraba)'!$A:$A,0)),H292&lt;=1000,INDEX('Pliegos Tarifarios (Huechuraba)'!$H:$H,MATCH($B292,'Pliegos Tarifarios (Huechuraba)'!$A:$A,0)),H292&lt;=5000,INDEX('Pliegos Tarifarios (Huechuraba)'!$I:$I,MATCH($B292,'Pliegos Tarifarios (Huechuraba)'!$A:$A,0)),H292&gt;5000,INDEX('Pliegos Tarifarios (Huechuraba)'!$J:$J,MATCH($B292,'Pliegos Tarifarios (Huechuraba)'!$A:$A,0)))/1.19</f>
        <v>1567.955655462185</v>
      </c>
      <c r="R292" s="19">
        <f>INDEX('Pliegos Tarifarios (Huechuraba)'!$K:$K,MATCH($B292,'Pliegos Tarifarios (Huechuraba)'!$A:$A,0))</f>
        <v>724.74800000000005</v>
      </c>
      <c r="S292" s="36">
        <f t="shared" si="12"/>
        <v>122991.30715546217</v>
      </c>
      <c r="T292" s="36">
        <f t="shared" si="13"/>
        <v>23368.348359537813</v>
      </c>
      <c r="U292" s="19">
        <v>0</v>
      </c>
      <c r="V292" s="36">
        <f t="shared" si="14"/>
        <v>146359.65551499999</v>
      </c>
    </row>
    <row r="293" spans="1:22" ht="23.4" thickBot="1" x14ac:dyDescent="0.35">
      <c r="A293" s="30" t="s">
        <v>148</v>
      </c>
      <c r="B293" s="31">
        <v>6</v>
      </c>
      <c r="C293" s="32" t="s">
        <v>15</v>
      </c>
      <c r="D293" s="31" t="s">
        <v>75</v>
      </c>
      <c r="E293" s="31" t="s">
        <v>76</v>
      </c>
      <c r="F293" s="32" t="s">
        <v>77</v>
      </c>
      <c r="G293" s="31" t="s">
        <v>19</v>
      </c>
      <c r="H293" s="33">
        <v>1070.05</v>
      </c>
      <c r="I293" s="31">
        <v>3.05</v>
      </c>
      <c r="J293" s="31">
        <v>2.94</v>
      </c>
      <c r="K293" s="34">
        <v>0.96499999999999997</v>
      </c>
      <c r="L293" s="31">
        <v>34.520000000000003</v>
      </c>
      <c r="M293" s="19">
        <f>H293*INDEX('Pliegos Tarifarios (Huechuraba)'!$B:$B,MATCH($B293,'Pliegos Tarifarios (Huechuraba)'!$A:$A,0))</f>
        <v>127162.60189999999</v>
      </c>
      <c r="N293" s="19">
        <f>I293*INDEX('Pliegos Tarifarios (Huechuraba)'!$C:$C,MATCH($B293,'Pliegos Tarifarios (Huechuraba)'!$A:$A,0))</f>
        <v>10554.692749999998</v>
      </c>
      <c r="O293" s="19">
        <f>J293*INDEX('Pliegos Tarifarios (Huechuraba)'!$D:$D,MATCH($B293,'Pliegos Tarifarios (Huechuraba)'!$A:$A,0))</f>
        <v>41643.715259999997</v>
      </c>
      <c r="P293" s="19">
        <f>H293*INDEX('Pliegos Tarifarios (Huechuraba)'!$E:$E,MATCH($B293,'Pliegos Tarifarios (Huechuraba)'!$A:$A,0))</f>
        <v>13837.8866</v>
      </c>
      <c r="Q293" s="19" cm="1">
        <f t="array" ref="Q293">H293*_xlfn.IFS(H293&lt;=350,INDEX('Pliegos Tarifarios (Huechuraba)'!$F:$F,MATCH($B293,'Pliegos Tarifarios (Huechuraba)'!$A:$A,0)),H293&lt;=500,INDEX('Pliegos Tarifarios (Huechuraba)'!$G:$G,MATCH($B293,'Pliegos Tarifarios (Huechuraba)'!$A:$A,0)),H293&lt;=1000,INDEX('Pliegos Tarifarios (Huechuraba)'!$H:$H,MATCH($B293,'Pliegos Tarifarios (Huechuraba)'!$A:$A,0)),H293&lt;=5000,INDEX('Pliegos Tarifarios (Huechuraba)'!$I:$I,MATCH($B293,'Pliegos Tarifarios (Huechuraba)'!$A:$A,0)),H293&gt;5000,INDEX('Pliegos Tarifarios (Huechuraba)'!$J:$J,MATCH($B293,'Pliegos Tarifarios (Huechuraba)'!$A:$A,0)))/1.19</f>
        <v>3211.049201680672</v>
      </c>
      <c r="R293" s="19">
        <f>INDEX('Pliegos Tarifarios (Huechuraba)'!$K:$K,MATCH($B293,'Pliegos Tarifarios (Huechuraba)'!$A:$A,0))</f>
        <v>724.74800000000005</v>
      </c>
      <c r="S293" s="36">
        <f t="shared" si="12"/>
        <v>197134.69371168065</v>
      </c>
      <c r="T293" s="36">
        <f t="shared" si="13"/>
        <v>37455.591805219323</v>
      </c>
      <c r="U293" s="19">
        <v>0</v>
      </c>
      <c r="V293" s="36">
        <f t="shared" si="14"/>
        <v>234590.28551689998</v>
      </c>
    </row>
    <row r="294" spans="1:22" ht="23.4" thickBot="1" x14ac:dyDescent="0.35">
      <c r="A294" s="30" t="s">
        <v>148</v>
      </c>
      <c r="B294" s="31">
        <v>6</v>
      </c>
      <c r="C294" s="32" t="s">
        <v>15</v>
      </c>
      <c r="D294" s="31" t="s">
        <v>78</v>
      </c>
      <c r="E294" s="31" t="s">
        <v>76</v>
      </c>
      <c r="F294" s="32" t="s">
        <v>79</v>
      </c>
      <c r="G294" s="31" t="s">
        <v>19</v>
      </c>
      <c r="H294" s="31">
        <v>804.2</v>
      </c>
      <c r="I294" s="31">
        <v>2.23</v>
      </c>
      <c r="J294" s="31">
        <v>2.17</v>
      </c>
      <c r="K294" s="34">
        <v>0.97299999999999998</v>
      </c>
      <c r="L294" s="31">
        <v>25.94</v>
      </c>
      <c r="M294" s="19">
        <f>H294*INDEX('Pliegos Tarifarios (Huechuraba)'!$B:$B,MATCH($B294,'Pliegos Tarifarios (Huechuraba)'!$A:$A,0))</f>
        <v>95569.5196</v>
      </c>
      <c r="N294" s="19">
        <f>I294*INDEX('Pliegos Tarifarios (Huechuraba)'!$C:$C,MATCH($B294,'Pliegos Tarifarios (Huechuraba)'!$A:$A,0))</f>
        <v>7717.0376499999993</v>
      </c>
      <c r="O294" s="19">
        <f>J294*INDEX('Pliegos Tarifarios (Huechuraba)'!$D:$D,MATCH($B294,'Pliegos Tarifarios (Huechuraba)'!$A:$A,0))</f>
        <v>30737.02793</v>
      </c>
      <c r="P294" s="19">
        <f>H294*INDEX('Pliegos Tarifarios (Huechuraba)'!$E:$E,MATCH($B294,'Pliegos Tarifarios (Huechuraba)'!$A:$A,0))</f>
        <v>10399.914400000001</v>
      </c>
      <c r="Q294" s="19" cm="1">
        <f t="array" ref="Q294">H294*_xlfn.IFS(H294&lt;=350,INDEX('Pliegos Tarifarios (Huechuraba)'!$F:$F,MATCH($B294,'Pliegos Tarifarios (Huechuraba)'!$A:$A,0)),H294&lt;=500,INDEX('Pliegos Tarifarios (Huechuraba)'!$G:$G,MATCH($B294,'Pliegos Tarifarios (Huechuraba)'!$A:$A,0)),H294&lt;=1000,INDEX('Pliegos Tarifarios (Huechuraba)'!$H:$H,MATCH($B294,'Pliegos Tarifarios (Huechuraba)'!$A:$A,0)),H294&lt;=5000,INDEX('Pliegos Tarifarios (Huechuraba)'!$I:$I,MATCH($B294,'Pliegos Tarifarios (Huechuraba)'!$A:$A,0)),H294&gt;5000,INDEX('Pliegos Tarifarios (Huechuraba)'!$J:$J,MATCH($B294,'Pliegos Tarifarios (Huechuraba)'!$A:$A,0)))/1.19</f>
        <v>1886.1531092436978</v>
      </c>
      <c r="R294" s="19">
        <f>INDEX('Pliegos Tarifarios (Huechuraba)'!$K:$K,MATCH($B294,'Pliegos Tarifarios (Huechuraba)'!$A:$A,0))</f>
        <v>724.74800000000005</v>
      </c>
      <c r="S294" s="36">
        <f t="shared" si="12"/>
        <v>147034.40068924369</v>
      </c>
      <c r="T294" s="36">
        <f t="shared" si="13"/>
        <v>27936.536130956301</v>
      </c>
      <c r="U294" s="19">
        <v>0</v>
      </c>
      <c r="V294" s="36">
        <f t="shared" si="14"/>
        <v>174970.9368202</v>
      </c>
    </row>
    <row r="295" spans="1:22" ht="23.4" thickBot="1" x14ac:dyDescent="0.35">
      <c r="A295" s="30" t="s">
        <v>148</v>
      </c>
      <c r="B295" s="31">
        <v>6</v>
      </c>
      <c r="C295" s="32" t="s">
        <v>15</v>
      </c>
      <c r="D295" s="31" t="s">
        <v>80</v>
      </c>
      <c r="E295" s="31" t="s">
        <v>81</v>
      </c>
      <c r="F295" s="32" t="s">
        <v>82</v>
      </c>
      <c r="G295" s="31" t="s">
        <v>19</v>
      </c>
      <c r="H295" s="31">
        <v>669.5</v>
      </c>
      <c r="I295" s="31">
        <v>1.9</v>
      </c>
      <c r="J295" s="31">
        <v>1.85</v>
      </c>
      <c r="K295" s="34">
        <v>0.97699999999999998</v>
      </c>
      <c r="L295" s="31">
        <v>21.6</v>
      </c>
      <c r="M295" s="19">
        <f>H295*INDEX('Pliegos Tarifarios (Huechuraba)'!$B:$B,MATCH($B295,'Pliegos Tarifarios (Huechuraba)'!$A:$A,0))</f>
        <v>79562.040999999997</v>
      </c>
      <c r="N295" s="19">
        <f>I295*INDEX('Pliegos Tarifarios (Huechuraba)'!$C:$C,MATCH($B295,'Pliegos Tarifarios (Huechuraba)'!$A:$A,0))</f>
        <v>6575.0544999999993</v>
      </c>
      <c r="O295" s="19">
        <f>J295*INDEX('Pliegos Tarifarios (Huechuraba)'!$D:$D,MATCH($B295,'Pliegos Tarifarios (Huechuraba)'!$A:$A,0))</f>
        <v>26204.378650000002</v>
      </c>
      <c r="P295" s="19">
        <f>H295*INDEX('Pliegos Tarifarios (Huechuraba)'!$E:$E,MATCH($B295,'Pliegos Tarifarios (Huechuraba)'!$A:$A,0))</f>
        <v>8657.9740000000002</v>
      </c>
      <c r="Q295" s="19" cm="1">
        <f t="array" ref="Q295">H295*_xlfn.IFS(H295&lt;=350,INDEX('Pliegos Tarifarios (Huechuraba)'!$F:$F,MATCH($B295,'Pliegos Tarifarios (Huechuraba)'!$A:$A,0)),H295&lt;=500,INDEX('Pliegos Tarifarios (Huechuraba)'!$G:$G,MATCH($B295,'Pliegos Tarifarios (Huechuraba)'!$A:$A,0)),H295&lt;=1000,INDEX('Pliegos Tarifarios (Huechuraba)'!$H:$H,MATCH($B295,'Pliegos Tarifarios (Huechuraba)'!$A:$A,0)),H295&lt;=5000,INDEX('Pliegos Tarifarios (Huechuraba)'!$I:$I,MATCH($B295,'Pliegos Tarifarios (Huechuraba)'!$A:$A,0)),H295&gt;5000,INDEX('Pliegos Tarifarios (Huechuraba)'!$J:$J,MATCH($B295,'Pliegos Tarifarios (Huechuraba)'!$A:$A,0)))/1.19</f>
        <v>1570.2306722689077</v>
      </c>
      <c r="R295" s="19">
        <f>INDEX('Pliegos Tarifarios (Huechuraba)'!$K:$K,MATCH($B295,'Pliegos Tarifarios (Huechuraba)'!$A:$A,0))</f>
        <v>724.74800000000005</v>
      </c>
      <c r="S295" s="36">
        <f t="shared" si="12"/>
        <v>123294.42682226891</v>
      </c>
      <c r="T295" s="36">
        <f t="shared" si="13"/>
        <v>23425.941096231094</v>
      </c>
      <c r="U295" s="19">
        <v>0</v>
      </c>
      <c r="V295" s="36">
        <f t="shared" si="14"/>
        <v>146720.36791850001</v>
      </c>
    </row>
    <row r="296" spans="1:22" ht="23.4" thickBot="1" x14ac:dyDescent="0.35">
      <c r="A296" s="30" t="s">
        <v>148</v>
      </c>
      <c r="B296" s="31">
        <v>6</v>
      </c>
      <c r="C296" s="32" t="s">
        <v>15</v>
      </c>
      <c r="D296" s="31" t="s">
        <v>83</v>
      </c>
      <c r="E296" s="31" t="s">
        <v>81</v>
      </c>
      <c r="F296" s="32" t="s">
        <v>84</v>
      </c>
      <c r="G296" s="31" t="s">
        <v>19</v>
      </c>
      <c r="H296" s="31">
        <v>446.68</v>
      </c>
      <c r="I296" s="31">
        <v>1.26</v>
      </c>
      <c r="J296" s="31">
        <v>1.26</v>
      </c>
      <c r="K296" s="34">
        <v>1</v>
      </c>
      <c r="L296" s="31">
        <v>14.41</v>
      </c>
      <c r="M296" s="19">
        <f>H296*INDEX('Pliegos Tarifarios (Huechuraba)'!$B:$B,MATCH($B296,'Pliegos Tarifarios (Huechuraba)'!$A:$A,0))</f>
        <v>53082.557840000001</v>
      </c>
      <c r="N296" s="19">
        <f>I296*INDEX('Pliegos Tarifarios (Huechuraba)'!$C:$C,MATCH($B296,'Pliegos Tarifarios (Huechuraba)'!$A:$A,0))</f>
        <v>4360.2992999999997</v>
      </c>
      <c r="O296" s="19">
        <f>J296*INDEX('Pliegos Tarifarios (Huechuraba)'!$D:$D,MATCH($B296,'Pliegos Tarifarios (Huechuraba)'!$A:$A,0))</f>
        <v>17847.306540000001</v>
      </c>
      <c r="P296" s="19">
        <f>H296*INDEX('Pliegos Tarifarios (Huechuraba)'!$E:$E,MATCH($B296,'Pliegos Tarifarios (Huechuraba)'!$A:$A,0))</f>
        <v>5776.46576</v>
      </c>
      <c r="Q296" s="19" cm="1">
        <f t="array" ref="Q296">H296*_xlfn.IFS(H296&lt;=350,INDEX('Pliegos Tarifarios (Huechuraba)'!$F:$F,MATCH($B296,'Pliegos Tarifarios (Huechuraba)'!$A:$A,0)),H296&lt;=500,INDEX('Pliegos Tarifarios (Huechuraba)'!$G:$G,MATCH($B296,'Pliegos Tarifarios (Huechuraba)'!$A:$A,0)),H296&lt;=1000,INDEX('Pliegos Tarifarios (Huechuraba)'!$H:$H,MATCH($B296,'Pliegos Tarifarios (Huechuraba)'!$A:$A,0)),H296&lt;=5000,INDEX('Pliegos Tarifarios (Huechuraba)'!$I:$I,MATCH($B296,'Pliegos Tarifarios (Huechuraba)'!$A:$A,0)),H296&gt;5000,INDEX('Pliegos Tarifarios (Huechuraba)'!$J:$J,MATCH($B296,'Pliegos Tarifarios (Huechuraba)'!$A:$A,0)))/1.19</f>
        <v>629.10561344537825</v>
      </c>
      <c r="R296" s="19">
        <f>INDEX('Pliegos Tarifarios (Huechuraba)'!$K:$K,MATCH($B296,'Pliegos Tarifarios (Huechuraba)'!$A:$A,0))</f>
        <v>724.74800000000005</v>
      </c>
      <c r="S296" s="36">
        <f t="shared" si="12"/>
        <v>82420.483053445394</v>
      </c>
      <c r="T296" s="36">
        <f t="shared" si="13"/>
        <v>15659.891780154625</v>
      </c>
      <c r="U296" s="19">
        <v>0</v>
      </c>
      <c r="V296" s="36">
        <f t="shared" si="14"/>
        <v>98080.374833600014</v>
      </c>
    </row>
    <row r="297" spans="1:22" ht="23.4" thickBot="1" x14ac:dyDescent="0.35">
      <c r="A297" s="30" t="s">
        <v>148</v>
      </c>
      <c r="B297" s="31">
        <v>6</v>
      </c>
      <c r="C297" s="32" t="s">
        <v>15</v>
      </c>
      <c r="D297" s="31" t="s">
        <v>85</v>
      </c>
      <c r="E297" s="31" t="s">
        <v>81</v>
      </c>
      <c r="F297" s="32" t="s">
        <v>86</v>
      </c>
      <c r="G297" s="31" t="s">
        <v>19</v>
      </c>
      <c r="H297" s="31">
        <v>535.91</v>
      </c>
      <c r="I297" s="31">
        <v>1.49</v>
      </c>
      <c r="J297" s="31">
        <v>1.48</v>
      </c>
      <c r="K297" s="34">
        <v>0.99</v>
      </c>
      <c r="L297" s="31">
        <v>17.29</v>
      </c>
      <c r="M297" s="19">
        <f>H297*INDEX('Pliegos Tarifarios (Huechuraba)'!$B:$B,MATCH($B297,'Pliegos Tarifarios (Huechuraba)'!$A:$A,0))</f>
        <v>63686.472579999994</v>
      </c>
      <c r="N297" s="19">
        <f>I297*INDEX('Pliegos Tarifarios (Huechuraba)'!$C:$C,MATCH($B297,'Pliegos Tarifarios (Huechuraba)'!$A:$A,0))</f>
        <v>5156.2269499999993</v>
      </c>
      <c r="O297" s="19">
        <f>J297*INDEX('Pliegos Tarifarios (Huechuraba)'!$D:$D,MATCH($B297,'Pliegos Tarifarios (Huechuraba)'!$A:$A,0))</f>
        <v>20963.502919999999</v>
      </c>
      <c r="P297" s="19">
        <f>H297*INDEX('Pliegos Tarifarios (Huechuraba)'!$E:$E,MATCH($B297,'Pliegos Tarifarios (Huechuraba)'!$A:$A,0))</f>
        <v>6930.3881199999996</v>
      </c>
      <c r="Q297" s="19" cm="1">
        <f t="array" ref="Q297">H297*_xlfn.IFS(H297&lt;=350,INDEX('Pliegos Tarifarios (Huechuraba)'!$F:$F,MATCH($B297,'Pliegos Tarifarios (Huechuraba)'!$A:$A,0)),H297&lt;=500,INDEX('Pliegos Tarifarios (Huechuraba)'!$G:$G,MATCH($B297,'Pliegos Tarifarios (Huechuraba)'!$A:$A,0)),H297&lt;=1000,INDEX('Pliegos Tarifarios (Huechuraba)'!$H:$H,MATCH($B297,'Pliegos Tarifarios (Huechuraba)'!$A:$A,0)),H297&lt;=5000,INDEX('Pliegos Tarifarios (Huechuraba)'!$I:$I,MATCH($B297,'Pliegos Tarifarios (Huechuraba)'!$A:$A,0)),H297&gt;5000,INDEX('Pliegos Tarifarios (Huechuraba)'!$J:$J,MATCH($B297,'Pliegos Tarifarios (Huechuraba)'!$A:$A,0)))/1.19</f>
        <v>1256.9116050420171</v>
      </c>
      <c r="R297" s="19">
        <f>INDEX('Pliegos Tarifarios (Huechuraba)'!$K:$K,MATCH($B297,'Pliegos Tarifarios (Huechuraba)'!$A:$A,0))</f>
        <v>724.74800000000005</v>
      </c>
      <c r="S297" s="36">
        <f t="shared" si="12"/>
        <v>98718.25017504202</v>
      </c>
      <c r="T297" s="36">
        <f t="shared" si="13"/>
        <v>18756.467533257983</v>
      </c>
      <c r="U297" s="19">
        <v>0</v>
      </c>
      <c r="V297" s="36">
        <f t="shared" si="14"/>
        <v>117474.7177083</v>
      </c>
    </row>
    <row r="298" spans="1:22" ht="23.4" thickBot="1" x14ac:dyDescent="0.35">
      <c r="A298" s="30" t="s">
        <v>148</v>
      </c>
      <c r="B298" s="31">
        <v>6</v>
      </c>
      <c r="C298" s="32" t="s">
        <v>15</v>
      </c>
      <c r="D298" s="31" t="s">
        <v>87</v>
      </c>
      <c r="E298" s="31" t="s">
        <v>81</v>
      </c>
      <c r="F298" s="32" t="s">
        <v>88</v>
      </c>
      <c r="G298" s="31" t="s">
        <v>19</v>
      </c>
      <c r="H298" s="31">
        <v>535.20000000000005</v>
      </c>
      <c r="I298" s="31">
        <v>1.48</v>
      </c>
      <c r="J298" s="31">
        <v>1.45</v>
      </c>
      <c r="K298" s="34">
        <v>0.97899999999999998</v>
      </c>
      <c r="L298" s="31">
        <v>17.260000000000002</v>
      </c>
      <c r="M298" s="19">
        <f>H298*INDEX('Pliegos Tarifarios (Huechuraba)'!$B:$B,MATCH($B298,'Pliegos Tarifarios (Huechuraba)'!$A:$A,0))</f>
        <v>63602.097600000001</v>
      </c>
      <c r="N298" s="19">
        <f>I298*INDEX('Pliegos Tarifarios (Huechuraba)'!$C:$C,MATCH($B298,'Pliegos Tarifarios (Huechuraba)'!$A:$A,0))</f>
        <v>5121.6214</v>
      </c>
      <c r="O298" s="19">
        <f>J298*INDEX('Pliegos Tarifarios (Huechuraba)'!$D:$D,MATCH($B298,'Pliegos Tarifarios (Huechuraba)'!$A:$A,0))</f>
        <v>20538.567050000001</v>
      </c>
      <c r="P298" s="19">
        <f>H298*INDEX('Pliegos Tarifarios (Huechuraba)'!$E:$E,MATCH($B298,'Pliegos Tarifarios (Huechuraba)'!$A:$A,0))</f>
        <v>6921.2064000000009</v>
      </c>
      <c r="Q298" s="19" cm="1">
        <f t="array" ref="Q298">H298*_xlfn.IFS(H298&lt;=350,INDEX('Pliegos Tarifarios (Huechuraba)'!$F:$F,MATCH($B298,'Pliegos Tarifarios (Huechuraba)'!$A:$A,0)),H298&lt;=500,INDEX('Pliegos Tarifarios (Huechuraba)'!$G:$G,MATCH($B298,'Pliegos Tarifarios (Huechuraba)'!$A:$A,0)),H298&lt;=1000,INDEX('Pliegos Tarifarios (Huechuraba)'!$H:$H,MATCH($B298,'Pliegos Tarifarios (Huechuraba)'!$A:$A,0)),H298&lt;=5000,INDEX('Pliegos Tarifarios (Huechuraba)'!$I:$I,MATCH($B298,'Pliegos Tarifarios (Huechuraba)'!$A:$A,0)),H298&gt;5000,INDEX('Pliegos Tarifarios (Huechuraba)'!$J:$J,MATCH($B298,'Pliegos Tarifarios (Huechuraba)'!$A:$A,0)))/1.19</f>
        <v>1255.2463865546222</v>
      </c>
      <c r="R298" s="19">
        <f>INDEX('Pliegos Tarifarios (Huechuraba)'!$K:$K,MATCH($B298,'Pliegos Tarifarios (Huechuraba)'!$A:$A,0))</f>
        <v>724.74800000000005</v>
      </c>
      <c r="S298" s="36">
        <f t="shared" si="12"/>
        <v>98163.486836554614</v>
      </c>
      <c r="T298" s="36">
        <f t="shared" si="13"/>
        <v>18651.062498945375</v>
      </c>
      <c r="U298" s="19">
        <v>0</v>
      </c>
      <c r="V298" s="36">
        <f t="shared" si="14"/>
        <v>116814.54933549999</v>
      </c>
    </row>
    <row r="299" spans="1:22" ht="23.4" thickBot="1" x14ac:dyDescent="0.35">
      <c r="A299" s="30" t="s">
        <v>148</v>
      </c>
      <c r="B299" s="31">
        <v>6</v>
      </c>
      <c r="C299" s="32" t="s">
        <v>15</v>
      </c>
      <c r="D299" s="31" t="s">
        <v>89</v>
      </c>
      <c r="E299" s="31" t="s">
        <v>81</v>
      </c>
      <c r="F299" s="32" t="s">
        <v>90</v>
      </c>
      <c r="G299" s="31" t="s">
        <v>19</v>
      </c>
      <c r="H299" s="31">
        <v>535.53</v>
      </c>
      <c r="I299" s="31">
        <v>1.5</v>
      </c>
      <c r="J299" s="31">
        <v>1.5</v>
      </c>
      <c r="K299" s="34">
        <v>1</v>
      </c>
      <c r="L299" s="31">
        <v>17.28</v>
      </c>
      <c r="M299" s="19">
        <f>H299*INDEX('Pliegos Tarifarios (Huechuraba)'!$B:$B,MATCH($B299,'Pliegos Tarifarios (Huechuraba)'!$A:$A,0))</f>
        <v>63641.314139999995</v>
      </c>
      <c r="N299" s="19">
        <f>I299*INDEX('Pliegos Tarifarios (Huechuraba)'!$C:$C,MATCH($B299,'Pliegos Tarifarios (Huechuraba)'!$A:$A,0))</f>
        <v>5190.8324999999995</v>
      </c>
      <c r="O299" s="19">
        <f>J299*INDEX('Pliegos Tarifarios (Huechuraba)'!$D:$D,MATCH($B299,'Pliegos Tarifarios (Huechuraba)'!$A:$A,0))</f>
        <v>21246.7935</v>
      </c>
      <c r="P299" s="19">
        <f>H299*INDEX('Pliegos Tarifarios (Huechuraba)'!$E:$E,MATCH($B299,'Pliegos Tarifarios (Huechuraba)'!$A:$A,0))</f>
        <v>6925.4739600000003</v>
      </c>
      <c r="Q299" s="19" cm="1">
        <f t="array" ref="Q299">H299*_xlfn.IFS(H299&lt;=350,INDEX('Pliegos Tarifarios (Huechuraba)'!$F:$F,MATCH($B299,'Pliegos Tarifarios (Huechuraba)'!$A:$A,0)),H299&lt;=500,INDEX('Pliegos Tarifarios (Huechuraba)'!$G:$G,MATCH($B299,'Pliegos Tarifarios (Huechuraba)'!$A:$A,0)),H299&lt;=1000,INDEX('Pliegos Tarifarios (Huechuraba)'!$H:$H,MATCH($B299,'Pliegos Tarifarios (Huechuraba)'!$A:$A,0)),H299&lt;=5000,INDEX('Pliegos Tarifarios (Huechuraba)'!$I:$I,MATCH($B299,'Pliegos Tarifarios (Huechuraba)'!$A:$A,0)),H299&gt;5000,INDEX('Pliegos Tarifarios (Huechuraba)'!$J:$J,MATCH($B299,'Pliegos Tarifarios (Huechuraba)'!$A:$A,0)))/1.19</f>
        <v>1256.0203613445378</v>
      </c>
      <c r="R299" s="19">
        <f>INDEX('Pliegos Tarifarios (Huechuraba)'!$K:$K,MATCH($B299,'Pliegos Tarifarios (Huechuraba)'!$A:$A,0))</f>
        <v>724.74800000000005</v>
      </c>
      <c r="S299" s="36">
        <f t="shared" si="12"/>
        <v>98985.182461344535</v>
      </c>
      <c r="T299" s="36">
        <f t="shared" si="13"/>
        <v>18807.184667655463</v>
      </c>
      <c r="U299" s="19">
        <v>0</v>
      </c>
      <c r="V299" s="36">
        <f t="shared" si="14"/>
        <v>117792.36712899999</v>
      </c>
    </row>
    <row r="300" spans="1:22" ht="23.4" thickBot="1" x14ac:dyDescent="0.35">
      <c r="A300" s="30" t="s">
        <v>148</v>
      </c>
      <c r="B300" s="31">
        <v>6</v>
      </c>
      <c r="C300" s="32" t="s">
        <v>15</v>
      </c>
      <c r="D300" s="31" t="s">
        <v>91</v>
      </c>
      <c r="E300" s="31" t="s">
        <v>81</v>
      </c>
      <c r="F300" s="32" t="s">
        <v>92</v>
      </c>
      <c r="G300" s="31" t="s">
        <v>19</v>
      </c>
      <c r="H300" s="31">
        <v>668.53</v>
      </c>
      <c r="I300" s="31">
        <v>1.97</v>
      </c>
      <c r="J300" s="31">
        <v>1.82</v>
      </c>
      <c r="K300" s="34">
        <v>0.92600000000000005</v>
      </c>
      <c r="L300" s="31">
        <v>21.57</v>
      </c>
      <c r="M300" s="19">
        <f>H300*INDEX('Pliegos Tarifarios (Huechuraba)'!$B:$B,MATCH($B300,'Pliegos Tarifarios (Huechuraba)'!$A:$A,0))</f>
        <v>79446.768139999986</v>
      </c>
      <c r="N300" s="19">
        <f>I300*INDEX('Pliegos Tarifarios (Huechuraba)'!$C:$C,MATCH($B300,'Pliegos Tarifarios (Huechuraba)'!$A:$A,0))</f>
        <v>6817.2933499999999</v>
      </c>
      <c r="O300" s="19">
        <f>J300*INDEX('Pliegos Tarifarios (Huechuraba)'!$D:$D,MATCH($B300,'Pliegos Tarifarios (Huechuraba)'!$A:$A,0))</f>
        <v>25779.442780000001</v>
      </c>
      <c r="P300" s="19">
        <f>H300*INDEX('Pliegos Tarifarios (Huechuraba)'!$E:$E,MATCH($B300,'Pliegos Tarifarios (Huechuraba)'!$A:$A,0))</f>
        <v>8645.4299599999995</v>
      </c>
      <c r="Q300" s="19" cm="1">
        <f t="array" ref="Q300">H300*_xlfn.IFS(H300&lt;=350,INDEX('Pliegos Tarifarios (Huechuraba)'!$F:$F,MATCH($B300,'Pliegos Tarifarios (Huechuraba)'!$A:$A,0)),H300&lt;=500,INDEX('Pliegos Tarifarios (Huechuraba)'!$G:$G,MATCH($B300,'Pliegos Tarifarios (Huechuraba)'!$A:$A,0)),H300&lt;=1000,INDEX('Pliegos Tarifarios (Huechuraba)'!$H:$H,MATCH($B300,'Pliegos Tarifarios (Huechuraba)'!$A:$A,0)),H300&lt;=5000,INDEX('Pliegos Tarifarios (Huechuraba)'!$I:$I,MATCH($B300,'Pliegos Tarifarios (Huechuraba)'!$A:$A,0)),H300&gt;5000,INDEX('Pliegos Tarifarios (Huechuraba)'!$J:$J,MATCH($B300,'Pliegos Tarifarios (Huechuraba)'!$A:$A,0)))/1.19</f>
        <v>1567.955655462185</v>
      </c>
      <c r="R300" s="19">
        <f>INDEX('Pliegos Tarifarios (Huechuraba)'!$K:$K,MATCH($B300,'Pliegos Tarifarios (Huechuraba)'!$A:$A,0))</f>
        <v>724.74800000000005</v>
      </c>
      <c r="S300" s="36">
        <f t="shared" si="12"/>
        <v>122981.63788546217</v>
      </c>
      <c r="T300" s="36">
        <f t="shared" si="13"/>
        <v>23366.511198237815</v>
      </c>
      <c r="U300" s="19">
        <v>0</v>
      </c>
      <c r="V300" s="36">
        <f t="shared" si="14"/>
        <v>146348.14908369997</v>
      </c>
    </row>
    <row r="301" spans="1:22" ht="23.4" thickBot="1" x14ac:dyDescent="0.35">
      <c r="A301" s="30" t="s">
        <v>148</v>
      </c>
      <c r="B301" s="31">
        <v>6</v>
      </c>
      <c r="C301" s="32" t="s">
        <v>15</v>
      </c>
      <c r="D301" s="31" t="s">
        <v>93</v>
      </c>
      <c r="E301" s="31" t="s">
        <v>94</v>
      </c>
      <c r="F301" s="32" t="s">
        <v>95</v>
      </c>
      <c r="G301" s="31" t="s">
        <v>19</v>
      </c>
      <c r="H301" s="31">
        <v>533.44000000000005</v>
      </c>
      <c r="I301" s="31">
        <v>1.54</v>
      </c>
      <c r="J301" s="31">
        <v>1.46</v>
      </c>
      <c r="K301" s="34">
        <v>0.94799999999999995</v>
      </c>
      <c r="L301" s="31">
        <v>17.21</v>
      </c>
      <c r="M301" s="19">
        <f>H301*INDEX('Pliegos Tarifarios (Huechuraba)'!$B:$B,MATCH($B301,'Pliegos Tarifarios (Huechuraba)'!$A:$A,0))</f>
        <v>63392.942720000006</v>
      </c>
      <c r="N301" s="19">
        <f>I301*INDEX('Pliegos Tarifarios (Huechuraba)'!$C:$C,MATCH($B301,'Pliegos Tarifarios (Huechuraba)'!$A:$A,0))</f>
        <v>5329.2546999999995</v>
      </c>
      <c r="O301" s="19">
        <f>J301*INDEX('Pliegos Tarifarios (Huechuraba)'!$D:$D,MATCH($B301,'Pliegos Tarifarios (Huechuraba)'!$A:$A,0))</f>
        <v>20680.212340000002</v>
      </c>
      <c r="P301" s="19">
        <f>H301*INDEX('Pliegos Tarifarios (Huechuraba)'!$E:$E,MATCH($B301,'Pliegos Tarifarios (Huechuraba)'!$A:$A,0))</f>
        <v>6898.4460800000006</v>
      </c>
      <c r="Q301" s="19" cm="1">
        <f t="array" ref="Q301">H301*_xlfn.IFS(H301&lt;=350,INDEX('Pliegos Tarifarios (Huechuraba)'!$F:$F,MATCH($B301,'Pliegos Tarifarios (Huechuraba)'!$A:$A,0)),H301&lt;=500,INDEX('Pliegos Tarifarios (Huechuraba)'!$G:$G,MATCH($B301,'Pliegos Tarifarios (Huechuraba)'!$A:$A,0)),H301&lt;=1000,INDEX('Pliegos Tarifarios (Huechuraba)'!$H:$H,MATCH($B301,'Pliegos Tarifarios (Huechuraba)'!$A:$A,0)),H301&lt;=5000,INDEX('Pliegos Tarifarios (Huechuraba)'!$I:$I,MATCH($B301,'Pliegos Tarifarios (Huechuraba)'!$A:$A,0)),H301&gt;5000,INDEX('Pliegos Tarifarios (Huechuraba)'!$J:$J,MATCH($B301,'Pliegos Tarifarios (Huechuraba)'!$A:$A,0)))/1.19</f>
        <v>1251.1185210084036</v>
      </c>
      <c r="R301" s="19">
        <f>INDEX('Pliegos Tarifarios (Huechuraba)'!$K:$K,MATCH($B301,'Pliegos Tarifarios (Huechuraba)'!$A:$A,0))</f>
        <v>724.74800000000005</v>
      </c>
      <c r="S301" s="36">
        <f t="shared" si="12"/>
        <v>98276.722361008418</v>
      </c>
      <c r="T301" s="36">
        <f t="shared" si="13"/>
        <v>18672.577248591599</v>
      </c>
      <c r="U301" s="19">
        <v>0</v>
      </c>
      <c r="V301" s="36">
        <f t="shared" si="14"/>
        <v>116949.29960960001</v>
      </c>
    </row>
    <row r="302" spans="1:22" ht="23.4" thickBot="1" x14ac:dyDescent="0.35">
      <c r="A302" s="30" t="s">
        <v>148</v>
      </c>
      <c r="B302" s="31">
        <v>6</v>
      </c>
      <c r="C302" s="32" t="s">
        <v>15</v>
      </c>
      <c r="D302" s="31" t="s">
        <v>96</v>
      </c>
      <c r="E302" s="31" t="s">
        <v>97</v>
      </c>
      <c r="F302" s="32" t="s">
        <v>98</v>
      </c>
      <c r="G302" s="31" t="s">
        <v>19</v>
      </c>
      <c r="H302" s="31">
        <v>803.69</v>
      </c>
      <c r="I302" s="31">
        <v>2.2000000000000002</v>
      </c>
      <c r="J302" s="31">
        <v>2.1800000000000002</v>
      </c>
      <c r="K302" s="34">
        <v>0.98799999999999999</v>
      </c>
      <c r="L302" s="31">
        <v>25.93</v>
      </c>
      <c r="M302" s="19">
        <f>H302*INDEX('Pliegos Tarifarios (Huechuraba)'!$B:$B,MATCH($B302,'Pliegos Tarifarios (Huechuraba)'!$A:$A,0))</f>
        <v>95508.912219999998</v>
      </c>
      <c r="N302" s="19">
        <f>I302*INDEX('Pliegos Tarifarios (Huechuraba)'!$C:$C,MATCH($B302,'Pliegos Tarifarios (Huechuraba)'!$A:$A,0))</f>
        <v>7613.2210000000005</v>
      </c>
      <c r="O302" s="19">
        <f>J302*INDEX('Pliegos Tarifarios (Huechuraba)'!$D:$D,MATCH($B302,'Pliegos Tarifarios (Huechuraba)'!$A:$A,0))</f>
        <v>30878.673220000004</v>
      </c>
      <c r="P302" s="19">
        <f>H302*INDEX('Pliegos Tarifarios (Huechuraba)'!$E:$E,MATCH($B302,'Pliegos Tarifarios (Huechuraba)'!$A:$A,0))</f>
        <v>10393.319080000001</v>
      </c>
      <c r="Q302" s="19" cm="1">
        <f t="array" ref="Q302">H302*_xlfn.IFS(H302&lt;=350,INDEX('Pliegos Tarifarios (Huechuraba)'!$F:$F,MATCH($B302,'Pliegos Tarifarios (Huechuraba)'!$A:$A,0)),H302&lt;=500,INDEX('Pliegos Tarifarios (Huechuraba)'!$G:$G,MATCH($B302,'Pliegos Tarifarios (Huechuraba)'!$A:$A,0)),H302&lt;=1000,INDEX('Pliegos Tarifarios (Huechuraba)'!$H:$H,MATCH($B302,'Pliegos Tarifarios (Huechuraba)'!$A:$A,0)),H302&lt;=5000,INDEX('Pliegos Tarifarios (Huechuraba)'!$I:$I,MATCH($B302,'Pliegos Tarifarios (Huechuraba)'!$A:$A,0)),H302&gt;5000,INDEX('Pliegos Tarifarios (Huechuraba)'!$J:$J,MATCH($B302,'Pliegos Tarifarios (Huechuraba)'!$A:$A,0)))/1.19</f>
        <v>1884.956966386555</v>
      </c>
      <c r="R302" s="19">
        <f>INDEX('Pliegos Tarifarios (Huechuraba)'!$K:$K,MATCH($B302,'Pliegos Tarifarios (Huechuraba)'!$A:$A,0))</f>
        <v>724.74800000000005</v>
      </c>
      <c r="S302" s="36">
        <f t="shared" si="12"/>
        <v>147003.83048638655</v>
      </c>
      <c r="T302" s="36">
        <f t="shared" si="13"/>
        <v>27930.727792413443</v>
      </c>
      <c r="U302" s="19">
        <v>0</v>
      </c>
      <c r="V302" s="36">
        <f t="shared" si="14"/>
        <v>174934.55827879999</v>
      </c>
    </row>
    <row r="303" spans="1:22" ht="23.4" thickBot="1" x14ac:dyDescent="0.35">
      <c r="A303" s="30" t="s">
        <v>148</v>
      </c>
      <c r="B303" s="31">
        <v>6</v>
      </c>
      <c r="C303" s="32" t="s">
        <v>15</v>
      </c>
      <c r="D303" s="31" t="s">
        <v>99</v>
      </c>
      <c r="E303" s="31" t="s">
        <v>94</v>
      </c>
      <c r="F303" s="32" t="s">
        <v>100</v>
      </c>
      <c r="G303" s="31" t="s">
        <v>19</v>
      </c>
      <c r="H303" s="31">
        <v>802.47</v>
      </c>
      <c r="I303" s="31">
        <v>2.25</v>
      </c>
      <c r="J303" s="31">
        <v>2.25</v>
      </c>
      <c r="K303" s="34">
        <v>1</v>
      </c>
      <c r="L303" s="31">
        <v>25.89</v>
      </c>
      <c r="M303" s="19">
        <f>H303*INDEX('Pliegos Tarifarios (Huechuraba)'!$B:$B,MATCH($B303,'Pliegos Tarifarios (Huechuraba)'!$A:$A,0))</f>
        <v>95363.929860000004</v>
      </c>
      <c r="N303" s="19">
        <f>I303*INDEX('Pliegos Tarifarios (Huechuraba)'!$C:$C,MATCH($B303,'Pliegos Tarifarios (Huechuraba)'!$A:$A,0))</f>
        <v>7786.2487499999997</v>
      </c>
      <c r="O303" s="19">
        <f>J303*INDEX('Pliegos Tarifarios (Huechuraba)'!$D:$D,MATCH($B303,'Pliegos Tarifarios (Huechuraba)'!$A:$A,0))</f>
        <v>31870.19025</v>
      </c>
      <c r="P303" s="19">
        <f>H303*INDEX('Pliegos Tarifarios (Huechuraba)'!$E:$E,MATCH($B303,'Pliegos Tarifarios (Huechuraba)'!$A:$A,0))</f>
        <v>10377.54204</v>
      </c>
      <c r="Q303" s="19" cm="1">
        <f t="array" ref="Q303">H303*_xlfn.IFS(H303&lt;=350,INDEX('Pliegos Tarifarios (Huechuraba)'!$F:$F,MATCH($B303,'Pliegos Tarifarios (Huechuraba)'!$A:$A,0)),H303&lt;=500,INDEX('Pliegos Tarifarios (Huechuraba)'!$G:$G,MATCH($B303,'Pliegos Tarifarios (Huechuraba)'!$A:$A,0)),H303&lt;=1000,INDEX('Pliegos Tarifarios (Huechuraba)'!$H:$H,MATCH($B303,'Pliegos Tarifarios (Huechuraba)'!$A:$A,0)),H303&lt;=5000,INDEX('Pliegos Tarifarios (Huechuraba)'!$I:$I,MATCH($B303,'Pliegos Tarifarios (Huechuraba)'!$A:$A,0)),H303&gt;5000,INDEX('Pliegos Tarifarios (Huechuraba)'!$J:$J,MATCH($B303,'Pliegos Tarifarios (Huechuraba)'!$A:$A,0)))/1.19</f>
        <v>1882.095605042017</v>
      </c>
      <c r="R303" s="19">
        <f>INDEX('Pliegos Tarifarios (Huechuraba)'!$K:$K,MATCH($B303,'Pliegos Tarifarios (Huechuraba)'!$A:$A,0))</f>
        <v>724.74800000000005</v>
      </c>
      <c r="S303" s="36">
        <f t="shared" si="12"/>
        <v>148004.75450504199</v>
      </c>
      <c r="T303" s="36">
        <f t="shared" si="13"/>
        <v>28120.903355957977</v>
      </c>
      <c r="U303" s="19">
        <v>0</v>
      </c>
      <c r="V303" s="36">
        <f t="shared" si="14"/>
        <v>176125.65786099996</v>
      </c>
    </row>
    <row r="304" spans="1:22" ht="23.4" thickBot="1" x14ac:dyDescent="0.35">
      <c r="A304" s="30" t="s">
        <v>148</v>
      </c>
      <c r="B304" s="31">
        <v>6</v>
      </c>
      <c r="C304" s="32" t="s">
        <v>15</v>
      </c>
      <c r="D304" s="31" t="s">
        <v>101</v>
      </c>
      <c r="E304" s="31" t="s">
        <v>102</v>
      </c>
      <c r="F304" s="32" t="s">
        <v>103</v>
      </c>
      <c r="G304" s="31" t="s">
        <v>19</v>
      </c>
      <c r="H304" s="33">
        <v>2141.04</v>
      </c>
      <c r="I304" s="31">
        <v>6.07</v>
      </c>
      <c r="J304" s="31">
        <v>6</v>
      </c>
      <c r="K304" s="34">
        <v>0.98899999999999999</v>
      </c>
      <c r="L304" s="31">
        <v>69.069999999999993</v>
      </c>
      <c r="M304" s="19">
        <f>H304*INDEX('Pliegos Tarifarios (Huechuraba)'!$B:$B,MATCH($B304,'Pliegos Tarifarios (Huechuraba)'!$A:$A,0))</f>
        <v>254436.91151999999</v>
      </c>
      <c r="N304" s="19">
        <f>I304*INDEX('Pliegos Tarifarios (Huechuraba)'!$C:$C,MATCH($B304,'Pliegos Tarifarios (Huechuraba)'!$A:$A,0))</f>
        <v>21005.56885</v>
      </c>
      <c r="O304" s="19">
        <f>J304*INDEX('Pliegos Tarifarios (Huechuraba)'!$D:$D,MATCH($B304,'Pliegos Tarifarios (Huechuraba)'!$A:$A,0))</f>
        <v>84987.173999999999</v>
      </c>
      <c r="P304" s="19">
        <f>H304*INDEX('Pliegos Tarifarios (Huechuraba)'!$E:$E,MATCH($B304,'Pliegos Tarifarios (Huechuraba)'!$A:$A,0))</f>
        <v>27687.92928</v>
      </c>
      <c r="Q304" s="19" cm="1">
        <f t="array" ref="Q304">H304*_xlfn.IFS(H304&lt;=350,INDEX('Pliegos Tarifarios (Huechuraba)'!$F:$F,MATCH($B304,'Pliegos Tarifarios (Huechuraba)'!$A:$A,0)),H304&lt;=500,INDEX('Pliegos Tarifarios (Huechuraba)'!$G:$G,MATCH($B304,'Pliegos Tarifarios (Huechuraba)'!$A:$A,0)),H304&lt;=1000,INDEX('Pliegos Tarifarios (Huechuraba)'!$H:$H,MATCH($B304,'Pliegos Tarifarios (Huechuraba)'!$A:$A,0)),H304&lt;=5000,INDEX('Pliegos Tarifarios (Huechuraba)'!$I:$I,MATCH($B304,'Pliegos Tarifarios (Huechuraba)'!$A:$A,0)),H304&gt;5000,INDEX('Pliegos Tarifarios (Huechuraba)'!$J:$J,MATCH($B304,'Pliegos Tarifarios (Huechuraba)'!$A:$A,0)))/1.19</f>
        <v>6424.9191932773101</v>
      </c>
      <c r="R304" s="19">
        <f>INDEX('Pliegos Tarifarios (Huechuraba)'!$K:$K,MATCH($B304,'Pliegos Tarifarios (Huechuraba)'!$A:$A,0))</f>
        <v>724.74800000000005</v>
      </c>
      <c r="S304" s="36">
        <f t="shared" si="12"/>
        <v>395267.25084327732</v>
      </c>
      <c r="T304" s="36">
        <f t="shared" si="13"/>
        <v>75100.777660222695</v>
      </c>
      <c r="U304" s="19">
        <v>0</v>
      </c>
      <c r="V304" s="36">
        <f t="shared" si="14"/>
        <v>470368.02850350004</v>
      </c>
    </row>
    <row r="305" spans="1:22" ht="23.4" thickBot="1" x14ac:dyDescent="0.35">
      <c r="A305" s="30" t="s">
        <v>148</v>
      </c>
      <c r="B305" s="31">
        <v>6</v>
      </c>
      <c r="C305" s="32" t="s">
        <v>15</v>
      </c>
      <c r="D305" s="31" t="s">
        <v>104</v>
      </c>
      <c r="E305" s="31" t="s">
        <v>105</v>
      </c>
      <c r="F305" s="32" t="s">
        <v>106</v>
      </c>
      <c r="G305" s="31" t="s">
        <v>19</v>
      </c>
      <c r="H305" s="33">
        <v>1606.11</v>
      </c>
      <c r="I305" s="31">
        <v>4.4400000000000004</v>
      </c>
      <c r="J305" s="31">
        <v>4.4400000000000004</v>
      </c>
      <c r="K305" s="34">
        <v>1</v>
      </c>
      <c r="L305" s="31">
        <v>51.81</v>
      </c>
      <c r="M305" s="19">
        <f>H305*INDEX('Pliegos Tarifarios (Huechuraba)'!$B:$B,MATCH($B305,'Pliegos Tarifarios (Huechuraba)'!$A:$A,0))</f>
        <v>190866.90017999997</v>
      </c>
      <c r="N305" s="19">
        <f>I305*INDEX('Pliegos Tarifarios (Huechuraba)'!$C:$C,MATCH($B305,'Pliegos Tarifarios (Huechuraba)'!$A:$A,0))</f>
        <v>15364.8642</v>
      </c>
      <c r="O305" s="19">
        <f>J305*INDEX('Pliegos Tarifarios (Huechuraba)'!$D:$D,MATCH($B305,'Pliegos Tarifarios (Huechuraba)'!$A:$A,0))</f>
        <v>62890.508760000004</v>
      </c>
      <c r="P305" s="19">
        <f>H305*INDEX('Pliegos Tarifarios (Huechuraba)'!$E:$E,MATCH($B305,'Pliegos Tarifarios (Huechuraba)'!$A:$A,0))</f>
        <v>20770.214519999998</v>
      </c>
      <c r="Q305" s="19" cm="1">
        <f t="array" ref="Q305">H305*_xlfn.IFS(H305&lt;=350,INDEX('Pliegos Tarifarios (Huechuraba)'!$F:$F,MATCH($B305,'Pliegos Tarifarios (Huechuraba)'!$A:$A,0)),H305&lt;=500,INDEX('Pliegos Tarifarios (Huechuraba)'!$G:$G,MATCH($B305,'Pliegos Tarifarios (Huechuraba)'!$A:$A,0)),H305&lt;=1000,INDEX('Pliegos Tarifarios (Huechuraba)'!$H:$H,MATCH($B305,'Pliegos Tarifarios (Huechuraba)'!$A:$A,0)),H305&lt;=5000,INDEX('Pliegos Tarifarios (Huechuraba)'!$I:$I,MATCH($B305,'Pliegos Tarifarios (Huechuraba)'!$A:$A,0)),H305&gt;5000,INDEX('Pliegos Tarifarios (Huechuraba)'!$J:$J,MATCH($B305,'Pliegos Tarifarios (Huechuraba)'!$A:$A,0)))/1.19</f>
        <v>4819.6796722689069</v>
      </c>
      <c r="R305" s="19">
        <f>INDEX('Pliegos Tarifarios (Huechuraba)'!$K:$K,MATCH($B305,'Pliegos Tarifarios (Huechuraba)'!$A:$A,0))</f>
        <v>724.74800000000005</v>
      </c>
      <c r="S305" s="36">
        <f t="shared" si="12"/>
        <v>295436.91533226892</v>
      </c>
      <c r="T305" s="36">
        <f t="shared" si="13"/>
        <v>56133.013913131093</v>
      </c>
      <c r="U305" s="19">
        <v>0</v>
      </c>
      <c r="V305" s="36">
        <f t="shared" si="14"/>
        <v>351569.92924540001</v>
      </c>
    </row>
    <row r="306" spans="1:22" ht="23.4" thickBot="1" x14ac:dyDescent="0.35">
      <c r="A306" s="30" t="s">
        <v>148</v>
      </c>
      <c r="B306" s="31">
        <v>6</v>
      </c>
      <c r="C306" s="32" t="s">
        <v>15</v>
      </c>
      <c r="D306" s="31" t="s">
        <v>107</v>
      </c>
      <c r="E306" s="31" t="s">
        <v>108</v>
      </c>
      <c r="F306" s="32" t="s">
        <v>109</v>
      </c>
      <c r="G306" s="31" t="s">
        <v>33</v>
      </c>
      <c r="H306" s="31">
        <v>534.88</v>
      </c>
      <c r="I306" s="31">
        <v>1.48</v>
      </c>
      <c r="J306" s="31">
        <v>1.48</v>
      </c>
      <c r="K306" s="34">
        <v>0.999</v>
      </c>
      <c r="L306" s="31">
        <v>17.25</v>
      </c>
      <c r="M306" s="19">
        <f>H306*INDEX('Pliegos Tarifarios (Huechuraba)'!$B:$B,MATCH($B306,'Pliegos Tarifarios (Huechuraba)'!$A:$A,0))</f>
        <v>63564.069439999999</v>
      </c>
      <c r="N306" s="19">
        <f>I306*INDEX('Pliegos Tarifarios (Huechuraba)'!$C:$C,MATCH($B306,'Pliegos Tarifarios (Huechuraba)'!$A:$A,0))</f>
        <v>5121.6214</v>
      </c>
      <c r="O306" s="19">
        <f>J306*INDEX('Pliegos Tarifarios (Huechuraba)'!$D:$D,MATCH($B306,'Pliegos Tarifarios (Huechuraba)'!$A:$A,0))</f>
        <v>20963.502919999999</v>
      </c>
      <c r="P306" s="19">
        <f>H306*INDEX('Pliegos Tarifarios (Huechuraba)'!$E:$E,MATCH($B306,'Pliegos Tarifarios (Huechuraba)'!$A:$A,0))</f>
        <v>6917.0681599999998</v>
      </c>
      <c r="Q306" s="19" cm="1">
        <f t="array" ref="Q306">H306*_xlfn.IFS(H306&lt;=350,INDEX('Pliegos Tarifarios (Huechuraba)'!$F:$F,MATCH($B306,'Pliegos Tarifarios (Huechuraba)'!$A:$A,0)),H306&lt;=500,INDEX('Pliegos Tarifarios (Huechuraba)'!$G:$G,MATCH($B306,'Pliegos Tarifarios (Huechuraba)'!$A:$A,0)),H306&lt;=1000,INDEX('Pliegos Tarifarios (Huechuraba)'!$H:$H,MATCH($B306,'Pliegos Tarifarios (Huechuraba)'!$A:$A,0)),H306&lt;=5000,INDEX('Pliegos Tarifarios (Huechuraba)'!$I:$I,MATCH($B306,'Pliegos Tarifarios (Huechuraba)'!$A:$A,0)),H306&gt;5000,INDEX('Pliegos Tarifarios (Huechuraba)'!$J:$J,MATCH($B306,'Pliegos Tarifarios (Huechuraba)'!$A:$A,0)))/1.19</f>
        <v>1254.4958655462187</v>
      </c>
      <c r="R306" s="19">
        <f>INDEX('Pliegos Tarifarios (Huechuraba)'!$K:$K,MATCH($B306,'Pliegos Tarifarios (Huechuraba)'!$A:$A,0))</f>
        <v>724.74800000000005</v>
      </c>
      <c r="S306" s="36">
        <f t="shared" si="12"/>
        <v>98545.505785546222</v>
      </c>
      <c r="T306" s="36">
        <f t="shared" si="13"/>
        <v>18723.646099253783</v>
      </c>
      <c r="U306" s="19">
        <v>0</v>
      </c>
      <c r="V306" s="36">
        <f t="shared" si="14"/>
        <v>117269.1518848</v>
      </c>
    </row>
    <row r="307" spans="1:22" ht="23.4" thickBot="1" x14ac:dyDescent="0.35">
      <c r="A307" s="30" t="s">
        <v>148</v>
      </c>
      <c r="B307" s="31">
        <v>6</v>
      </c>
      <c r="C307" s="32" t="s">
        <v>15</v>
      </c>
      <c r="D307" s="31" t="s">
        <v>110</v>
      </c>
      <c r="E307" s="31" t="s">
        <v>108</v>
      </c>
      <c r="F307" s="32" t="s">
        <v>111</v>
      </c>
      <c r="G307" s="31" t="s">
        <v>33</v>
      </c>
      <c r="H307" s="31">
        <v>980.11</v>
      </c>
      <c r="I307" s="31">
        <v>2.78</v>
      </c>
      <c r="J307" s="31">
        <v>2.73</v>
      </c>
      <c r="K307" s="34">
        <v>0.98199999999999998</v>
      </c>
      <c r="L307" s="31">
        <v>31.62</v>
      </c>
      <c r="M307" s="19">
        <f>H307*INDEX('Pliegos Tarifarios (Huechuraba)'!$B:$B,MATCH($B307,'Pliegos Tarifarios (Huechuraba)'!$A:$A,0))</f>
        <v>116474.31217999999</v>
      </c>
      <c r="N307" s="19">
        <f>I307*INDEX('Pliegos Tarifarios (Huechuraba)'!$C:$C,MATCH($B307,'Pliegos Tarifarios (Huechuraba)'!$A:$A,0))</f>
        <v>9620.3428999999996</v>
      </c>
      <c r="O307" s="19">
        <f>J307*INDEX('Pliegos Tarifarios (Huechuraba)'!$D:$D,MATCH($B307,'Pliegos Tarifarios (Huechuraba)'!$A:$A,0))</f>
        <v>38669.164170000004</v>
      </c>
      <c r="P307" s="19">
        <f>H307*INDEX('Pliegos Tarifarios (Huechuraba)'!$E:$E,MATCH($B307,'Pliegos Tarifarios (Huechuraba)'!$A:$A,0))</f>
        <v>12674.782520000001</v>
      </c>
      <c r="Q307" s="19" cm="1">
        <f t="array" ref="Q307">H307*_xlfn.IFS(H307&lt;=350,INDEX('Pliegos Tarifarios (Huechuraba)'!$F:$F,MATCH($B307,'Pliegos Tarifarios (Huechuraba)'!$A:$A,0)),H307&lt;=500,INDEX('Pliegos Tarifarios (Huechuraba)'!$G:$G,MATCH($B307,'Pliegos Tarifarios (Huechuraba)'!$A:$A,0)),H307&lt;=1000,INDEX('Pliegos Tarifarios (Huechuraba)'!$H:$H,MATCH($B307,'Pliegos Tarifarios (Huechuraba)'!$A:$A,0)),H307&lt;=5000,INDEX('Pliegos Tarifarios (Huechuraba)'!$I:$I,MATCH($B307,'Pliegos Tarifarios (Huechuraba)'!$A:$A,0)),H307&gt;5000,INDEX('Pliegos Tarifarios (Huechuraba)'!$J:$J,MATCH($B307,'Pliegos Tarifarios (Huechuraba)'!$A:$A,0)))/1.19</f>
        <v>2298.7285798319331</v>
      </c>
      <c r="R307" s="19">
        <f>INDEX('Pliegos Tarifarios (Huechuraba)'!$K:$K,MATCH($B307,'Pliegos Tarifarios (Huechuraba)'!$A:$A,0))</f>
        <v>724.74800000000005</v>
      </c>
      <c r="S307" s="36">
        <f t="shared" si="12"/>
        <v>180462.07834983192</v>
      </c>
      <c r="T307" s="36">
        <f t="shared" si="13"/>
        <v>34287.794886468066</v>
      </c>
      <c r="U307" s="19">
        <v>0</v>
      </c>
      <c r="V307" s="36">
        <f t="shared" si="14"/>
        <v>214749.87323629999</v>
      </c>
    </row>
    <row r="308" spans="1:22" ht="23.4" thickBot="1" x14ac:dyDescent="0.35">
      <c r="A308" s="30" t="s">
        <v>148</v>
      </c>
      <c r="B308" s="31">
        <v>6</v>
      </c>
      <c r="C308" s="32" t="s">
        <v>15</v>
      </c>
      <c r="D308" s="31" t="s">
        <v>112</v>
      </c>
      <c r="E308" s="31" t="s">
        <v>113</v>
      </c>
      <c r="F308" s="32" t="s">
        <v>114</v>
      </c>
      <c r="G308" s="31" t="s">
        <v>33</v>
      </c>
      <c r="H308" s="31">
        <v>356.61</v>
      </c>
      <c r="I308" s="31">
        <v>0.99</v>
      </c>
      <c r="J308" s="31">
        <v>0.99</v>
      </c>
      <c r="K308" s="34">
        <v>0.99199999999999999</v>
      </c>
      <c r="L308" s="31">
        <v>11.5</v>
      </c>
      <c r="M308" s="19">
        <f>H308*INDEX('Pliegos Tarifarios (Huechuraba)'!$B:$B,MATCH($B308,'Pliegos Tarifarios (Huechuraba)'!$A:$A,0))</f>
        <v>42378.819179999999</v>
      </c>
      <c r="N308" s="19">
        <f>I308*INDEX('Pliegos Tarifarios (Huechuraba)'!$C:$C,MATCH($B308,'Pliegos Tarifarios (Huechuraba)'!$A:$A,0))</f>
        <v>3425.9494499999996</v>
      </c>
      <c r="O308" s="19">
        <f>J308*INDEX('Pliegos Tarifarios (Huechuraba)'!$D:$D,MATCH($B308,'Pliegos Tarifarios (Huechuraba)'!$A:$A,0))</f>
        <v>14022.88371</v>
      </c>
      <c r="P308" s="19">
        <f>H308*INDEX('Pliegos Tarifarios (Huechuraba)'!$E:$E,MATCH($B308,'Pliegos Tarifarios (Huechuraba)'!$A:$A,0))</f>
        <v>4611.6805199999999</v>
      </c>
      <c r="Q308" s="19" cm="1">
        <f t="array" ref="Q308">H308*_xlfn.IFS(H308&lt;=350,INDEX('Pliegos Tarifarios (Huechuraba)'!$F:$F,MATCH($B308,'Pliegos Tarifarios (Huechuraba)'!$A:$A,0)),H308&lt;=500,INDEX('Pliegos Tarifarios (Huechuraba)'!$G:$G,MATCH($B308,'Pliegos Tarifarios (Huechuraba)'!$A:$A,0)),H308&lt;=1000,INDEX('Pliegos Tarifarios (Huechuraba)'!$H:$H,MATCH($B308,'Pliegos Tarifarios (Huechuraba)'!$A:$A,0)),H308&lt;=5000,INDEX('Pliegos Tarifarios (Huechuraba)'!$I:$I,MATCH($B308,'Pliegos Tarifarios (Huechuraba)'!$A:$A,0)),H308&gt;5000,INDEX('Pliegos Tarifarios (Huechuraba)'!$J:$J,MATCH($B308,'Pliegos Tarifarios (Huechuraba)'!$A:$A,0)))/1.19</f>
        <v>502.25072268907576</v>
      </c>
      <c r="R308" s="19">
        <f>INDEX('Pliegos Tarifarios (Huechuraba)'!$K:$K,MATCH($B308,'Pliegos Tarifarios (Huechuraba)'!$A:$A,0))</f>
        <v>724.74800000000005</v>
      </c>
      <c r="S308" s="36">
        <f t="shared" si="12"/>
        <v>65666.331582689076</v>
      </c>
      <c r="T308" s="36">
        <f t="shared" si="13"/>
        <v>12476.603000710924</v>
      </c>
      <c r="U308" s="19">
        <v>0</v>
      </c>
      <c r="V308" s="36">
        <f t="shared" si="14"/>
        <v>78142.934583399998</v>
      </c>
    </row>
    <row r="309" spans="1:22" ht="23.4" thickBot="1" x14ac:dyDescent="0.35">
      <c r="A309" s="30" t="s">
        <v>148</v>
      </c>
      <c r="B309" s="31">
        <v>6</v>
      </c>
      <c r="C309" s="32" t="s">
        <v>15</v>
      </c>
      <c r="D309" s="31" t="s">
        <v>115</v>
      </c>
      <c r="E309" s="31" t="s">
        <v>116</v>
      </c>
      <c r="F309" s="32" t="s">
        <v>117</v>
      </c>
      <c r="G309" s="31" t="s">
        <v>33</v>
      </c>
      <c r="H309" s="31">
        <v>400.56</v>
      </c>
      <c r="I309" s="31">
        <v>1.1399999999999999</v>
      </c>
      <c r="J309" s="31">
        <v>1.1100000000000001</v>
      </c>
      <c r="K309" s="34">
        <v>0.97499999999999998</v>
      </c>
      <c r="L309" s="31">
        <v>12.92</v>
      </c>
      <c r="M309" s="19">
        <f>H309*INDEX('Pliegos Tarifarios (Huechuraba)'!$B:$B,MATCH($B309,'Pliegos Tarifarios (Huechuraba)'!$A:$A,0))</f>
        <v>47601.749279999996</v>
      </c>
      <c r="N309" s="19">
        <f>I309*INDEX('Pliegos Tarifarios (Huechuraba)'!$C:$C,MATCH($B309,'Pliegos Tarifarios (Huechuraba)'!$A:$A,0))</f>
        <v>3945.0326999999993</v>
      </c>
      <c r="O309" s="19">
        <f>J309*INDEX('Pliegos Tarifarios (Huechuraba)'!$D:$D,MATCH($B309,'Pliegos Tarifarios (Huechuraba)'!$A:$A,0))</f>
        <v>15722.627190000001</v>
      </c>
      <c r="P309" s="19">
        <f>H309*INDEX('Pliegos Tarifarios (Huechuraba)'!$E:$E,MATCH($B309,'Pliegos Tarifarios (Huechuraba)'!$A:$A,0))</f>
        <v>5180.0419200000006</v>
      </c>
      <c r="Q309" s="19" cm="1">
        <f t="array" ref="Q309">H309*_xlfn.IFS(H309&lt;=350,INDEX('Pliegos Tarifarios (Huechuraba)'!$F:$F,MATCH($B309,'Pliegos Tarifarios (Huechuraba)'!$A:$A,0)),H309&lt;=500,INDEX('Pliegos Tarifarios (Huechuraba)'!$G:$G,MATCH($B309,'Pliegos Tarifarios (Huechuraba)'!$A:$A,0)),H309&lt;=1000,INDEX('Pliegos Tarifarios (Huechuraba)'!$H:$H,MATCH($B309,'Pliegos Tarifarios (Huechuraba)'!$A:$A,0)),H309&lt;=5000,INDEX('Pliegos Tarifarios (Huechuraba)'!$I:$I,MATCH($B309,'Pliegos Tarifarios (Huechuraba)'!$A:$A,0)),H309&gt;5000,INDEX('Pliegos Tarifarios (Huechuraba)'!$J:$J,MATCH($B309,'Pliegos Tarifarios (Huechuraba)'!$A:$A,0)))/1.19</f>
        <v>564.1500504201681</v>
      </c>
      <c r="R309" s="19">
        <f>INDEX('Pliegos Tarifarios (Huechuraba)'!$K:$K,MATCH($B309,'Pliegos Tarifarios (Huechuraba)'!$A:$A,0))</f>
        <v>724.74800000000005</v>
      </c>
      <c r="S309" s="36">
        <f t="shared" si="12"/>
        <v>73738.349140420178</v>
      </c>
      <c r="T309" s="36">
        <f t="shared" si="13"/>
        <v>14010.286336679834</v>
      </c>
      <c r="U309" s="19">
        <v>0</v>
      </c>
      <c r="V309" s="36">
        <f t="shared" si="14"/>
        <v>87748.635477100004</v>
      </c>
    </row>
    <row r="310" spans="1:22" ht="23.4" thickBot="1" x14ac:dyDescent="0.35">
      <c r="A310" s="30" t="s">
        <v>148</v>
      </c>
      <c r="B310" s="31">
        <v>6</v>
      </c>
      <c r="C310" s="32" t="s">
        <v>15</v>
      </c>
      <c r="D310" s="31" t="s">
        <v>118</v>
      </c>
      <c r="E310" s="31" t="s">
        <v>119</v>
      </c>
      <c r="F310" s="32" t="s">
        <v>120</v>
      </c>
      <c r="G310" s="31" t="s">
        <v>33</v>
      </c>
      <c r="H310" s="31">
        <v>66.790000000000006</v>
      </c>
      <c r="I310" s="31">
        <v>0.19</v>
      </c>
      <c r="J310" s="31">
        <v>0.19</v>
      </c>
      <c r="K310" s="34">
        <v>1</v>
      </c>
      <c r="L310" s="31">
        <v>2.15</v>
      </c>
      <c r="M310" s="19">
        <f>H310*INDEX('Pliegos Tarifarios (Huechuraba)'!$B:$B,MATCH($B310,'Pliegos Tarifarios (Huechuraba)'!$A:$A,0))</f>
        <v>7937.19002</v>
      </c>
      <c r="N310" s="19">
        <f>I310*INDEX('Pliegos Tarifarios (Huechuraba)'!$C:$C,MATCH($B310,'Pliegos Tarifarios (Huechuraba)'!$A:$A,0))</f>
        <v>657.50545</v>
      </c>
      <c r="O310" s="19">
        <f>J310*INDEX('Pliegos Tarifarios (Huechuraba)'!$D:$D,MATCH($B310,'Pliegos Tarifarios (Huechuraba)'!$A:$A,0))</f>
        <v>2691.2605100000001</v>
      </c>
      <c r="P310" s="19">
        <f>H310*INDEX('Pliegos Tarifarios (Huechuraba)'!$E:$E,MATCH($B310,'Pliegos Tarifarios (Huechuraba)'!$A:$A,0))</f>
        <v>863.72828000000015</v>
      </c>
      <c r="Q310" s="19" cm="1">
        <f t="array" ref="Q310">H310*_xlfn.IFS(H310&lt;=350,INDEX('Pliegos Tarifarios (Huechuraba)'!$F:$F,MATCH($B310,'Pliegos Tarifarios (Huechuraba)'!$A:$A,0)),H310&lt;=500,INDEX('Pliegos Tarifarios (Huechuraba)'!$G:$G,MATCH($B310,'Pliegos Tarifarios (Huechuraba)'!$A:$A,0)),H310&lt;=1000,INDEX('Pliegos Tarifarios (Huechuraba)'!$H:$H,MATCH($B310,'Pliegos Tarifarios (Huechuraba)'!$A:$A,0)),H310&lt;=5000,INDEX('Pliegos Tarifarios (Huechuraba)'!$I:$I,MATCH($B310,'Pliegos Tarifarios (Huechuraba)'!$A:$A,0)),H310&gt;5000,INDEX('Pliegos Tarifarios (Huechuraba)'!$J:$J,MATCH($B310,'Pliegos Tarifarios (Huechuraba)'!$A:$A,0)))/1.19</f>
        <v>44.002823529411771</v>
      </c>
      <c r="R310" s="19">
        <f>INDEX('Pliegos Tarifarios (Huechuraba)'!$K:$K,MATCH($B310,'Pliegos Tarifarios (Huechuraba)'!$A:$A,0))</f>
        <v>724.74800000000005</v>
      </c>
      <c r="S310" s="36">
        <f t="shared" si="12"/>
        <v>12918.435083529412</v>
      </c>
      <c r="T310" s="36">
        <f t="shared" si="13"/>
        <v>2454.5026658705883</v>
      </c>
      <c r="U310" s="19">
        <v>0</v>
      </c>
      <c r="V310" s="36">
        <f t="shared" si="14"/>
        <v>15372.9377494</v>
      </c>
    </row>
    <row r="311" spans="1:22" ht="23.4" thickBot="1" x14ac:dyDescent="0.35">
      <c r="A311" s="30" t="s">
        <v>148</v>
      </c>
      <c r="B311" s="31">
        <v>6</v>
      </c>
      <c r="C311" s="32" t="s">
        <v>15</v>
      </c>
      <c r="D311" s="31" t="s">
        <v>121</v>
      </c>
      <c r="E311" s="31" t="s">
        <v>119</v>
      </c>
      <c r="F311" s="32" t="s">
        <v>122</v>
      </c>
      <c r="G311" s="31" t="s">
        <v>33</v>
      </c>
      <c r="H311" s="31">
        <v>66.83</v>
      </c>
      <c r="I311" s="31">
        <v>0.19</v>
      </c>
      <c r="J311" s="31">
        <v>0.18</v>
      </c>
      <c r="K311" s="34">
        <v>0.98299999999999998</v>
      </c>
      <c r="L311" s="31">
        <v>2.16</v>
      </c>
      <c r="M311" s="19">
        <f>H311*INDEX('Pliegos Tarifarios (Huechuraba)'!$B:$B,MATCH($B311,'Pliegos Tarifarios (Huechuraba)'!$A:$A,0))</f>
        <v>7941.9435399999993</v>
      </c>
      <c r="N311" s="19">
        <f>I311*INDEX('Pliegos Tarifarios (Huechuraba)'!$C:$C,MATCH($B311,'Pliegos Tarifarios (Huechuraba)'!$A:$A,0))</f>
        <v>657.50545</v>
      </c>
      <c r="O311" s="19">
        <f>J311*INDEX('Pliegos Tarifarios (Huechuraba)'!$D:$D,MATCH($B311,'Pliegos Tarifarios (Huechuraba)'!$A:$A,0))</f>
        <v>2549.6152200000001</v>
      </c>
      <c r="P311" s="19">
        <f>H311*INDEX('Pliegos Tarifarios (Huechuraba)'!$E:$E,MATCH($B311,'Pliegos Tarifarios (Huechuraba)'!$A:$A,0))</f>
        <v>864.24555999999995</v>
      </c>
      <c r="Q311" s="19" cm="1">
        <f t="array" ref="Q311">H311*_xlfn.IFS(H311&lt;=350,INDEX('Pliegos Tarifarios (Huechuraba)'!$F:$F,MATCH($B311,'Pliegos Tarifarios (Huechuraba)'!$A:$A,0)),H311&lt;=500,INDEX('Pliegos Tarifarios (Huechuraba)'!$G:$G,MATCH($B311,'Pliegos Tarifarios (Huechuraba)'!$A:$A,0)),H311&lt;=1000,INDEX('Pliegos Tarifarios (Huechuraba)'!$H:$H,MATCH($B311,'Pliegos Tarifarios (Huechuraba)'!$A:$A,0)),H311&lt;=5000,INDEX('Pliegos Tarifarios (Huechuraba)'!$I:$I,MATCH($B311,'Pliegos Tarifarios (Huechuraba)'!$A:$A,0)),H311&gt;5000,INDEX('Pliegos Tarifarios (Huechuraba)'!$J:$J,MATCH($B311,'Pliegos Tarifarios (Huechuraba)'!$A:$A,0)))/1.19</f>
        <v>44.02917647058824</v>
      </c>
      <c r="R311" s="19">
        <f>INDEX('Pliegos Tarifarios (Huechuraba)'!$K:$K,MATCH($B311,'Pliegos Tarifarios (Huechuraba)'!$A:$A,0))</f>
        <v>724.74800000000005</v>
      </c>
      <c r="S311" s="36">
        <f t="shared" si="12"/>
        <v>12782.086946470587</v>
      </c>
      <c r="T311" s="36">
        <f t="shared" si="13"/>
        <v>2428.5965198294116</v>
      </c>
      <c r="U311" s="19">
        <v>0</v>
      </c>
      <c r="V311" s="36">
        <f t="shared" si="14"/>
        <v>15210.683466299997</v>
      </c>
    </row>
    <row r="312" spans="1:22" ht="23.4" thickBot="1" x14ac:dyDescent="0.35">
      <c r="A312" s="30" t="s">
        <v>148</v>
      </c>
      <c r="B312" s="31">
        <v>6</v>
      </c>
      <c r="C312" s="32" t="s">
        <v>15</v>
      </c>
      <c r="D312" s="31" t="s">
        <v>123</v>
      </c>
      <c r="E312" s="31" t="s">
        <v>124</v>
      </c>
      <c r="F312" s="32" t="s">
        <v>125</v>
      </c>
      <c r="G312" s="31" t="s">
        <v>33</v>
      </c>
      <c r="H312" s="31">
        <v>66.87</v>
      </c>
      <c r="I312" s="31">
        <v>0.18</v>
      </c>
      <c r="J312" s="31">
        <v>0.18</v>
      </c>
      <c r="K312" s="34">
        <v>1</v>
      </c>
      <c r="L312" s="31">
        <v>2.16</v>
      </c>
      <c r="M312" s="19">
        <f>H312*INDEX('Pliegos Tarifarios (Huechuraba)'!$B:$B,MATCH($B312,'Pliegos Tarifarios (Huechuraba)'!$A:$A,0))</f>
        <v>7946.6970600000004</v>
      </c>
      <c r="N312" s="19">
        <f>I312*INDEX('Pliegos Tarifarios (Huechuraba)'!$C:$C,MATCH($B312,'Pliegos Tarifarios (Huechuraba)'!$A:$A,0))</f>
        <v>622.8999</v>
      </c>
      <c r="O312" s="19">
        <f>J312*INDEX('Pliegos Tarifarios (Huechuraba)'!$D:$D,MATCH($B312,'Pliegos Tarifarios (Huechuraba)'!$A:$A,0))</f>
        <v>2549.6152200000001</v>
      </c>
      <c r="P312" s="19">
        <f>H312*INDEX('Pliegos Tarifarios (Huechuraba)'!$E:$E,MATCH($B312,'Pliegos Tarifarios (Huechuraba)'!$A:$A,0))</f>
        <v>864.7628400000001</v>
      </c>
      <c r="Q312" s="19" cm="1">
        <f t="array" ref="Q312">H312*_xlfn.IFS(H312&lt;=350,INDEX('Pliegos Tarifarios (Huechuraba)'!$F:$F,MATCH($B312,'Pliegos Tarifarios (Huechuraba)'!$A:$A,0)),H312&lt;=500,INDEX('Pliegos Tarifarios (Huechuraba)'!$G:$G,MATCH($B312,'Pliegos Tarifarios (Huechuraba)'!$A:$A,0)),H312&lt;=1000,INDEX('Pliegos Tarifarios (Huechuraba)'!$H:$H,MATCH($B312,'Pliegos Tarifarios (Huechuraba)'!$A:$A,0)),H312&lt;=5000,INDEX('Pliegos Tarifarios (Huechuraba)'!$I:$I,MATCH($B312,'Pliegos Tarifarios (Huechuraba)'!$A:$A,0)),H312&gt;5000,INDEX('Pliegos Tarifarios (Huechuraba)'!$J:$J,MATCH($B312,'Pliegos Tarifarios (Huechuraba)'!$A:$A,0)))/1.19</f>
        <v>44.055529411764709</v>
      </c>
      <c r="R312" s="19">
        <f>INDEX('Pliegos Tarifarios (Huechuraba)'!$K:$K,MATCH($B312,'Pliegos Tarifarios (Huechuraba)'!$A:$A,0))</f>
        <v>724.74800000000005</v>
      </c>
      <c r="S312" s="36">
        <f t="shared" si="12"/>
        <v>12752.778549411763</v>
      </c>
      <c r="T312" s="36">
        <f t="shared" si="13"/>
        <v>2423.0279243882351</v>
      </c>
      <c r="U312" s="19">
        <v>0</v>
      </c>
      <c r="V312" s="36">
        <f t="shared" si="14"/>
        <v>15175.806473799999</v>
      </c>
    </row>
    <row r="313" spans="1:22" ht="23.4" thickBot="1" x14ac:dyDescent="0.35">
      <c r="A313" s="30" t="s">
        <v>148</v>
      </c>
      <c r="B313" s="31">
        <v>6</v>
      </c>
      <c r="C313" s="32" t="s">
        <v>15</v>
      </c>
      <c r="D313" s="31" t="s">
        <v>126</v>
      </c>
      <c r="E313" s="31" t="s">
        <v>124</v>
      </c>
      <c r="F313" s="32" t="s">
        <v>127</v>
      </c>
      <c r="G313" s="31" t="s">
        <v>33</v>
      </c>
      <c r="H313" s="31">
        <v>111.38</v>
      </c>
      <c r="I313" s="31">
        <v>0.32</v>
      </c>
      <c r="J313" s="31">
        <v>0.32</v>
      </c>
      <c r="K313" s="34">
        <v>1</v>
      </c>
      <c r="L313" s="31">
        <v>3.59</v>
      </c>
      <c r="M313" s="19">
        <f>H313*INDEX('Pliegos Tarifarios (Huechuraba)'!$B:$B,MATCH($B313,'Pliegos Tarifarios (Huechuraba)'!$A:$A,0))</f>
        <v>13236.176439999999</v>
      </c>
      <c r="N313" s="19">
        <f>I313*INDEX('Pliegos Tarifarios (Huechuraba)'!$C:$C,MATCH($B313,'Pliegos Tarifarios (Huechuraba)'!$A:$A,0))</f>
        <v>1107.3776</v>
      </c>
      <c r="O313" s="19">
        <f>J313*INDEX('Pliegos Tarifarios (Huechuraba)'!$D:$D,MATCH($B313,'Pliegos Tarifarios (Huechuraba)'!$A:$A,0))</f>
        <v>4532.6492800000005</v>
      </c>
      <c r="P313" s="19">
        <f>H313*INDEX('Pliegos Tarifarios (Huechuraba)'!$E:$E,MATCH($B313,'Pliegos Tarifarios (Huechuraba)'!$A:$A,0))</f>
        <v>1440.36616</v>
      </c>
      <c r="Q313" s="19" cm="1">
        <f t="array" ref="Q313">H313*_xlfn.IFS(H313&lt;=350,INDEX('Pliegos Tarifarios (Huechuraba)'!$F:$F,MATCH($B313,'Pliegos Tarifarios (Huechuraba)'!$A:$A,0)),H313&lt;=500,INDEX('Pliegos Tarifarios (Huechuraba)'!$G:$G,MATCH($B313,'Pliegos Tarifarios (Huechuraba)'!$A:$A,0)),H313&lt;=1000,INDEX('Pliegos Tarifarios (Huechuraba)'!$H:$H,MATCH($B313,'Pliegos Tarifarios (Huechuraba)'!$A:$A,0)),H313&lt;=5000,INDEX('Pliegos Tarifarios (Huechuraba)'!$I:$I,MATCH($B313,'Pliegos Tarifarios (Huechuraba)'!$A:$A,0)),H313&gt;5000,INDEX('Pliegos Tarifarios (Huechuraba)'!$J:$J,MATCH($B313,'Pliegos Tarifarios (Huechuraba)'!$A:$A,0)))/1.19</f>
        <v>73.379764705882366</v>
      </c>
      <c r="R313" s="19">
        <f>INDEX('Pliegos Tarifarios (Huechuraba)'!$K:$K,MATCH($B313,'Pliegos Tarifarios (Huechuraba)'!$A:$A,0))</f>
        <v>724.74800000000005</v>
      </c>
      <c r="S313" s="36">
        <f t="shared" si="12"/>
        <v>21114.697244705883</v>
      </c>
      <c r="T313" s="36">
        <f t="shared" si="13"/>
        <v>4011.7924764941181</v>
      </c>
      <c r="U313" s="19">
        <v>0</v>
      </c>
      <c r="V313" s="36">
        <f t="shared" si="14"/>
        <v>25126.4897212</v>
      </c>
    </row>
    <row r="314" spans="1:22" ht="23.4" thickBot="1" x14ac:dyDescent="0.35">
      <c r="A314" s="30" t="s">
        <v>148</v>
      </c>
      <c r="B314" s="31">
        <v>6</v>
      </c>
      <c r="C314" s="32" t="s">
        <v>15</v>
      </c>
      <c r="D314" s="31" t="s">
        <v>128</v>
      </c>
      <c r="E314" s="31" t="s">
        <v>124</v>
      </c>
      <c r="F314" s="32" t="s">
        <v>129</v>
      </c>
      <c r="G314" s="31" t="s">
        <v>33</v>
      </c>
      <c r="H314" s="31">
        <v>66.94</v>
      </c>
      <c r="I314" s="31">
        <v>0.19</v>
      </c>
      <c r="J314" s="31">
        <v>0.18</v>
      </c>
      <c r="K314" s="34">
        <v>0.98099999999999998</v>
      </c>
      <c r="L314" s="31">
        <v>2.16</v>
      </c>
      <c r="M314" s="19">
        <f>H314*INDEX('Pliegos Tarifarios (Huechuraba)'!$B:$B,MATCH($B314,'Pliegos Tarifarios (Huechuraba)'!$A:$A,0))</f>
        <v>7955.0157199999994</v>
      </c>
      <c r="N314" s="19">
        <f>I314*INDEX('Pliegos Tarifarios (Huechuraba)'!$C:$C,MATCH($B314,'Pliegos Tarifarios (Huechuraba)'!$A:$A,0))</f>
        <v>657.50545</v>
      </c>
      <c r="O314" s="19">
        <f>J314*INDEX('Pliegos Tarifarios (Huechuraba)'!$D:$D,MATCH($B314,'Pliegos Tarifarios (Huechuraba)'!$A:$A,0))</f>
        <v>2549.6152200000001</v>
      </c>
      <c r="P314" s="19">
        <f>H314*INDEX('Pliegos Tarifarios (Huechuraba)'!$E:$E,MATCH($B314,'Pliegos Tarifarios (Huechuraba)'!$A:$A,0))</f>
        <v>865.66808000000003</v>
      </c>
      <c r="Q314" s="19" cm="1">
        <f t="array" ref="Q314">H314*_xlfn.IFS(H314&lt;=350,INDEX('Pliegos Tarifarios (Huechuraba)'!$F:$F,MATCH($B314,'Pliegos Tarifarios (Huechuraba)'!$A:$A,0)),H314&lt;=500,INDEX('Pliegos Tarifarios (Huechuraba)'!$G:$G,MATCH($B314,'Pliegos Tarifarios (Huechuraba)'!$A:$A,0)),H314&lt;=1000,INDEX('Pliegos Tarifarios (Huechuraba)'!$H:$H,MATCH($B314,'Pliegos Tarifarios (Huechuraba)'!$A:$A,0)),H314&lt;=5000,INDEX('Pliegos Tarifarios (Huechuraba)'!$I:$I,MATCH($B314,'Pliegos Tarifarios (Huechuraba)'!$A:$A,0)),H314&gt;5000,INDEX('Pliegos Tarifarios (Huechuraba)'!$J:$J,MATCH($B314,'Pliegos Tarifarios (Huechuraba)'!$A:$A,0)))/1.19</f>
        <v>44.101647058823531</v>
      </c>
      <c r="R314" s="19">
        <f>INDEX('Pliegos Tarifarios (Huechuraba)'!$K:$K,MATCH($B314,'Pliegos Tarifarios (Huechuraba)'!$A:$A,0))</f>
        <v>724.74800000000005</v>
      </c>
      <c r="S314" s="36">
        <f t="shared" si="12"/>
        <v>12796.654117058823</v>
      </c>
      <c r="T314" s="36">
        <f t="shared" si="13"/>
        <v>2431.3642822411762</v>
      </c>
      <c r="U314" s="19">
        <v>0</v>
      </c>
      <c r="V314" s="36">
        <f t="shared" si="14"/>
        <v>15228.018399299999</v>
      </c>
    </row>
    <row r="315" spans="1:22" ht="23.4" thickBot="1" x14ac:dyDescent="0.35">
      <c r="A315" s="30" t="s">
        <v>148</v>
      </c>
      <c r="B315" s="31">
        <v>6</v>
      </c>
      <c r="C315" s="32" t="s">
        <v>15</v>
      </c>
      <c r="D315" s="31" t="s">
        <v>130</v>
      </c>
      <c r="E315" s="31" t="s">
        <v>124</v>
      </c>
      <c r="F315" s="32" t="s">
        <v>131</v>
      </c>
      <c r="G315" s="31" t="s">
        <v>33</v>
      </c>
      <c r="H315" s="31">
        <v>67.03</v>
      </c>
      <c r="I315" s="31">
        <v>0.19</v>
      </c>
      <c r="J315" s="31">
        <v>0.18</v>
      </c>
      <c r="K315" s="34">
        <v>0.99399999999999999</v>
      </c>
      <c r="L315" s="31">
        <v>2.16</v>
      </c>
      <c r="M315" s="19">
        <f>H315*INDEX('Pliegos Tarifarios (Huechuraba)'!$B:$B,MATCH($B315,'Pliegos Tarifarios (Huechuraba)'!$A:$A,0))</f>
        <v>7965.7111399999994</v>
      </c>
      <c r="N315" s="19">
        <f>I315*INDEX('Pliegos Tarifarios (Huechuraba)'!$C:$C,MATCH($B315,'Pliegos Tarifarios (Huechuraba)'!$A:$A,0))</f>
        <v>657.50545</v>
      </c>
      <c r="O315" s="19">
        <f>J315*INDEX('Pliegos Tarifarios (Huechuraba)'!$D:$D,MATCH($B315,'Pliegos Tarifarios (Huechuraba)'!$A:$A,0))</f>
        <v>2549.6152200000001</v>
      </c>
      <c r="P315" s="19">
        <f>H315*INDEX('Pliegos Tarifarios (Huechuraba)'!$E:$E,MATCH($B315,'Pliegos Tarifarios (Huechuraba)'!$A:$A,0))</f>
        <v>866.83196000000009</v>
      </c>
      <c r="Q315" s="19" cm="1">
        <f t="array" ref="Q315">H315*_xlfn.IFS(H315&lt;=350,INDEX('Pliegos Tarifarios (Huechuraba)'!$F:$F,MATCH($B315,'Pliegos Tarifarios (Huechuraba)'!$A:$A,0)),H315&lt;=500,INDEX('Pliegos Tarifarios (Huechuraba)'!$G:$G,MATCH($B315,'Pliegos Tarifarios (Huechuraba)'!$A:$A,0)),H315&lt;=1000,INDEX('Pliegos Tarifarios (Huechuraba)'!$H:$H,MATCH($B315,'Pliegos Tarifarios (Huechuraba)'!$A:$A,0)),H315&lt;=5000,INDEX('Pliegos Tarifarios (Huechuraba)'!$I:$I,MATCH($B315,'Pliegos Tarifarios (Huechuraba)'!$A:$A,0)),H315&gt;5000,INDEX('Pliegos Tarifarios (Huechuraba)'!$J:$J,MATCH($B315,'Pliegos Tarifarios (Huechuraba)'!$A:$A,0)))/1.19</f>
        <v>44.160941176470594</v>
      </c>
      <c r="R315" s="19">
        <f>INDEX('Pliegos Tarifarios (Huechuraba)'!$K:$K,MATCH($B315,'Pliegos Tarifarios (Huechuraba)'!$A:$A,0))</f>
        <v>724.74800000000005</v>
      </c>
      <c r="S315" s="36">
        <f t="shared" si="12"/>
        <v>12808.57271117647</v>
      </c>
      <c r="T315" s="36">
        <f t="shared" si="13"/>
        <v>2433.6288151235294</v>
      </c>
      <c r="U315" s="19">
        <v>0</v>
      </c>
      <c r="V315" s="36">
        <f t="shared" si="14"/>
        <v>15242.201526299999</v>
      </c>
    </row>
    <row r="316" spans="1:22" ht="23.4" thickBot="1" x14ac:dyDescent="0.35">
      <c r="A316" s="30" t="s">
        <v>148</v>
      </c>
      <c r="B316" s="31">
        <v>6</v>
      </c>
      <c r="C316" s="32" t="s">
        <v>15</v>
      </c>
      <c r="D316" s="31" t="s">
        <v>132</v>
      </c>
      <c r="E316" s="31" t="s">
        <v>124</v>
      </c>
      <c r="F316" s="32" t="s">
        <v>133</v>
      </c>
      <c r="G316" s="31" t="s">
        <v>33</v>
      </c>
      <c r="H316" s="31">
        <v>66.91</v>
      </c>
      <c r="I316" s="31">
        <v>0.19</v>
      </c>
      <c r="J316" s="31">
        <v>0.19</v>
      </c>
      <c r="K316" s="34">
        <v>1</v>
      </c>
      <c r="L316" s="31">
        <v>2.16</v>
      </c>
      <c r="M316" s="19">
        <f>H316*INDEX('Pliegos Tarifarios (Huechuraba)'!$B:$B,MATCH($B316,'Pliegos Tarifarios (Huechuraba)'!$A:$A,0))</f>
        <v>7951.4505799999988</v>
      </c>
      <c r="N316" s="19">
        <f>I316*INDEX('Pliegos Tarifarios (Huechuraba)'!$C:$C,MATCH($B316,'Pliegos Tarifarios (Huechuraba)'!$A:$A,0))</f>
        <v>657.50545</v>
      </c>
      <c r="O316" s="19">
        <f>J316*INDEX('Pliegos Tarifarios (Huechuraba)'!$D:$D,MATCH($B316,'Pliegos Tarifarios (Huechuraba)'!$A:$A,0))</f>
        <v>2691.2605100000001</v>
      </c>
      <c r="P316" s="19">
        <f>H316*INDEX('Pliegos Tarifarios (Huechuraba)'!$E:$E,MATCH($B316,'Pliegos Tarifarios (Huechuraba)'!$A:$A,0))</f>
        <v>865.28012000000001</v>
      </c>
      <c r="Q316" s="19" cm="1">
        <f t="array" ref="Q316">H316*_xlfn.IFS(H316&lt;=350,INDEX('Pliegos Tarifarios (Huechuraba)'!$F:$F,MATCH($B316,'Pliegos Tarifarios (Huechuraba)'!$A:$A,0)),H316&lt;=500,INDEX('Pliegos Tarifarios (Huechuraba)'!$G:$G,MATCH($B316,'Pliegos Tarifarios (Huechuraba)'!$A:$A,0)),H316&lt;=1000,INDEX('Pliegos Tarifarios (Huechuraba)'!$H:$H,MATCH($B316,'Pliegos Tarifarios (Huechuraba)'!$A:$A,0)),H316&lt;=5000,INDEX('Pliegos Tarifarios (Huechuraba)'!$I:$I,MATCH($B316,'Pliegos Tarifarios (Huechuraba)'!$A:$A,0)),H316&gt;5000,INDEX('Pliegos Tarifarios (Huechuraba)'!$J:$J,MATCH($B316,'Pliegos Tarifarios (Huechuraba)'!$A:$A,0)))/1.19</f>
        <v>44.081882352941179</v>
      </c>
      <c r="R316" s="19">
        <f>INDEX('Pliegos Tarifarios (Huechuraba)'!$K:$K,MATCH($B316,'Pliegos Tarifarios (Huechuraba)'!$A:$A,0))</f>
        <v>724.74800000000005</v>
      </c>
      <c r="S316" s="36">
        <f t="shared" si="12"/>
        <v>12934.326542352939</v>
      </c>
      <c r="T316" s="36">
        <f t="shared" si="13"/>
        <v>2457.5220430470586</v>
      </c>
      <c r="U316" s="19">
        <v>0</v>
      </c>
      <c r="V316" s="36">
        <f t="shared" si="14"/>
        <v>15391.848585399997</v>
      </c>
    </row>
    <row r="317" spans="1:22" ht="23.4" thickBot="1" x14ac:dyDescent="0.35">
      <c r="A317" s="30" t="s">
        <v>148</v>
      </c>
      <c r="B317" s="31">
        <v>6</v>
      </c>
      <c r="C317" s="32" t="s">
        <v>15</v>
      </c>
      <c r="D317" s="31" t="s">
        <v>134</v>
      </c>
      <c r="E317" s="31" t="s">
        <v>124</v>
      </c>
      <c r="F317" s="32" t="s">
        <v>135</v>
      </c>
      <c r="G317" s="31" t="s">
        <v>33</v>
      </c>
      <c r="H317" s="31">
        <v>133.78</v>
      </c>
      <c r="I317" s="31">
        <v>0.37</v>
      </c>
      <c r="J317" s="31">
        <v>0.37</v>
      </c>
      <c r="K317" s="34">
        <v>0.97899999999999998</v>
      </c>
      <c r="L317" s="31">
        <v>4.32</v>
      </c>
      <c r="M317" s="19">
        <f>H317*INDEX('Pliegos Tarifarios (Huechuraba)'!$B:$B,MATCH($B317,'Pliegos Tarifarios (Huechuraba)'!$A:$A,0))</f>
        <v>15898.147639999999</v>
      </c>
      <c r="N317" s="19">
        <f>I317*INDEX('Pliegos Tarifarios (Huechuraba)'!$C:$C,MATCH($B317,'Pliegos Tarifarios (Huechuraba)'!$A:$A,0))</f>
        <v>1280.40535</v>
      </c>
      <c r="O317" s="19">
        <f>J317*INDEX('Pliegos Tarifarios (Huechuraba)'!$D:$D,MATCH($B317,'Pliegos Tarifarios (Huechuraba)'!$A:$A,0))</f>
        <v>5240.8757299999997</v>
      </c>
      <c r="P317" s="19">
        <f>H317*INDEX('Pliegos Tarifarios (Huechuraba)'!$E:$E,MATCH($B317,'Pliegos Tarifarios (Huechuraba)'!$A:$A,0))</f>
        <v>1730.04296</v>
      </c>
      <c r="Q317" s="19" cm="1">
        <f t="array" ref="Q317">H317*_xlfn.IFS(H317&lt;=350,INDEX('Pliegos Tarifarios (Huechuraba)'!$F:$F,MATCH($B317,'Pliegos Tarifarios (Huechuraba)'!$A:$A,0)),H317&lt;=500,INDEX('Pliegos Tarifarios (Huechuraba)'!$G:$G,MATCH($B317,'Pliegos Tarifarios (Huechuraba)'!$A:$A,0)),H317&lt;=1000,INDEX('Pliegos Tarifarios (Huechuraba)'!$H:$H,MATCH($B317,'Pliegos Tarifarios (Huechuraba)'!$A:$A,0)),H317&lt;=5000,INDEX('Pliegos Tarifarios (Huechuraba)'!$I:$I,MATCH($B317,'Pliegos Tarifarios (Huechuraba)'!$A:$A,0)),H317&gt;5000,INDEX('Pliegos Tarifarios (Huechuraba)'!$J:$J,MATCH($B317,'Pliegos Tarifarios (Huechuraba)'!$A:$A,0)))/1.19</f>
        <v>88.137411764705888</v>
      </c>
      <c r="R317" s="19">
        <f>INDEX('Pliegos Tarifarios (Huechuraba)'!$K:$K,MATCH($B317,'Pliegos Tarifarios (Huechuraba)'!$A:$A,0))</f>
        <v>724.74800000000005</v>
      </c>
      <c r="S317" s="36">
        <f t="shared" si="12"/>
        <v>24962.357091764705</v>
      </c>
      <c r="T317" s="36">
        <f t="shared" si="13"/>
        <v>4742.8478474352942</v>
      </c>
      <c r="U317" s="19">
        <v>0</v>
      </c>
      <c r="V317" s="36">
        <f t="shared" si="14"/>
        <v>29705.204939199997</v>
      </c>
    </row>
    <row r="318" spans="1:22" ht="23.4" thickBot="1" x14ac:dyDescent="0.35">
      <c r="A318" s="30" t="s">
        <v>148</v>
      </c>
      <c r="B318" s="31">
        <v>6</v>
      </c>
      <c r="C318" s="32" t="s">
        <v>15</v>
      </c>
      <c r="D318" s="31" t="s">
        <v>136</v>
      </c>
      <c r="E318" s="31" t="s">
        <v>124</v>
      </c>
      <c r="F318" s="32" t="s">
        <v>137</v>
      </c>
      <c r="G318" s="31" t="s">
        <v>33</v>
      </c>
      <c r="H318" s="31">
        <v>133.46</v>
      </c>
      <c r="I318" s="31">
        <v>0.38</v>
      </c>
      <c r="J318" s="31">
        <v>0.37</v>
      </c>
      <c r="K318" s="34">
        <v>0.96699999999999997</v>
      </c>
      <c r="L318" s="31">
        <v>4.3099999999999996</v>
      </c>
      <c r="M318" s="19">
        <f>H318*INDEX('Pliegos Tarifarios (Huechuraba)'!$B:$B,MATCH($B318,'Pliegos Tarifarios (Huechuraba)'!$A:$A,0))</f>
        <v>15860.119479999999</v>
      </c>
      <c r="N318" s="19">
        <f>I318*INDEX('Pliegos Tarifarios (Huechuraba)'!$C:$C,MATCH($B318,'Pliegos Tarifarios (Huechuraba)'!$A:$A,0))</f>
        <v>1315.0109</v>
      </c>
      <c r="O318" s="19">
        <f>J318*INDEX('Pliegos Tarifarios (Huechuraba)'!$D:$D,MATCH($B318,'Pliegos Tarifarios (Huechuraba)'!$A:$A,0))</f>
        <v>5240.8757299999997</v>
      </c>
      <c r="P318" s="19">
        <f>H318*INDEX('Pliegos Tarifarios (Huechuraba)'!$E:$E,MATCH($B318,'Pliegos Tarifarios (Huechuraba)'!$A:$A,0))</f>
        <v>1725.9047200000002</v>
      </c>
      <c r="Q318" s="19" cm="1">
        <f t="array" ref="Q318">H318*_xlfn.IFS(H318&lt;=350,INDEX('Pliegos Tarifarios (Huechuraba)'!$F:$F,MATCH($B318,'Pliegos Tarifarios (Huechuraba)'!$A:$A,0)),H318&lt;=500,INDEX('Pliegos Tarifarios (Huechuraba)'!$G:$G,MATCH($B318,'Pliegos Tarifarios (Huechuraba)'!$A:$A,0)),H318&lt;=1000,INDEX('Pliegos Tarifarios (Huechuraba)'!$H:$H,MATCH($B318,'Pliegos Tarifarios (Huechuraba)'!$A:$A,0)),H318&lt;=5000,INDEX('Pliegos Tarifarios (Huechuraba)'!$I:$I,MATCH($B318,'Pliegos Tarifarios (Huechuraba)'!$A:$A,0)),H318&gt;5000,INDEX('Pliegos Tarifarios (Huechuraba)'!$J:$J,MATCH($B318,'Pliegos Tarifarios (Huechuraba)'!$A:$A,0)))/1.19</f>
        <v>87.926588235294133</v>
      </c>
      <c r="R318" s="19">
        <f>INDEX('Pliegos Tarifarios (Huechuraba)'!$K:$K,MATCH($B318,'Pliegos Tarifarios (Huechuraba)'!$A:$A,0))</f>
        <v>724.74800000000005</v>
      </c>
      <c r="S318" s="36">
        <f t="shared" si="12"/>
        <v>24954.585418235292</v>
      </c>
      <c r="T318" s="36">
        <f t="shared" si="13"/>
        <v>4741.3712294647057</v>
      </c>
      <c r="U318" s="19">
        <v>0</v>
      </c>
      <c r="V318" s="36">
        <f t="shared" si="14"/>
        <v>29695.956647699997</v>
      </c>
    </row>
    <row r="319" spans="1:22" ht="23.4" thickBot="1" x14ac:dyDescent="0.35">
      <c r="A319" s="30" t="s">
        <v>148</v>
      </c>
      <c r="B319" s="31">
        <v>6</v>
      </c>
      <c r="C319" s="32" t="s">
        <v>15</v>
      </c>
      <c r="D319" s="31" t="s">
        <v>138</v>
      </c>
      <c r="E319" s="31" t="s">
        <v>124</v>
      </c>
      <c r="F319" s="32" t="s">
        <v>139</v>
      </c>
      <c r="G319" s="31" t="s">
        <v>33</v>
      </c>
      <c r="H319" s="31">
        <v>133.72999999999999</v>
      </c>
      <c r="I319" s="31">
        <v>0.38</v>
      </c>
      <c r="J319" s="31">
        <v>0.38</v>
      </c>
      <c r="K319" s="34">
        <v>1</v>
      </c>
      <c r="L319" s="31">
        <v>4.3099999999999996</v>
      </c>
      <c r="M319" s="19">
        <f>H319*INDEX('Pliegos Tarifarios (Huechuraba)'!$B:$B,MATCH($B319,'Pliegos Tarifarios (Huechuraba)'!$A:$A,0))</f>
        <v>15892.205739999998</v>
      </c>
      <c r="N319" s="19">
        <f>I319*INDEX('Pliegos Tarifarios (Huechuraba)'!$C:$C,MATCH($B319,'Pliegos Tarifarios (Huechuraba)'!$A:$A,0))</f>
        <v>1315.0109</v>
      </c>
      <c r="O319" s="19">
        <f>J319*INDEX('Pliegos Tarifarios (Huechuraba)'!$D:$D,MATCH($B319,'Pliegos Tarifarios (Huechuraba)'!$A:$A,0))</f>
        <v>5382.5210200000001</v>
      </c>
      <c r="P319" s="19">
        <f>H319*INDEX('Pliegos Tarifarios (Huechuraba)'!$E:$E,MATCH($B319,'Pliegos Tarifarios (Huechuraba)'!$A:$A,0))</f>
        <v>1729.39636</v>
      </c>
      <c r="Q319" s="19" cm="1">
        <f t="array" ref="Q319">H319*_xlfn.IFS(H319&lt;=350,INDEX('Pliegos Tarifarios (Huechuraba)'!$F:$F,MATCH($B319,'Pliegos Tarifarios (Huechuraba)'!$A:$A,0)),H319&lt;=500,INDEX('Pliegos Tarifarios (Huechuraba)'!$G:$G,MATCH($B319,'Pliegos Tarifarios (Huechuraba)'!$A:$A,0)),H319&lt;=1000,INDEX('Pliegos Tarifarios (Huechuraba)'!$H:$H,MATCH($B319,'Pliegos Tarifarios (Huechuraba)'!$A:$A,0)),H319&lt;=5000,INDEX('Pliegos Tarifarios (Huechuraba)'!$I:$I,MATCH($B319,'Pliegos Tarifarios (Huechuraba)'!$A:$A,0)),H319&gt;5000,INDEX('Pliegos Tarifarios (Huechuraba)'!$J:$J,MATCH($B319,'Pliegos Tarifarios (Huechuraba)'!$A:$A,0)))/1.19</f>
        <v>88.104470588235301</v>
      </c>
      <c r="R319" s="19">
        <f>INDEX('Pliegos Tarifarios (Huechuraba)'!$K:$K,MATCH($B319,'Pliegos Tarifarios (Huechuraba)'!$A:$A,0))</f>
        <v>724.74800000000005</v>
      </c>
      <c r="S319" s="36">
        <f t="shared" si="12"/>
        <v>25131.986490588231</v>
      </c>
      <c r="T319" s="36">
        <f t="shared" si="13"/>
        <v>4775.0774332117644</v>
      </c>
      <c r="U319" s="19">
        <v>0</v>
      </c>
      <c r="V319" s="36">
        <f t="shared" si="14"/>
        <v>29907.063923799997</v>
      </c>
    </row>
    <row r="320" spans="1:22" ht="23.4" thickBot="1" x14ac:dyDescent="0.35">
      <c r="A320" s="30" t="s">
        <v>148</v>
      </c>
      <c r="B320" s="31">
        <v>6</v>
      </c>
      <c r="C320" s="32" t="s">
        <v>15</v>
      </c>
      <c r="D320" s="31" t="s">
        <v>140</v>
      </c>
      <c r="E320" s="31" t="s">
        <v>124</v>
      </c>
      <c r="F320" s="32" t="s">
        <v>141</v>
      </c>
      <c r="G320" s="31" t="s">
        <v>33</v>
      </c>
      <c r="H320" s="31">
        <v>66.88</v>
      </c>
      <c r="I320" s="31">
        <v>0.19</v>
      </c>
      <c r="J320" s="31">
        <v>0.19</v>
      </c>
      <c r="K320" s="34">
        <v>1</v>
      </c>
      <c r="L320" s="31">
        <v>2.16</v>
      </c>
      <c r="M320" s="19">
        <f>H320*INDEX('Pliegos Tarifarios (Huechuraba)'!$B:$B,MATCH($B320,'Pliegos Tarifarios (Huechuraba)'!$A:$A,0))</f>
        <v>7947.8854399999991</v>
      </c>
      <c r="N320" s="19">
        <f>I320*INDEX('Pliegos Tarifarios (Huechuraba)'!$C:$C,MATCH($B320,'Pliegos Tarifarios (Huechuraba)'!$A:$A,0))</f>
        <v>657.50545</v>
      </c>
      <c r="O320" s="19">
        <f>J320*INDEX('Pliegos Tarifarios (Huechuraba)'!$D:$D,MATCH($B320,'Pliegos Tarifarios (Huechuraba)'!$A:$A,0))</f>
        <v>2691.2605100000001</v>
      </c>
      <c r="P320" s="19">
        <f>H320*INDEX('Pliegos Tarifarios (Huechuraba)'!$E:$E,MATCH($B320,'Pliegos Tarifarios (Huechuraba)'!$A:$A,0))</f>
        <v>864.89215999999999</v>
      </c>
      <c r="Q320" s="19" cm="1">
        <f t="array" ref="Q320">H320*_xlfn.IFS(H320&lt;=350,INDEX('Pliegos Tarifarios (Huechuraba)'!$F:$F,MATCH($B320,'Pliegos Tarifarios (Huechuraba)'!$A:$A,0)),H320&lt;=500,INDEX('Pliegos Tarifarios (Huechuraba)'!$G:$G,MATCH($B320,'Pliegos Tarifarios (Huechuraba)'!$A:$A,0)),H320&lt;=1000,INDEX('Pliegos Tarifarios (Huechuraba)'!$H:$H,MATCH($B320,'Pliegos Tarifarios (Huechuraba)'!$A:$A,0)),H320&lt;=5000,INDEX('Pliegos Tarifarios (Huechuraba)'!$I:$I,MATCH($B320,'Pliegos Tarifarios (Huechuraba)'!$A:$A,0)),H320&gt;5000,INDEX('Pliegos Tarifarios (Huechuraba)'!$J:$J,MATCH($B320,'Pliegos Tarifarios (Huechuraba)'!$A:$A,0)))/1.19</f>
        <v>44.062117647058827</v>
      </c>
      <c r="R320" s="19">
        <f>INDEX('Pliegos Tarifarios (Huechuraba)'!$K:$K,MATCH($B320,'Pliegos Tarifarios (Huechuraba)'!$A:$A,0))</f>
        <v>724.74800000000005</v>
      </c>
      <c r="S320" s="36">
        <f t="shared" si="12"/>
        <v>12930.353677647057</v>
      </c>
      <c r="T320" s="36">
        <f t="shared" si="13"/>
        <v>2456.7671987529411</v>
      </c>
      <c r="U320" s="19">
        <v>0</v>
      </c>
      <c r="V320" s="36">
        <f t="shared" si="14"/>
        <v>15387.120876399998</v>
      </c>
    </row>
    <row r="321" spans="1:22" ht="23.4" thickBot="1" x14ac:dyDescent="0.35">
      <c r="A321" s="30" t="s">
        <v>148</v>
      </c>
      <c r="B321" s="31">
        <v>6</v>
      </c>
      <c r="C321" s="32" t="s">
        <v>15</v>
      </c>
      <c r="D321" s="31" t="s">
        <v>142</v>
      </c>
      <c r="E321" s="31" t="s">
        <v>124</v>
      </c>
      <c r="F321" s="32" t="s">
        <v>143</v>
      </c>
      <c r="G321" s="31" t="s">
        <v>33</v>
      </c>
      <c r="H321" s="31">
        <v>133.9</v>
      </c>
      <c r="I321" s="31">
        <v>0.38</v>
      </c>
      <c r="J321" s="31">
        <v>0.36</v>
      </c>
      <c r="K321" s="34">
        <v>0.94699999999999995</v>
      </c>
      <c r="L321" s="31">
        <v>4.32</v>
      </c>
      <c r="M321" s="19">
        <f>H321*INDEX('Pliegos Tarifarios (Huechuraba)'!$B:$B,MATCH($B321,'Pliegos Tarifarios (Huechuraba)'!$A:$A,0))</f>
        <v>15912.4082</v>
      </c>
      <c r="N321" s="19">
        <f>I321*INDEX('Pliegos Tarifarios (Huechuraba)'!$C:$C,MATCH($B321,'Pliegos Tarifarios (Huechuraba)'!$A:$A,0))</f>
        <v>1315.0109</v>
      </c>
      <c r="O321" s="19">
        <f>J321*INDEX('Pliegos Tarifarios (Huechuraba)'!$D:$D,MATCH($B321,'Pliegos Tarifarios (Huechuraba)'!$A:$A,0))</f>
        <v>5099.2304400000003</v>
      </c>
      <c r="P321" s="19">
        <f>H321*INDEX('Pliegos Tarifarios (Huechuraba)'!$E:$E,MATCH($B321,'Pliegos Tarifarios (Huechuraba)'!$A:$A,0))</f>
        <v>1731.5948000000001</v>
      </c>
      <c r="Q321" s="19" cm="1">
        <f t="array" ref="Q321">H321*_xlfn.IFS(H321&lt;=350,INDEX('Pliegos Tarifarios (Huechuraba)'!$F:$F,MATCH($B321,'Pliegos Tarifarios (Huechuraba)'!$A:$A,0)),H321&lt;=500,INDEX('Pliegos Tarifarios (Huechuraba)'!$G:$G,MATCH($B321,'Pliegos Tarifarios (Huechuraba)'!$A:$A,0)),H321&lt;=1000,INDEX('Pliegos Tarifarios (Huechuraba)'!$H:$H,MATCH($B321,'Pliegos Tarifarios (Huechuraba)'!$A:$A,0)),H321&lt;=5000,INDEX('Pliegos Tarifarios (Huechuraba)'!$I:$I,MATCH($B321,'Pliegos Tarifarios (Huechuraba)'!$A:$A,0)),H321&gt;5000,INDEX('Pliegos Tarifarios (Huechuraba)'!$J:$J,MATCH($B321,'Pliegos Tarifarios (Huechuraba)'!$A:$A,0)))/1.19</f>
        <v>88.21647058823531</v>
      </c>
      <c r="R321" s="19">
        <f>INDEX('Pliegos Tarifarios (Huechuraba)'!$K:$K,MATCH($B321,'Pliegos Tarifarios (Huechuraba)'!$A:$A,0))</f>
        <v>724.74800000000005</v>
      </c>
      <c r="S321" s="36">
        <f t="shared" si="12"/>
        <v>24871.208810588232</v>
      </c>
      <c r="T321" s="36">
        <f t="shared" si="13"/>
        <v>4725.5296740117637</v>
      </c>
      <c r="U321" s="19">
        <v>0</v>
      </c>
      <c r="V321" s="36">
        <f t="shared" si="14"/>
        <v>29596.738484599995</v>
      </c>
    </row>
    <row r="322" spans="1:22" ht="23.4" thickBot="1" x14ac:dyDescent="0.35">
      <c r="A322" s="25" t="s">
        <v>149</v>
      </c>
      <c r="B322" s="26">
        <v>7</v>
      </c>
      <c r="C322" s="27" t="s">
        <v>15</v>
      </c>
      <c r="D322" s="26" t="s">
        <v>16</v>
      </c>
      <c r="E322" s="26" t="s">
        <v>17</v>
      </c>
      <c r="F322" s="27" t="s">
        <v>18</v>
      </c>
      <c r="G322" s="26" t="s">
        <v>19</v>
      </c>
      <c r="H322" s="28">
        <v>7142.54</v>
      </c>
      <c r="I322" s="26">
        <v>18.97</v>
      </c>
      <c r="J322" s="26">
        <v>18.75</v>
      </c>
      <c r="K322" s="29">
        <v>0.98899999999999999</v>
      </c>
      <c r="L322" s="26">
        <v>238.08</v>
      </c>
      <c r="M322" s="19">
        <f>H322*INDEX('Pliegos Tarifarios (Huechuraba)'!$B:$B,MATCH($B322,'Pliegos Tarifarios (Huechuraba)'!$A:$A,0))</f>
        <v>941122.49802000006</v>
      </c>
      <c r="N322" s="19">
        <f>I322*INDEX('Pliegos Tarifarios (Huechuraba)'!$C:$C,MATCH($B322,'Pliegos Tarifarios (Huechuraba)'!$A:$A,0))</f>
        <v>64642.911829999997</v>
      </c>
      <c r="O322" s="19">
        <f>J322*INDEX('Pliegos Tarifarios (Huechuraba)'!$D:$D,MATCH($B322,'Pliegos Tarifarios (Huechuraba)'!$A:$A,0))</f>
        <v>271368.75</v>
      </c>
      <c r="P322" s="19">
        <f>H322*INDEX('Pliegos Tarifarios (Huechuraba)'!$E:$E,MATCH($B322,'Pliegos Tarifarios (Huechuraba)'!$A:$A,0))</f>
        <v>93024.440959999993</v>
      </c>
      <c r="Q322" s="19" cm="1">
        <f t="array" ref="Q322">H322*_xlfn.IFS(H322&lt;=350,INDEX('Pliegos Tarifarios (Huechuraba)'!$F:$F,MATCH($B322,'Pliegos Tarifarios (Huechuraba)'!$A:$A,0)),H322&lt;=500,INDEX('Pliegos Tarifarios (Huechuraba)'!$G:$G,MATCH($B322,'Pliegos Tarifarios (Huechuraba)'!$A:$A,0)),H322&lt;=1000,INDEX('Pliegos Tarifarios (Huechuraba)'!$H:$H,MATCH($B322,'Pliegos Tarifarios (Huechuraba)'!$A:$A,0)),H322&lt;=5000,INDEX('Pliegos Tarifarios (Huechuraba)'!$I:$I,MATCH($B322,'Pliegos Tarifarios (Huechuraba)'!$A:$A,0)),H322&gt;5000,INDEX('Pliegos Tarifarios (Huechuraba)'!$J:$J,MATCH($B322,'Pliegos Tarifarios (Huechuraba)'!$A:$A,0)))/1.19</f>
        <v>23438.33504201681</v>
      </c>
      <c r="R322" s="19">
        <f>INDEX('Pliegos Tarifarios (Huechuraba)'!$K:$K,MATCH($B322,'Pliegos Tarifarios (Huechuraba)'!$A:$A,0))</f>
        <v>726.16</v>
      </c>
      <c r="S322" s="36">
        <f t="shared" si="12"/>
        <v>1394323.0958520167</v>
      </c>
      <c r="T322" s="36">
        <f t="shared" si="13"/>
        <v>264921.3882118832</v>
      </c>
      <c r="U322" s="19">
        <v>0</v>
      </c>
      <c r="V322" s="36">
        <f t="shared" si="14"/>
        <v>1659244.4840638998</v>
      </c>
    </row>
    <row r="323" spans="1:22" ht="23.4" thickBot="1" x14ac:dyDescent="0.35">
      <c r="A323" s="25" t="s">
        <v>149</v>
      </c>
      <c r="B323" s="26">
        <v>7</v>
      </c>
      <c r="C323" s="27" t="s">
        <v>15</v>
      </c>
      <c r="D323" s="26" t="s">
        <v>20</v>
      </c>
      <c r="E323" s="26" t="s">
        <v>21</v>
      </c>
      <c r="F323" s="27" t="s">
        <v>22</v>
      </c>
      <c r="G323" s="26" t="s">
        <v>19</v>
      </c>
      <c r="H323" s="28">
        <v>3557.31</v>
      </c>
      <c r="I323" s="26">
        <v>9.66</v>
      </c>
      <c r="J323" s="26">
        <v>9.66</v>
      </c>
      <c r="K323" s="29">
        <v>1</v>
      </c>
      <c r="L323" s="26">
        <v>118.58</v>
      </c>
      <c r="M323" s="19">
        <f>H323*INDEX('Pliegos Tarifarios (Huechuraba)'!$B:$B,MATCH($B323,'Pliegos Tarifarios (Huechuraba)'!$A:$A,0))</f>
        <v>468721.83753000002</v>
      </c>
      <c r="N323" s="19">
        <f>I323*INDEX('Pliegos Tarifarios (Huechuraba)'!$C:$C,MATCH($B323,'Pliegos Tarifarios (Huechuraba)'!$A:$A,0))</f>
        <v>32917.792740000004</v>
      </c>
      <c r="O323" s="19">
        <f>J323*INDEX('Pliegos Tarifarios (Huechuraba)'!$D:$D,MATCH($B323,'Pliegos Tarifarios (Huechuraba)'!$A:$A,0))</f>
        <v>139809.18</v>
      </c>
      <c r="P323" s="19">
        <f>H323*INDEX('Pliegos Tarifarios (Huechuraba)'!$E:$E,MATCH($B323,'Pliegos Tarifarios (Huechuraba)'!$A:$A,0))</f>
        <v>46330.405439999995</v>
      </c>
      <c r="Q323" s="19" cm="1">
        <f t="array" ref="Q323">H323*_xlfn.IFS(H323&lt;=350,INDEX('Pliegos Tarifarios (Huechuraba)'!$F:$F,MATCH($B323,'Pliegos Tarifarios (Huechuraba)'!$A:$A,0)),H323&lt;=500,INDEX('Pliegos Tarifarios (Huechuraba)'!$G:$G,MATCH($B323,'Pliegos Tarifarios (Huechuraba)'!$A:$A,0)),H323&lt;=1000,INDEX('Pliegos Tarifarios (Huechuraba)'!$H:$H,MATCH($B323,'Pliegos Tarifarios (Huechuraba)'!$A:$A,0)),H323&lt;=5000,INDEX('Pliegos Tarifarios (Huechuraba)'!$I:$I,MATCH($B323,'Pliegos Tarifarios (Huechuraba)'!$A:$A,0)),H323&gt;5000,INDEX('Pliegos Tarifarios (Huechuraba)'!$J:$J,MATCH($B323,'Pliegos Tarifarios (Huechuraba)'!$A:$A,0)))/1.19</f>
        <v>10674.919336134453</v>
      </c>
      <c r="R323" s="19">
        <f>INDEX('Pliegos Tarifarios (Huechuraba)'!$K:$K,MATCH($B323,'Pliegos Tarifarios (Huechuraba)'!$A:$A,0))</f>
        <v>726.16</v>
      </c>
      <c r="S323" s="36">
        <f t="shared" si="12"/>
        <v>699180.2950461345</v>
      </c>
      <c r="T323" s="36">
        <f t="shared" si="13"/>
        <v>132844.25605876555</v>
      </c>
      <c r="U323" s="19">
        <v>0</v>
      </c>
      <c r="V323" s="36">
        <f t="shared" si="14"/>
        <v>832024.55110490008</v>
      </c>
    </row>
    <row r="324" spans="1:22" ht="23.4" thickBot="1" x14ac:dyDescent="0.35">
      <c r="A324" s="25" t="s">
        <v>149</v>
      </c>
      <c r="B324" s="26">
        <v>7</v>
      </c>
      <c r="C324" s="27" t="s">
        <v>15</v>
      </c>
      <c r="D324" s="26" t="s">
        <v>23</v>
      </c>
      <c r="E324" s="26" t="s">
        <v>21</v>
      </c>
      <c r="F324" s="27" t="s">
        <v>24</v>
      </c>
      <c r="G324" s="26" t="s">
        <v>19</v>
      </c>
      <c r="H324" s="28">
        <v>2848.85</v>
      </c>
      <c r="I324" s="26">
        <v>7.53</v>
      </c>
      <c r="J324" s="26">
        <v>7.44</v>
      </c>
      <c r="K324" s="29">
        <v>0.98799999999999999</v>
      </c>
      <c r="L324" s="26">
        <v>94.96</v>
      </c>
      <c r="M324" s="19">
        <f>H324*INDEX('Pliegos Tarifarios (Huechuraba)'!$B:$B,MATCH($B324,'Pliegos Tarifarios (Huechuraba)'!$A:$A,0))</f>
        <v>375373.02254999999</v>
      </c>
      <c r="N324" s="19">
        <f>I324*INDEX('Pliegos Tarifarios (Huechuraba)'!$C:$C,MATCH($B324,'Pliegos Tarifarios (Huechuraba)'!$A:$A,0))</f>
        <v>25659.521670000002</v>
      </c>
      <c r="O324" s="19">
        <f>J324*INDEX('Pliegos Tarifarios (Huechuraba)'!$D:$D,MATCH($B324,'Pliegos Tarifarios (Huechuraba)'!$A:$A,0))</f>
        <v>107679.12000000001</v>
      </c>
      <c r="P324" s="19">
        <f>H324*INDEX('Pliegos Tarifarios (Huechuraba)'!$E:$E,MATCH($B324,'Pliegos Tarifarios (Huechuraba)'!$A:$A,0))</f>
        <v>37103.422399999996</v>
      </c>
      <c r="Q324" s="19" cm="1">
        <f t="array" ref="Q324">H324*_xlfn.IFS(H324&lt;=350,INDEX('Pliegos Tarifarios (Huechuraba)'!$F:$F,MATCH($B324,'Pliegos Tarifarios (Huechuraba)'!$A:$A,0)),H324&lt;=500,INDEX('Pliegos Tarifarios (Huechuraba)'!$G:$G,MATCH($B324,'Pliegos Tarifarios (Huechuraba)'!$A:$A,0)),H324&lt;=1000,INDEX('Pliegos Tarifarios (Huechuraba)'!$H:$H,MATCH($B324,'Pliegos Tarifarios (Huechuraba)'!$A:$A,0)),H324&lt;=5000,INDEX('Pliegos Tarifarios (Huechuraba)'!$I:$I,MATCH($B324,'Pliegos Tarifarios (Huechuraba)'!$A:$A,0)),H324&gt;5000,INDEX('Pliegos Tarifarios (Huechuraba)'!$J:$J,MATCH($B324,'Pliegos Tarifarios (Huechuraba)'!$A:$A,0)))/1.19</f>
        <v>8548.9439915966377</v>
      </c>
      <c r="R324" s="19">
        <f>INDEX('Pliegos Tarifarios (Huechuraba)'!$K:$K,MATCH($B324,'Pliegos Tarifarios (Huechuraba)'!$A:$A,0))</f>
        <v>726.16</v>
      </c>
      <c r="S324" s="36">
        <f t="shared" si="12"/>
        <v>555090.19061159668</v>
      </c>
      <c r="T324" s="36">
        <f t="shared" si="13"/>
        <v>105467.13621620338</v>
      </c>
      <c r="U324" s="19">
        <v>0</v>
      </c>
      <c r="V324" s="36">
        <f t="shared" si="14"/>
        <v>660557.32682780002</v>
      </c>
    </row>
    <row r="325" spans="1:22" ht="23.4" thickBot="1" x14ac:dyDescent="0.35">
      <c r="A325" s="25" t="s">
        <v>149</v>
      </c>
      <c r="B325" s="26">
        <v>7</v>
      </c>
      <c r="C325" s="27" t="s">
        <v>15</v>
      </c>
      <c r="D325" s="26" t="s">
        <v>25</v>
      </c>
      <c r="E325" s="26" t="s">
        <v>21</v>
      </c>
      <c r="F325" s="27" t="s">
        <v>26</v>
      </c>
      <c r="G325" s="26" t="s">
        <v>19</v>
      </c>
      <c r="H325" s="28">
        <v>2376.35</v>
      </c>
      <c r="I325" s="26">
        <v>6.39</v>
      </c>
      <c r="J325" s="26">
        <v>6.16</v>
      </c>
      <c r="K325" s="29">
        <v>0.96299999999999997</v>
      </c>
      <c r="L325" s="26">
        <v>79.209999999999994</v>
      </c>
      <c r="M325" s="19">
        <f>H325*INDEX('Pliegos Tarifarios (Huechuraba)'!$B:$B,MATCH($B325,'Pliegos Tarifarios (Huechuraba)'!$A:$A,0))</f>
        <v>313115.00504999998</v>
      </c>
      <c r="N325" s="19">
        <f>I325*INDEX('Pliegos Tarifarios (Huechuraba)'!$C:$C,MATCH($B325,'Pliegos Tarifarios (Huechuraba)'!$A:$A,0))</f>
        <v>21774.81321</v>
      </c>
      <c r="O325" s="19">
        <f>J325*INDEX('Pliegos Tarifarios (Huechuraba)'!$D:$D,MATCH($B325,'Pliegos Tarifarios (Huechuraba)'!$A:$A,0))</f>
        <v>89153.680000000008</v>
      </c>
      <c r="P325" s="19">
        <f>H325*INDEX('Pliegos Tarifarios (Huechuraba)'!$E:$E,MATCH($B325,'Pliegos Tarifarios (Huechuraba)'!$A:$A,0))</f>
        <v>30949.582399999996</v>
      </c>
      <c r="Q325" s="19" cm="1">
        <f t="array" ref="Q325">H325*_xlfn.IFS(H325&lt;=350,INDEX('Pliegos Tarifarios (Huechuraba)'!$F:$F,MATCH($B325,'Pliegos Tarifarios (Huechuraba)'!$A:$A,0)),H325&lt;=500,INDEX('Pliegos Tarifarios (Huechuraba)'!$G:$G,MATCH($B325,'Pliegos Tarifarios (Huechuraba)'!$A:$A,0)),H325&lt;=1000,INDEX('Pliegos Tarifarios (Huechuraba)'!$H:$H,MATCH($B325,'Pliegos Tarifarios (Huechuraba)'!$A:$A,0)),H325&lt;=5000,INDEX('Pliegos Tarifarios (Huechuraba)'!$I:$I,MATCH($B325,'Pliegos Tarifarios (Huechuraba)'!$A:$A,0)),H325&gt;5000,INDEX('Pliegos Tarifarios (Huechuraba)'!$J:$J,MATCH($B325,'Pliegos Tarifarios (Huechuraba)'!$A:$A,0)))/1.19</f>
        <v>7131.046932773108</v>
      </c>
      <c r="R325" s="19">
        <f>INDEX('Pliegos Tarifarios (Huechuraba)'!$K:$K,MATCH($B325,'Pliegos Tarifarios (Huechuraba)'!$A:$A,0))</f>
        <v>726.16</v>
      </c>
      <c r="S325" s="36">
        <f t="shared" ref="S325:S388" si="15">SUM(M325:R325)</f>
        <v>462850.28759277303</v>
      </c>
      <c r="T325" s="36">
        <f t="shared" ref="T325:T388" si="16">S325*0.19</f>
        <v>87941.554642626885</v>
      </c>
      <c r="U325" s="19">
        <v>0</v>
      </c>
      <c r="V325" s="36">
        <f t="shared" ref="V325:V388" si="17">SUM(S325:T325)</f>
        <v>550791.84223539988</v>
      </c>
    </row>
    <row r="326" spans="1:22" ht="23.4" thickBot="1" x14ac:dyDescent="0.35">
      <c r="A326" s="25" t="s">
        <v>149</v>
      </c>
      <c r="B326" s="26">
        <v>7</v>
      </c>
      <c r="C326" s="27" t="s">
        <v>15</v>
      </c>
      <c r="D326" s="26" t="s">
        <v>27</v>
      </c>
      <c r="E326" s="26" t="s">
        <v>21</v>
      </c>
      <c r="F326" s="27" t="s">
        <v>28</v>
      </c>
      <c r="G326" s="26" t="s">
        <v>19</v>
      </c>
      <c r="H326" s="28">
        <v>2559.66</v>
      </c>
      <c r="I326" s="26">
        <v>6.96</v>
      </c>
      <c r="J326" s="26">
        <v>6.8</v>
      </c>
      <c r="K326" s="29">
        <v>0.97699999999999998</v>
      </c>
      <c r="L326" s="26">
        <v>85.32</v>
      </c>
      <c r="M326" s="19">
        <f>H326*INDEX('Pliegos Tarifarios (Huechuraba)'!$B:$B,MATCH($B326,'Pliegos Tarifarios (Huechuraba)'!$A:$A,0))</f>
        <v>337268.48057999997</v>
      </c>
      <c r="N326" s="19">
        <f>I326*INDEX('Pliegos Tarifarios (Huechuraba)'!$C:$C,MATCH($B326,'Pliegos Tarifarios (Huechuraba)'!$A:$A,0))</f>
        <v>23717.167440000001</v>
      </c>
      <c r="O326" s="19">
        <f>J326*INDEX('Pliegos Tarifarios (Huechuraba)'!$D:$D,MATCH($B326,'Pliegos Tarifarios (Huechuraba)'!$A:$A,0))</f>
        <v>98416.4</v>
      </c>
      <c r="P326" s="19">
        <f>H326*INDEX('Pliegos Tarifarios (Huechuraba)'!$E:$E,MATCH($B326,'Pliegos Tarifarios (Huechuraba)'!$A:$A,0))</f>
        <v>33337.011839999999</v>
      </c>
      <c r="Q326" s="19" cm="1">
        <f t="array" ref="Q326">H326*_xlfn.IFS(H326&lt;=350,INDEX('Pliegos Tarifarios (Huechuraba)'!$F:$F,MATCH($B326,'Pliegos Tarifarios (Huechuraba)'!$A:$A,0)),H326&lt;=500,INDEX('Pliegos Tarifarios (Huechuraba)'!$G:$G,MATCH($B326,'Pliegos Tarifarios (Huechuraba)'!$A:$A,0)),H326&lt;=1000,INDEX('Pliegos Tarifarios (Huechuraba)'!$H:$H,MATCH($B326,'Pliegos Tarifarios (Huechuraba)'!$A:$A,0)),H326&lt;=5000,INDEX('Pliegos Tarifarios (Huechuraba)'!$I:$I,MATCH($B326,'Pliegos Tarifarios (Huechuraba)'!$A:$A,0)),H326&gt;5000,INDEX('Pliegos Tarifarios (Huechuraba)'!$J:$J,MATCH($B326,'Pliegos Tarifarios (Huechuraba)'!$A:$A,0)))/1.19</f>
        <v>7681.1309747899149</v>
      </c>
      <c r="R326" s="19">
        <f>INDEX('Pliegos Tarifarios (Huechuraba)'!$K:$K,MATCH($B326,'Pliegos Tarifarios (Huechuraba)'!$A:$A,0))</f>
        <v>726.16</v>
      </c>
      <c r="S326" s="36">
        <f t="shared" si="15"/>
        <v>501146.35083478986</v>
      </c>
      <c r="T326" s="36">
        <f t="shared" si="16"/>
        <v>95217.806658610076</v>
      </c>
      <c r="U326" s="19">
        <v>0</v>
      </c>
      <c r="V326" s="36">
        <f t="shared" si="17"/>
        <v>596364.15749339992</v>
      </c>
    </row>
    <row r="327" spans="1:22" ht="23.4" thickBot="1" x14ac:dyDescent="0.35">
      <c r="A327" s="25" t="s">
        <v>149</v>
      </c>
      <c r="B327" s="26">
        <v>7</v>
      </c>
      <c r="C327" s="27" t="s">
        <v>15</v>
      </c>
      <c r="D327" s="26" t="s">
        <v>29</v>
      </c>
      <c r="E327" s="26" t="s">
        <v>21</v>
      </c>
      <c r="F327" s="27" t="s">
        <v>30</v>
      </c>
      <c r="G327" s="26" t="s">
        <v>19</v>
      </c>
      <c r="H327" s="28">
        <v>1706.79</v>
      </c>
      <c r="I327" s="26">
        <v>4.58</v>
      </c>
      <c r="J327" s="26">
        <v>4.4000000000000004</v>
      </c>
      <c r="K327" s="29">
        <v>0.96199999999999997</v>
      </c>
      <c r="L327" s="26">
        <v>56.89</v>
      </c>
      <c r="M327" s="19">
        <f>H327*INDEX('Pliegos Tarifarios (Huechuraba)'!$B:$B,MATCH($B327,'Pliegos Tarifarios (Huechuraba)'!$A:$A,0))</f>
        <v>224891.77077</v>
      </c>
      <c r="N327" s="19">
        <f>I327*INDEX('Pliegos Tarifarios (Huechuraba)'!$C:$C,MATCH($B327,'Pliegos Tarifarios (Huechuraba)'!$A:$A,0))</f>
        <v>15606.986620000001</v>
      </c>
      <c r="O327" s="19">
        <f>J327*INDEX('Pliegos Tarifarios (Huechuraba)'!$D:$D,MATCH($B327,'Pliegos Tarifarios (Huechuraba)'!$A:$A,0))</f>
        <v>63681.200000000004</v>
      </c>
      <c r="P327" s="19">
        <f>H327*INDEX('Pliegos Tarifarios (Huechuraba)'!$E:$E,MATCH($B327,'Pliegos Tarifarios (Huechuraba)'!$A:$A,0))</f>
        <v>22229.232959999998</v>
      </c>
      <c r="Q327" s="19" cm="1">
        <f t="array" ref="Q327">H327*_xlfn.IFS(H327&lt;=350,INDEX('Pliegos Tarifarios (Huechuraba)'!$F:$F,MATCH($B327,'Pliegos Tarifarios (Huechuraba)'!$A:$A,0)),H327&lt;=500,INDEX('Pliegos Tarifarios (Huechuraba)'!$G:$G,MATCH($B327,'Pliegos Tarifarios (Huechuraba)'!$A:$A,0)),H327&lt;=1000,INDEX('Pliegos Tarifarios (Huechuraba)'!$H:$H,MATCH($B327,'Pliegos Tarifarios (Huechuraba)'!$A:$A,0)),H327&lt;=5000,INDEX('Pliegos Tarifarios (Huechuraba)'!$I:$I,MATCH($B327,'Pliegos Tarifarios (Huechuraba)'!$A:$A,0)),H327&gt;5000,INDEX('Pliegos Tarifarios (Huechuraba)'!$J:$J,MATCH($B327,'Pliegos Tarifarios (Huechuraba)'!$A:$A,0)))/1.19</f>
        <v>5121.8042773109246</v>
      </c>
      <c r="R327" s="19">
        <f>INDEX('Pliegos Tarifarios (Huechuraba)'!$K:$K,MATCH($B327,'Pliegos Tarifarios (Huechuraba)'!$A:$A,0))</f>
        <v>726.16</v>
      </c>
      <c r="S327" s="36">
        <f t="shared" si="15"/>
        <v>332257.15462731087</v>
      </c>
      <c r="T327" s="36">
        <f t="shared" si="16"/>
        <v>63128.859379189067</v>
      </c>
      <c r="U327" s="19">
        <v>0</v>
      </c>
      <c r="V327" s="36">
        <f t="shared" si="17"/>
        <v>395386.01400649996</v>
      </c>
    </row>
    <row r="328" spans="1:22" ht="23.4" thickBot="1" x14ac:dyDescent="0.35">
      <c r="A328" s="25" t="s">
        <v>149</v>
      </c>
      <c r="B328" s="26">
        <v>7</v>
      </c>
      <c r="C328" s="27" t="s">
        <v>15</v>
      </c>
      <c r="D328" s="26" t="s">
        <v>31</v>
      </c>
      <c r="E328" s="26" t="s">
        <v>21</v>
      </c>
      <c r="F328" s="27" t="s">
        <v>32</v>
      </c>
      <c r="G328" s="26" t="s">
        <v>33</v>
      </c>
      <c r="H328" s="26">
        <v>569.52</v>
      </c>
      <c r="I328" s="26">
        <v>1.55</v>
      </c>
      <c r="J328" s="26">
        <v>1.55</v>
      </c>
      <c r="K328" s="29">
        <v>0.997</v>
      </c>
      <c r="L328" s="26">
        <v>18.98</v>
      </c>
      <c r="M328" s="19">
        <f>H328*INDEX('Pliegos Tarifarios (Huechuraba)'!$B:$B,MATCH($B328,'Pliegos Tarifarios (Huechuraba)'!$A:$A,0))</f>
        <v>75041.663759999996</v>
      </c>
      <c r="N328" s="19">
        <f>I328*INDEX('Pliegos Tarifarios (Huechuraba)'!$C:$C,MATCH($B328,'Pliegos Tarifarios (Huechuraba)'!$A:$A,0))</f>
        <v>5281.8404500000006</v>
      </c>
      <c r="O328" s="19">
        <f>J328*INDEX('Pliegos Tarifarios (Huechuraba)'!$D:$D,MATCH($B328,'Pliegos Tarifarios (Huechuraba)'!$A:$A,0))</f>
        <v>22433.15</v>
      </c>
      <c r="P328" s="19">
        <f>H328*INDEX('Pliegos Tarifarios (Huechuraba)'!$E:$E,MATCH($B328,'Pliegos Tarifarios (Huechuraba)'!$A:$A,0))</f>
        <v>7417.4284799999996</v>
      </c>
      <c r="Q328" s="19" cm="1">
        <f t="array" ref="Q328">H328*_xlfn.IFS(H328&lt;=350,INDEX('Pliegos Tarifarios (Huechuraba)'!$F:$F,MATCH($B328,'Pliegos Tarifarios (Huechuraba)'!$A:$A,0)),H328&lt;=500,INDEX('Pliegos Tarifarios (Huechuraba)'!$G:$G,MATCH($B328,'Pliegos Tarifarios (Huechuraba)'!$A:$A,0)),H328&lt;=1000,INDEX('Pliegos Tarifarios (Huechuraba)'!$H:$H,MATCH($B328,'Pliegos Tarifarios (Huechuraba)'!$A:$A,0)),H328&lt;=5000,INDEX('Pliegos Tarifarios (Huechuraba)'!$I:$I,MATCH($B328,'Pliegos Tarifarios (Huechuraba)'!$A:$A,0)),H328&gt;5000,INDEX('Pliegos Tarifarios (Huechuraba)'!$J:$J,MATCH($B328,'Pliegos Tarifarios (Huechuraba)'!$A:$A,0)))/1.19</f>
        <v>1335.7397647058824</v>
      </c>
      <c r="R328" s="19">
        <f>INDEX('Pliegos Tarifarios (Huechuraba)'!$K:$K,MATCH($B328,'Pliegos Tarifarios (Huechuraba)'!$A:$A,0))</f>
        <v>726.16</v>
      </c>
      <c r="S328" s="36">
        <f t="shared" si="15"/>
        <v>112235.9824547059</v>
      </c>
      <c r="T328" s="36">
        <f t="shared" si="16"/>
        <v>21324.83666639412</v>
      </c>
      <c r="U328" s="19">
        <v>0</v>
      </c>
      <c r="V328" s="36">
        <f t="shared" si="17"/>
        <v>133560.81912110001</v>
      </c>
    </row>
    <row r="329" spans="1:22" ht="23.4" thickBot="1" x14ac:dyDescent="0.35">
      <c r="A329" s="25" t="s">
        <v>149</v>
      </c>
      <c r="B329" s="26">
        <v>7</v>
      </c>
      <c r="C329" s="27" t="s">
        <v>15</v>
      </c>
      <c r="D329" s="26" t="s">
        <v>34</v>
      </c>
      <c r="E329" s="26" t="s">
        <v>21</v>
      </c>
      <c r="F329" s="27" t="s">
        <v>35</v>
      </c>
      <c r="G329" s="26" t="s">
        <v>19</v>
      </c>
      <c r="H329" s="28">
        <v>1705.31</v>
      </c>
      <c r="I329" s="26">
        <v>4.72</v>
      </c>
      <c r="J329" s="26">
        <v>4.58</v>
      </c>
      <c r="K329" s="29">
        <v>0.97099999999999997</v>
      </c>
      <c r="L329" s="26">
        <v>56.84</v>
      </c>
      <c r="M329" s="19">
        <f>H329*INDEX('Pliegos Tarifarios (Huechuraba)'!$B:$B,MATCH($B329,'Pliegos Tarifarios (Huechuraba)'!$A:$A,0))</f>
        <v>224696.76152999999</v>
      </c>
      <c r="N329" s="19">
        <f>I329*INDEX('Pliegos Tarifarios (Huechuraba)'!$C:$C,MATCH($B329,'Pliegos Tarifarios (Huechuraba)'!$A:$A,0))</f>
        <v>16084.05608</v>
      </c>
      <c r="O329" s="19">
        <f>J329*INDEX('Pliegos Tarifarios (Huechuraba)'!$D:$D,MATCH($B329,'Pliegos Tarifarios (Huechuraba)'!$A:$A,0))</f>
        <v>66286.34</v>
      </c>
      <c r="P329" s="19">
        <f>H329*INDEX('Pliegos Tarifarios (Huechuraba)'!$E:$E,MATCH($B329,'Pliegos Tarifarios (Huechuraba)'!$A:$A,0))</f>
        <v>22209.957439999998</v>
      </c>
      <c r="Q329" s="19" cm="1">
        <f t="array" ref="Q329">H329*_xlfn.IFS(H329&lt;=350,INDEX('Pliegos Tarifarios (Huechuraba)'!$F:$F,MATCH($B329,'Pliegos Tarifarios (Huechuraba)'!$A:$A,0)),H329&lt;=500,INDEX('Pliegos Tarifarios (Huechuraba)'!$G:$G,MATCH($B329,'Pliegos Tarifarios (Huechuraba)'!$A:$A,0)),H329&lt;=1000,INDEX('Pliegos Tarifarios (Huechuraba)'!$H:$H,MATCH($B329,'Pliegos Tarifarios (Huechuraba)'!$A:$A,0)),H329&lt;=5000,INDEX('Pliegos Tarifarios (Huechuraba)'!$I:$I,MATCH($B329,'Pliegos Tarifarios (Huechuraba)'!$A:$A,0)),H329&gt;5000,INDEX('Pliegos Tarifarios (Huechuraba)'!$J:$J,MATCH($B329,'Pliegos Tarifarios (Huechuraba)'!$A:$A,0)))/1.19</f>
        <v>5117.3630336134447</v>
      </c>
      <c r="R329" s="19">
        <f>INDEX('Pliegos Tarifarios (Huechuraba)'!$K:$K,MATCH($B329,'Pliegos Tarifarios (Huechuraba)'!$A:$A,0))</f>
        <v>726.16</v>
      </c>
      <c r="S329" s="36">
        <f t="shared" si="15"/>
        <v>335120.63808361342</v>
      </c>
      <c r="T329" s="36">
        <f t="shared" si="16"/>
        <v>63672.921235886548</v>
      </c>
      <c r="U329" s="19">
        <v>0</v>
      </c>
      <c r="V329" s="36">
        <f t="shared" si="17"/>
        <v>398793.5593195</v>
      </c>
    </row>
    <row r="330" spans="1:22" ht="23.4" thickBot="1" x14ac:dyDescent="0.35">
      <c r="A330" s="25" t="s">
        <v>149</v>
      </c>
      <c r="B330" s="26">
        <v>7</v>
      </c>
      <c r="C330" s="27" t="s">
        <v>15</v>
      </c>
      <c r="D330" s="26" t="s">
        <v>36</v>
      </c>
      <c r="E330" s="26" t="s">
        <v>37</v>
      </c>
      <c r="F330" s="27" t="s">
        <v>38</v>
      </c>
      <c r="G330" s="26" t="s">
        <v>33</v>
      </c>
      <c r="H330" s="26">
        <v>710.09</v>
      </c>
      <c r="I330" s="26">
        <v>1.94</v>
      </c>
      <c r="J330" s="26">
        <v>1.94</v>
      </c>
      <c r="K330" s="29">
        <v>1</v>
      </c>
      <c r="L330" s="26">
        <v>23.67</v>
      </c>
      <c r="M330" s="19">
        <f>H330*INDEX('Pliegos Tarifarios (Huechuraba)'!$B:$B,MATCH($B330,'Pliegos Tarifarios (Huechuraba)'!$A:$A,0))</f>
        <v>93563.588670000012</v>
      </c>
      <c r="N330" s="19">
        <f>I330*INDEX('Pliegos Tarifarios (Huechuraba)'!$C:$C,MATCH($B330,'Pliegos Tarifarios (Huechuraba)'!$A:$A,0))</f>
        <v>6610.8196600000001</v>
      </c>
      <c r="O330" s="19">
        <f>J330*INDEX('Pliegos Tarifarios (Huechuraba)'!$D:$D,MATCH($B330,'Pliegos Tarifarios (Huechuraba)'!$A:$A,0))</f>
        <v>28077.62</v>
      </c>
      <c r="P330" s="19">
        <f>H330*INDEX('Pliegos Tarifarios (Huechuraba)'!$E:$E,MATCH($B330,'Pliegos Tarifarios (Huechuraba)'!$A:$A,0))</f>
        <v>9248.2121599999991</v>
      </c>
      <c r="Q330" s="19" cm="1">
        <f t="array" ref="Q330">H330*_xlfn.IFS(H330&lt;=350,INDEX('Pliegos Tarifarios (Huechuraba)'!$F:$F,MATCH($B330,'Pliegos Tarifarios (Huechuraba)'!$A:$A,0)),H330&lt;=500,INDEX('Pliegos Tarifarios (Huechuraba)'!$G:$G,MATCH($B330,'Pliegos Tarifarios (Huechuraba)'!$A:$A,0)),H330&lt;=1000,INDEX('Pliegos Tarifarios (Huechuraba)'!$H:$H,MATCH($B330,'Pliegos Tarifarios (Huechuraba)'!$A:$A,0)),H330&lt;=5000,INDEX('Pliegos Tarifarios (Huechuraba)'!$I:$I,MATCH($B330,'Pliegos Tarifarios (Huechuraba)'!$A:$A,0)),H330&gt;5000,INDEX('Pliegos Tarifarios (Huechuraba)'!$J:$J,MATCH($B330,'Pliegos Tarifarios (Huechuraba)'!$A:$A,0)))/1.19</f>
        <v>1665.4295714285718</v>
      </c>
      <c r="R330" s="19">
        <f>INDEX('Pliegos Tarifarios (Huechuraba)'!$K:$K,MATCH($B330,'Pliegos Tarifarios (Huechuraba)'!$A:$A,0))</f>
        <v>726.16</v>
      </c>
      <c r="S330" s="36">
        <f t="shared" si="15"/>
        <v>139891.83006142857</v>
      </c>
      <c r="T330" s="36">
        <f t="shared" si="16"/>
        <v>26579.44771167143</v>
      </c>
      <c r="U330" s="19">
        <v>0</v>
      </c>
      <c r="V330" s="36">
        <f t="shared" si="17"/>
        <v>166471.27777310001</v>
      </c>
    </row>
    <row r="331" spans="1:22" ht="23.4" thickBot="1" x14ac:dyDescent="0.35">
      <c r="A331" s="25" t="s">
        <v>149</v>
      </c>
      <c r="B331" s="26">
        <v>7</v>
      </c>
      <c r="C331" s="27" t="s">
        <v>15</v>
      </c>
      <c r="D331" s="26" t="s">
        <v>39</v>
      </c>
      <c r="E331" s="26" t="s">
        <v>37</v>
      </c>
      <c r="F331" s="27" t="s">
        <v>40</v>
      </c>
      <c r="G331" s="26" t="s">
        <v>33</v>
      </c>
      <c r="H331" s="26">
        <v>568.14</v>
      </c>
      <c r="I331" s="26">
        <v>1.56</v>
      </c>
      <c r="J331" s="26">
        <v>1.56</v>
      </c>
      <c r="K331" s="29">
        <v>1</v>
      </c>
      <c r="L331" s="26">
        <v>18.940000000000001</v>
      </c>
      <c r="M331" s="19">
        <f>H331*INDEX('Pliegos Tarifarios (Huechuraba)'!$B:$B,MATCH($B331,'Pliegos Tarifarios (Huechuraba)'!$A:$A,0))</f>
        <v>74859.830820000003</v>
      </c>
      <c r="N331" s="19">
        <f>I331*INDEX('Pliegos Tarifarios (Huechuraba)'!$C:$C,MATCH($B331,'Pliegos Tarifarios (Huechuraba)'!$A:$A,0))</f>
        <v>5315.9168400000008</v>
      </c>
      <c r="O331" s="19">
        <f>J331*INDEX('Pliegos Tarifarios (Huechuraba)'!$D:$D,MATCH($B331,'Pliegos Tarifarios (Huechuraba)'!$A:$A,0))</f>
        <v>22577.88</v>
      </c>
      <c r="P331" s="19">
        <f>H331*INDEX('Pliegos Tarifarios (Huechuraba)'!$E:$E,MATCH($B331,'Pliegos Tarifarios (Huechuraba)'!$A:$A,0))</f>
        <v>7399.455359999999</v>
      </c>
      <c r="Q331" s="19" cm="1">
        <f t="array" ref="Q331">H331*_xlfn.IFS(H331&lt;=350,INDEX('Pliegos Tarifarios (Huechuraba)'!$F:$F,MATCH($B331,'Pliegos Tarifarios (Huechuraba)'!$A:$A,0)),H331&lt;=500,INDEX('Pliegos Tarifarios (Huechuraba)'!$G:$G,MATCH($B331,'Pliegos Tarifarios (Huechuraba)'!$A:$A,0)),H331&lt;=1000,INDEX('Pliegos Tarifarios (Huechuraba)'!$H:$H,MATCH($B331,'Pliegos Tarifarios (Huechuraba)'!$A:$A,0)),H331&lt;=5000,INDEX('Pliegos Tarifarios (Huechuraba)'!$I:$I,MATCH($B331,'Pliegos Tarifarios (Huechuraba)'!$A:$A,0)),H331&gt;5000,INDEX('Pliegos Tarifarios (Huechuraba)'!$J:$J,MATCH($B331,'Pliegos Tarifarios (Huechuraba)'!$A:$A,0)))/1.19</f>
        <v>1332.5031428571431</v>
      </c>
      <c r="R331" s="19">
        <f>INDEX('Pliegos Tarifarios (Huechuraba)'!$K:$K,MATCH($B331,'Pliegos Tarifarios (Huechuraba)'!$A:$A,0))</f>
        <v>726.16</v>
      </c>
      <c r="S331" s="36">
        <f t="shared" si="15"/>
        <v>112211.74616285715</v>
      </c>
      <c r="T331" s="36">
        <f t="shared" si="16"/>
        <v>21320.231770942857</v>
      </c>
      <c r="U331" s="19">
        <v>0</v>
      </c>
      <c r="V331" s="36">
        <f t="shared" si="17"/>
        <v>133531.97793379999</v>
      </c>
    </row>
    <row r="332" spans="1:22" ht="23.4" thickBot="1" x14ac:dyDescent="0.35">
      <c r="A332" s="25" t="s">
        <v>149</v>
      </c>
      <c r="B332" s="26">
        <v>7</v>
      </c>
      <c r="C332" s="27" t="s">
        <v>15</v>
      </c>
      <c r="D332" s="26" t="s">
        <v>41</v>
      </c>
      <c r="E332" s="26" t="s">
        <v>37</v>
      </c>
      <c r="F332" s="27" t="s">
        <v>42</v>
      </c>
      <c r="G332" s="26" t="s">
        <v>33</v>
      </c>
      <c r="H332" s="28">
        <v>1139.52</v>
      </c>
      <c r="I332" s="26">
        <v>3.18</v>
      </c>
      <c r="J332" s="26">
        <v>3.05</v>
      </c>
      <c r="K332" s="29">
        <v>0.95699999999999996</v>
      </c>
      <c r="L332" s="26">
        <v>37.979999999999997</v>
      </c>
      <c r="M332" s="19">
        <f>H332*INDEX('Pliegos Tarifarios (Huechuraba)'!$B:$B,MATCH($B332,'Pliegos Tarifarios (Huechuraba)'!$A:$A,0))</f>
        <v>150146.57376</v>
      </c>
      <c r="N332" s="19">
        <f>I332*INDEX('Pliegos Tarifarios (Huechuraba)'!$C:$C,MATCH($B332,'Pliegos Tarifarios (Huechuraba)'!$A:$A,0))</f>
        <v>10836.292020000001</v>
      </c>
      <c r="O332" s="19">
        <f>J332*INDEX('Pliegos Tarifarios (Huechuraba)'!$D:$D,MATCH($B332,'Pliegos Tarifarios (Huechuraba)'!$A:$A,0))</f>
        <v>44142.649999999994</v>
      </c>
      <c r="P332" s="19">
        <f>H332*INDEX('Pliegos Tarifarios (Huechuraba)'!$E:$E,MATCH($B332,'Pliegos Tarifarios (Huechuraba)'!$A:$A,0))</f>
        <v>14841.108479999999</v>
      </c>
      <c r="Q332" s="19" cm="1">
        <f t="array" ref="Q332">H332*_xlfn.IFS(H332&lt;=350,INDEX('Pliegos Tarifarios (Huechuraba)'!$F:$F,MATCH($B332,'Pliegos Tarifarios (Huechuraba)'!$A:$A,0)),H332&lt;=500,INDEX('Pliegos Tarifarios (Huechuraba)'!$G:$G,MATCH($B332,'Pliegos Tarifarios (Huechuraba)'!$A:$A,0)),H332&lt;=1000,INDEX('Pliegos Tarifarios (Huechuraba)'!$H:$H,MATCH($B332,'Pliegos Tarifarios (Huechuraba)'!$A:$A,0)),H332&lt;=5000,INDEX('Pliegos Tarifarios (Huechuraba)'!$I:$I,MATCH($B332,'Pliegos Tarifarios (Huechuraba)'!$A:$A,0)),H332&gt;5000,INDEX('Pliegos Tarifarios (Huechuraba)'!$J:$J,MATCH($B332,'Pliegos Tarifarios (Huechuraba)'!$A:$A,0)))/1.19</f>
        <v>3419.5175798319324</v>
      </c>
      <c r="R332" s="19">
        <f>INDEX('Pliegos Tarifarios (Huechuraba)'!$K:$K,MATCH($B332,'Pliegos Tarifarios (Huechuraba)'!$A:$A,0))</f>
        <v>726.16</v>
      </c>
      <c r="S332" s="36">
        <f t="shared" si="15"/>
        <v>224112.30183983193</v>
      </c>
      <c r="T332" s="36">
        <f t="shared" si="16"/>
        <v>42581.337349568064</v>
      </c>
      <c r="U332" s="19">
        <v>0</v>
      </c>
      <c r="V332" s="36">
        <f t="shared" si="17"/>
        <v>266693.63918940001</v>
      </c>
    </row>
    <row r="333" spans="1:22" ht="23.4" thickBot="1" x14ac:dyDescent="0.35">
      <c r="A333" s="25" t="s">
        <v>149</v>
      </c>
      <c r="B333" s="26">
        <v>7</v>
      </c>
      <c r="C333" s="27" t="s">
        <v>15</v>
      </c>
      <c r="D333" s="26" t="s">
        <v>43</v>
      </c>
      <c r="E333" s="26" t="s">
        <v>37</v>
      </c>
      <c r="F333" s="27" t="s">
        <v>44</v>
      </c>
      <c r="G333" s="26" t="s">
        <v>33</v>
      </c>
      <c r="H333" s="26">
        <v>426.77</v>
      </c>
      <c r="I333" s="26">
        <v>1.2</v>
      </c>
      <c r="J333" s="26">
        <v>1.1299999999999999</v>
      </c>
      <c r="K333" s="29">
        <v>0.94599999999999995</v>
      </c>
      <c r="L333" s="26">
        <v>14.23</v>
      </c>
      <c r="M333" s="19">
        <f>H333*INDEX('Pliegos Tarifarios (Huechuraba)'!$B:$B,MATCH($B333,'Pliegos Tarifarios (Huechuraba)'!$A:$A,0))</f>
        <v>56232.495510000001</v>
      </c>
      <c r="N333" s="19">
        <f>I333*INDEX('Pliegos Tarifarios (Huechuraba)'!$C:$C,MATCH($B333,'Pliegos Tarifarios (Huechuraba)'!$A:$A,0))</f>
        <v>4089.1668</v>
      </c>
      <c r="O333" s="19">
        <f>J333*INDEX('Pliegos Tarifarios (Huechuraba)'!$D:$D,MATCH($B333,'Pliegos Tarifarios (Huechuraba)'!$A:$A,0))</f>
        <v>16354.489999999998</v>
      </c>
      <c r="P333" s="19">
        <f>H333*INDEX('Pliegos Tarifarios (Huechuraba)'!$E:$E,MATCH($B333,'Pliegos Tarifarios (Huechuraba)'!$A:$A,0))</f>
        <v>5558.2524799999992</v>
      </c>
      <c r="Q333" s="19" cm="1">
        <f t="array" ref="Q333">H333*_xlfn.IFS(H333&lt;=350,INDEX('Pliegos Tarifarios (Huechuraba)'!$F:$F,MATCH($B333,'Pliegos Tarifarios (Huechuraba)'!$A:$A,0)),H333&lt;=500,INDEX('Pliegos Tarifarios (Huechuraba)'!$G:$G,MATCH($B333,'Pliegos Tarifarios (Huechuraba)'!$A:$A,0)),H333&lt;=1000,INDEX('Pliegos Tarifarios (Huechuraba)'!$H:$H,MATCH($B333,'Pliegos Tarifarios (Huechuraba)'!$A:$A,0)),H333&lt;=5000,INDEX('Pliegos Tarifarios (Huechuraba)'!$I:$I,MATCH($B333,'Pliegos Tarifarios (Huechuraba)'!$A:$A,0)),H333&gt;5000,INDEX('Pliegos Tarifarios (Huechuraba)'!$J:$J,MATCH($B333,'Pliegos Tarifarios (Huechuraba)'!$A:$A,0)))/1.19</f>
        <v>601.06430252100847</v>
      </c>
      <c r="R333" s="19">
        <f>INDEX('Pliegos Tarifarios (Huechuraba)'!$K:$K,MATCH($B333,'Pliegos Tarifarios (Huechuraba)'!$A:$A,0))</f>
        <v>726.16</v>
      </c>
      <c r="S333" s="36">
        <f t="shared" si="15"/>
        <v>83561.62909252102</v>
      </c>
      <c r="T333" s="36">
        <f t="shared" si="16"/>
        <v>15876.709527578994</v>
      </c>
      <c r="U333" s="19">
        <v>0</v>
      </c>
      <c r="V333" s="36">
        <f t="shared" si="17"/>
        <v>99438.33862010001</v>
      </c>
    </row>
    <row r="334" spans="1:22" ht="23.4" thickBot="1" x14ac:dyDescent="0.35">
      <c r="A334" s="25" t="s">
        <v>149</v>
      </c>
      <c r="B334" s="26">
        <v>7</v>
      </c>
      <c r="C334" s="27" t="s">
        <v>15</v>
      </c>
      <c r="D334" s="26" t="s">
        <v>45</v>
      </c>
      <c r="E334" s="26" t="s">
        <v>37</v>
      </c>
      <c r="F334" s="27" t="s">
        <v>46</v>
      </c>
      <c r="G334" s="26" t="s">
        <v>33</v>
      </c>
      <c r="H334" s="26">
        <v>425.96</v>
      </c>
      <c r="I334" s="26">
        <v>1.1599999999999999</v>
      </c>
      <c r="J334" s="26">
        <v>1.1599999999999999</v>
      </c>
      <c r="K334" s="29">
        <v>1</v>
      </c>
      <c r="L334" s="26">
        <v>14.2</v>
      </c>
      <c r="M334" s="19">
        <f>H334*INDEX('Pliegos Tarifarios (Huechuraba)'!$B:$B,MATCH($B334,'Pliegos Tarifarios (Huechuraba)'!$A:$A,0))</f>
        <v>56125.767480000002</v>
      </c>
      <c r="N334" s="19">
        <f>I334*INDEX('Pliegos Tarifarios (Huechuraba)'!$C:$C,MATCH($B334,'Pliegos Tarifarios (Huechuraba)'!$A:$A,0))</f>
        <v>3952.8612399999997</v>
      </c>
      <c r="O334" s="19">
        <f>J334*INDEX('Pliegos Tarifarios (Huechuraba)'!$D:$D,MATCH($B334,'Pliegos Tarifarios (Huechuraba)'!$A:$A,0))</f>
        <v>16788.68</v>
      </c>
      <c r="P334" s="19">
        <f>H334*INDEX('Pliegos Tarifarios (Huechuraba)'!$E:$E,MATCH($B334,'Pliegos Tarifarios (Huechuraba)'!$A:$A,0))</f>
        <v>5547.7030399999994</v>
      </c>
      <c r="Q334" s="19" cm="1">
        <f t="array" ref="Q334">H334*_xlfn.IFS(H334&lt;=350,INDEX('Pliegos Tarifarios (Huechuraba)'!$F:$F,MATCH($B334,'Pliegos Tarifarios (Huechuraba)'!$A:$A,0)),H334&lt;=500,INDEX('Pliegos Tarifarios (Huechuraba)'!$G:$G,MATCH($B334,'Pliegos Tarifarios (Huechuraba)'!$A:$A,0)),H334&lt;=1000,INDEX('Pliegos Tarifarios (Huechuraba)'!$H:$H,MATCH($B334,'Pliegos Tarifarios (Huechuraba)'!$A:$A,0)),H334&lt;=5000,INDEX('Pliegos Tarifarios (Huechuraba)'!$I:$I,MATCH($B334,'Pliegos Tarifarios (Huechuraba)'!$A:$A,0)),H334&gt;5000,INDEX('Pliegos Tarifarios (Huechuraba)'!$J:$J,MATCH($B334,'Pliegos Tarifarios (Huechuraba)'!$A:$A,0)))/1.19</f>
        <v>599.92349579831932</v>
      </c>
      <c r="R334" s="19">
        <f>INDEX('Pliegos Tarifarios (Huechuraba)'!$K:$K,MATCH($B334,'Pliegos Tarifarios (Huechuraba)'!$A:$A,0))</f>
        <v>726.16</v>
      </c>
      <c r="S334" s="36">
        <f t="shared" si="15"/>
        <v>83741.095255798311</v>
      </c>
      <c r="T334" s="36">
        <f t="shared" si="16"/>
        <v>15910.808098601679</v>
      </c>
      <c r="U334" s="19">
        <v>0</v>
      </c>
      <c r="V334" s="36">
        <f t="shared" si="17"/>
        <v>99651.903354399983</v>
      </c>
    </row>
    <row r="335" spans="1:22" ht="23.4" thickBot="1" x14ac:dyDescent="0.35">
      <c r="A335" s="25" t="s">
        <v>149</v>
      </c>
      <c r="B335" s="26">
        <v>7</v>
      </c>
      <c r="C335" s="27" t="s">
        <v>15</v>
      </c>
      <c r="D335" s="26" t="s">
        <v>47</v>
      </c>
      <c r="E335" s="26" t="s">
        <v>37</v>
      </c>
      <c r="F335" s="27" t="s">
        <v>48</v>
      </c>
      <c r="G335" s="26" t="s">
        <v>33</v>
      </c>
      <c r="H335" s="26">
        <v>853.66</v>
      </c>
      <c r="I335" s="26">
        <v>2.2799999999999998</v>
      </c>
      <c r="J335" s="26">
        <v>2.27</v>
      </c>
      <c r="K335" s="29">
        <v>0.995</v>
      </c>
      <c r="L335" s="26">
        <v>28.46</v>
      </c>
      <c r="M335" s="19">
        <f>H335*INDEX('Pliegos Tarifarios (Huechuraba)'!$B:$B,MATCH($B335,'Pliegos Tarifarios (Huechuraba)'!$A:$A,0))</f>
        <v>112480.80258</v>
      </c>
      <c r="N335" s="19">
        <f>I335*INDEX('Pliegos Tarifarios (Huechuraba)'!$C:$C,MATCH($B335,'Pliegos Tarifarios (Huechuraba)'!$A:$A,0))</f>
        <v>7769.4169199999997</v>
      </c>
      <c r="O335" s="19">
        <f>J335*INDEX('Pliegos Tarifarios (Huechuraba)'!$D:$D,MATCH($B335,'Pliegos Tarifarios (Huechuraba)'!$A:$A,0))</f>
        <v>32853.71</v>
      </c>
      <c r="P335" s="19">
        <f>H335*INDEX('Pliegos Tarifarios (Huechuraba)'!$E:$E,MATCH($B335,'Pliegos Tarifarios (Huechuraba)'!$A:$A,0))</f>
        <v>11118.06784</v>
      </c>
      <c r="Q335" s="19" cm="1">
        <f t="array" ref="Q335">H335*_xlfn.IFS(H335&lt;=350,INDEX('Pliegos Tarifarios (Huechuraba)'!$F:$F,MATCH($B335,'Pliegos Tarifarios (Huechuraba)'!$A:$A,0)),H335&lt;=500,INDEX('Pliegos Tarifarios (Huechuraba)'!$G:$G,MATCH($B335,'Pliegos Tarifarios (Huechuraba)'!$A:$A,0)),H335&lt;=1000,INDEX('Pliegos Tarifarios (Huechuraba)'!$H:$H,MATCH($B335,'Pliegos Tarifarios (Huechuraba)'!$A:$A,0)),H335&lt;=5000,INDEX('Pliegos Tarifarios (Huechuraba)'!$I:$I,MATCH($B335,'Pliegos Tarifarios (Huechuraba)'!$A:$A,0)),H335&gt;5000,INDEX('Pliegos Tarifarios (Huechuraba)'!$J:$J,MATCH($B335,'Pliegos Tarifarios (Huechuraba)'!$A:$A,0)))/1.19</f>
        <v>2002.1555126050423</v>
      </c>
      <c r="R335" s="19">
        <f>INDEX('Pliegos Tarifarios (Huechuraba)'!$K:$K,MATCH($B335,'Pliegos Tarifarios (Huechuraba)'!$A:$A,0))</f>
        <v>726.16</v>
      </c>
      <c r="S335" s="36">
        <f t="shared" si="15"/>
        <v>166950.31285260504</v>
      </c>
      <c r="T335" s="36">
        <f t="shared" si="16"/>
        <v>31720.559441994959</v>
      </c>
      <c r="U335" s="19">
        <v>0</v>
      </c>
      <c r="V335" s="36">
        <f t="shared" si="17"/>
        <v>198670.87229460001</v>
      </c>
    </row>
    <row r="336" spans="1:22" ht="23.4" thickBot="1" x14ac:dyDescent="0.35">
      <c r="A336" s="25" t="s">
        <v>149</v>
      </c>
      <c r="B336" s="26">
        <v>7</v>
      </c>
      <c r="C336" s="27" t="s">
        <v>15</v>
      </c>
      <c r="D336" s="26" t="s">
        <v>49</v>
      </c>
      <c r="E336" s="26" t="s">
        <v>50</v>
      </c>
      <c r="F336" s="27" t="s">
        <v>51</v>
      </c>
      <c r="G336" s="26" t="s">
        <v>33</v>
      </c>
      <c r="H336" s="26">
        <v>853.18</v>
      </c>
      <c r="I336" s="26">
        <v>2.31</v>
      </c>
      <c r="J336" s="26">
        <v>2.31</v>
      </c>
      <c r="K336" s="29">
        <v>1</v>
      </c>
      <c r="L336" s="26">
        <v>28.44</v>
      </c>
      <c r="M336" s="19">
        <f>H336*INDEX('Pliegos Tarifarios (Huechuraba)'!$B:$B,MATCH($B336,'Pliegos Tarifarios (Huechuraba)'!$A:$A,0))</f>
        <v>112417.55634</v>
      </c>
      <c r="N336" s="19">
        <f>I336*INDEX('Pliegos Tarifarios (Huechuraba)'!$C:$C,MATCH($B336,'Pliegos Tarifarios (Huechuraba)'!$A:$A,0))</f>
        <v>7871.6460900000002</v>
      </c>
      <c r="O336" s="19">
        <f>J336*INDEX('Pliegos Tarifarios (Huechuraba)'!$D:$D,MATCH($B336,'Pliegos Tarifarios (Huechuraba)'!$A:$A,0))</f>
        <v>33432.629999999997</v>
      </c>
      <c r="P336" s="19">
        <f>H336*INDEX('Pliegos Tarifarios (Huechuraba)'!$E:$E,MATCH($B336,'Pliegos Tarifarios (Huechuraba)'!$A:$A,0))</f>
        <v>11111.816319999998</v>
      </c>
      <c r="Q336" s="19" cm="1">
        <f t="array" ref="Q336">H336*_xlfn.IFS(H336&lt;=350,INDEX('Pliegos Tarifarios (Huechuraba)'!$F:$F,MATCH($B336,'Pliegos Tarifarios (Huechuraba)'!$A:$A,0)),H336&lt;=500,INDEX('Pliegos Tarifarios (Huechuraba)'!$G:$G,MATCH($B336,'Pliegos Tarifarios (Huechuraba)'!$A:$A,0)),H336&lt;=1000,INDEX('Pliegos Tarifarios (Huechuraba)'!$H:$H,MATCH($B336,'Pliegos Tarifarios (Huechuraba)'!$A:$A,0)),H336&lt;=5000,INDEX('Pliegos Tarifarios (Huechuraba)'!$I:$I,MATCH($B336,'Pliegos Tarifarios (Huechuraba)'!$A:$A,0)),H336&gt;5000,INDEX('Pliegos Tarifarios (Huechuraba)'!$J:$J,MATCH($B336,'Pliegos Tarifarios (Huechuraba)'!$A:$A,0)))/1.19</f>
        <v>2001.0297310924373</v>
      </c>
      <c r="R336" s="19">
        <f>INDEX('Pliegos Tarifarios (Huechuraba)'!$K:$K,MATCH($B336,'Pliegos Tarifarios (Huechuraba)'!$A:$A,0))</f>
        <v>726.16</v>
      </c>
      <c r="S336" s="36">
        <f t="shared" si="15"/>
        <v>167560.83848109245</v>
      </c>
      <c r="T336" s="36">
        <f t="shared" si="16"/>
        <v>31836.559311407564</v>
      </c>
      <c r="U336" s="19">
        <v>0</v>
      </c>
      <c r="V336" s="36">
        <f t="shared" si="17"/>
        <v>199397.39779250001</v>
      </c>
    </row>
    <row r="337" spans="1:22" ht="23.4" thickBot="1" x14ac:dyDescent="0.35">
      <c r="A337" s="25" t="s">
        <v>149</v>
      </c>
      <c r="B337" s="26">
        <v>7</v>
      </c>
      <c r="C337" s="27" t="s">
        <v>15</v>
      </c>
      <c r="D337" s="26" t="s">
        <v>52</v>
      </c>
      <c r="E337" s="26" t="s">
        <v>50</v>
      </c>
      <c r="F337" s="27" t="s">
        <v>53</v>
      </c>
      <c r="G337" s="26" t="s">
        <v>33</v>
      </c>
      <c r="H337" s="26">
        <v>849.81</v>
      </c>
      <c r="I337" s="26">
        <v>2.35</v>
      </c>
      <c r="J337" s="26">
        <v>2.2599999999999998</v>
      </c>
      <c r="K337" s="29">
        <v>0.96099999999999997</v>
      </c>
      <c r="L337" s="26">
        <v>28.33</v>
      </c>
      <c r="M337" s="19">
        <f>H337*INDEX('Pliegos Tarifarios (Huechuraba)'!$B:$B,MATCH($B337,'Pliegos Tarifarios (Huechuraba)'!$A:$A,0))</f>
        <v>111973.51503</v>
      </c>
      <c r="N337" s="19">
        <f>I337*INDEX('Pliegos Tarifarios (Huechuraba)'!$C:$C,MATCH($B337,'Pliegos Tarifarios (Huechuraba)'!$A:$A,0))</f>
        <v>8007.9516500000009</v>
      </c>
      <c r="O337" s="19">
        <f>J337*INDEX('Pliegos Tarifarios (Huechuraba)'!$D:$D,MATCH($B337,'Pliegos Tarifarios (Huechuraba)'!$A:$A,0))</f>
        <v>32708.979999999996</v>
      </c>
      <c r="P337" s="19">
        <f>H337*INDEX('Pliegos Tarifarios (Huechuraba)'!$E:$E,MATCH($B337,'Pliegos Tarifarios (Huechuraba)'!$A:$A,0))</f>
        <v>11067.925439999999</v>
      </c>
      <c r="Q337" s="19" cm="1">
        <f t="array" ref="Q337">H337*_xlfn.IFS(H337&lt;=350,INDEX('Pliegos Tarifarios (Huechuraba)'!$F:$F,MATCH($B337,'Pliegos Tarifarios (Huechuraba)'!$A:$A,0)),H337&lt;=500,INDEX('Pliegos Tarifarios (Huechuraba)'!$G:$G,MATCH($B337,'Pliegos Tarifarios (Huechuraba)'!$A:$A,0)),H337&lt;=1000,INDEX('Pliegos Tarifarios (Huechuraba)'!$H:$H,MATCH($B337,'Pliegos Tarifarios (Huechuraba)'!$A:$A,0)),H337&lt;=5000,INDEX('Pliegos Tarifarios (Huechuraba)'!$I:$I,MATCH($B337,'Pliegos Tarifarios (Huechuraba)'!$A:$A,0)),H337&gt;5000,INDEX('Pliegos Tarifarios (Huechuraba)'!$J:$J,MATCH($B337,'Pliegos Tarifarios (Huechuraba)'!$A:$A,0)))/1.19</f>
        <v>1993.1258067226893</v>
      </c>
      <c r="R337" s="19">
        <f>INDEX('Pliegos Tarifarios (Huechuraba)'!$K:$K,MATCH($B337,'Pliegos Tarifarios (Huechuraba)'!$A:$A,0))</f>
        <v>726.16</v>
      </c>
      <c r="S337" s="36">
        <f t="shared" si="15"/>
        <v>166477.65792672269</v>
      </c>
      <c r="T337" s="36">
        <f t="shared" si="16"/>
        <v>31630.75500607731</v>
      </c>
      <c r="U337" s="19">
        <v>0</v>
      </c>
      <c r="V337" s="36">
        <f t="shared" si="17"/>
        <v>198108.41293280001</v>
      </c>
    </row>
    <row r="338" spans="1:22" ht="23.4" thickBot="1" x14ac:dyDescent="0.35">
      <c r="A338" s="25" t="s">
        <v>149</v>
      </c>
      <c r="B338" s="26">
        <v>7</v>
      </c>
      <c r="C338" s="27" t="s">
        <v>15</v>
      </c>
      <c r="D338" s="26" t="s">
        <v>54</v>
      </c>
      <c r="E338" s="26" t="s">
        <v>55</v>
      </c>
      <c r="F338" s="27" t="s">
        <v>56</v>
      </c>
      <c r="G338" s="26" t="s">
        <v>33</v>
      </c>
      <c r="H338" s="26">
        <v>426.24</v>
      </c>
      <c r="I338" s="26">
        <v>1.1499999999999999</v>
      </c>
      <c r="J338" s="26">
        <v>1.1499999999999999</v>
      </c>
      <c r="K338" s="29">
        <v>1</v>
      </c>
      <c r="L338" s="26">
        <v>14.21</v>
      </c>
      <c r="M338" s="19">
        <f>H338*INDEX('Pliegos Tarifarios (Huechuraba)'!$B:$B,MATCH($B338,'Pliegos Tarifarios (Huechuraba)'!$A:$A,0))</f>
        <v>56162.661120000004</v>
      </c>
      <c r="N338" s="19">
        <f>I338*INDEX('Pliegos Tarifarios (Huechuraba)'!$C:$C,MATCH($B338,'Pliegos Tarifarios (Huechuraba)'!$A:$A,0))</f>
        <v>3918.78485</v>
      </c>
      <c r="O338" s="19">
        <f>J338*INDEX('Pliegos Tarifarios (Huechuraba)'!$D:$D,MATCH($B338,'Pliegos Tarifarios (Huechuraba)'!$A:$A,0))</f>
        <v>16643.949999999997</v>
      </c>
      <c r="P338" s="19">
        <f>H338*INDEX('Pliegos Tarifarios (Huechuraba)'!$E:$E,MATCH($B338,'Pliegos Tarifarios (Huechuraba)'!$A:$A,0))</f>
        <v>5551.3497600000001</v>
      </c>
      <c r="Q338" s="19" cm="1">
        <f t="array" ref="Q338">H338*_xlfn.IFS(H338&lt;=350,INDEX('Pliegos Tarifarios (Huechuraba)'!$F:$F,MATCH($B338,'Pliegos Tarifarios (Huechuraba)'!$A:$A,0)),H338&lt;=500,INDEX('Pliegos Tarifarios (Huechuraba)'!$G:$G,MATCH($B338,'Pliegos Tarifarios (Huechuraba)'!$A:$A,0)),H338&lt;=1000,INDEX('Pliegos Tarifarios (Huechuraba)'!$H:$H,MATCH($B338,'Pliegos Tarifarios (Huechuraba)'!$A:$A,0)),H338&lt;=5000,INDEX('Pliegos Tarifarios (Huechuraba)'!$I:$I,MATCH($B338,'Pliegos Tarifarios (Huechuraba)'!$A:$A,0)),H338&gt;5000,INDEX('Pliegos Tarifarios (Huechuraba)'!$J:$J,MATCH($B338,'Pliegos Tarifarios (Huechuraba)'!$A:$A,0)))/1.19</f>
        <v>600.31784873949596</v>
      </c>
      <c r="R338" s="19">
        <f>INDEX('Pliegos Tarifarios (Huechuraba)'!$K:$K,MATCH($B338,'Pliegos Tarifarios (Huechuraba)'!$A:$A,0))</f>
        <v>726.16</v>
      </c>
      <c r="S338" s="36">
        <f t="shared" si="15"/>
        <v>83603.223578739489</v>
      </c>
      <c r="T338" s="36">
        <f t="shared" si="16"/>
        <v>15884.612479960504</v>
      </c>
      <c r="U338" s="19">
        <v>0</v>
      </c>
      <c r="V338" s="36">
        <f t="shared" si="17"/>
        <v>99487.836058699992</v>
      </c>
    </row>
    <row r="339" spans="1:22" ht="23.4" thickBot="1" x14ac:dyDescent="0.35">
      <c r="A339" s="25" t="s">
        <v>149</v>
      </c>
      <c r="B339" s="26">
        <v>7</v>
      </c>
      <c r="C339" s="27" t="s">
        <v>15</v>
      </c>
      <c r="D339" s="26" t="s">
        <v>57</v>
      </c>
      <c r="E339" s="26" t="s">
        <v>58</v>
      </c>
      <c r="F339" s="27" t="s">
        <v>59</v>
      </c>
      <c r="G339" s="26" t="s">
        <v>33</v>
      </c>
      <c r="H339" s="26">
        <v>283.86</v>
      </c>
      <c r="I339" s="26">
        <v>0.77</v>
      </c>
      <c r="J339" s="26">
        <v>0.75</v>
      </c>
      <c r="K339" s="29">
        <v>0.96499999999999997</v>
      </c>
      <c r="L339" s="26">
        <v>9.4600000000000009</v>
      </c>
      <c r="M339" s="19">
        <f>H339*INDEX('Pliegos Tarifarios (Huechuraba)'!$B:$B,MATCH($B339,'Pliegos Tarifarios (Huechuraba)'!$A:$A,0))</f>
        <v>37402.245180000005</v>
      </c>
      <c r="N339" s="19">
        <f>I339*INDEX('Pliegos Tarifarios (Huechuraba)'!$C:$C,MATCH($B339,'Pliegos Tarifarios (Huechuraba)'!$A:$A,0))</f>
        <v>2623.8820300000002</v>
      </c>
      <c r="O339" s="19">
        <f>J339*INDEX('Pliegos Tarifarios (Huechuraba)'!$D:$D,MATCH($B339,'Pliegos Tarifarios (Huechuraba)'!$A:$A,0))</f>
        <v>10854.75</v>
      </c>
      <c r="P339" s="19">
        <f>H339*INDEX('Pliegos Tarifarios (Huechuraba)'!$E:$E,MATCH($B339,'Pliegos Tarifarios (Huechuraba)'!$A:$A,0))</f>
        <v>3696.9926399999999</v>
      </c>
      <c r="Q339" s="19" cm="1">
        <f t="array" ref="Q339">H339*_xlfn.IFS(H339&lt;=350,INDEX('Pliegos Tarifarios (Huechuraba)'!$F:$F,MATCH($B339,'Pliegos Tarifarios (Huechuraba)'!$A:$A,0)),H339&lt;=500,INDEX('Pliegos Tarifarios (Huechuraba)'!$G:$G,MATCH($B339,'Pliegos Tarifarios (Huechuraba)'!$A:$A,0)),H339&lt;=1000,INDEX('Pliegos Tarifarios (Huechuraba)'!$H:$H,MATCH($B339,'Pliegos Tarifarios (Huechuraba)'!$A:$A,0)),H339&lt;=5000,INDEX('Pliegos Tarifarios (Huechuraba)'!$I:$I,MATCH($B339,'Pliegos Tarifarios (Huechuraba)'!$A:$A,0)),H339&gt;5000,INDEX('Pliegos Tarifarios (Huechuraba)'!$J:$J,MATCH($B339,'Pliegos Tarifarios (Huechuraba)'!$A:$A,0)))/1.19</f>
        <v>187.01364705882355</v>
      </c>
      <c r="R339" s="19">
        <f>INDEX('Pliegos Tarifarios (Huechuraba)'!$K:$K,MATCH($B339,'Pliegos Tarifarios (Huechuraba)'!$A:$A,0))</f>
        <v>726.16</v>
      </c>
      <c r="S339" s="36">
        <f t="shared" si="15"/>
        <v>55491.043497058832</v>
      </c>
      <c r="T339" s="36">
        <f t="shared" si="16"/>
        <v>10543.298264441179</v>
      </c>
      <c r="U339" s="19">
        <v>0</v>
      </c>
      <c r="V339" s="36">
        <f t="shared" si="17"/>
        <v>66034.341761500007</v>
      </c>
    </row>
    <row r="340" spans="1:22" ht="23.4" thickBot="1" x14ac:dyDescent="0.35">
      <c r="A340" s="25" t="s">
        <v>149</v>
      </c>
      <c r="B340" s="26">
        <v>7</v>
      </c>
      <c r="C340" s="27" t="s">
        <v>15</v>
      </c>
      <c r="D340" s="26" t="s">
        <v>60</v>
      </c>
      <c r="E340" s="26" t="s">
        <v>61</v>
      </c>
      <c r="F340" s="27" t="s">
        <v>62</v>
      </c>
      <c r="G340" s="26" t="s">
        <v>33</v>
      </c>
      <c r="H340" s="26">
        <v>283.91000000000003</v>
      </c>
      <c r="I340" s="26">
        <v>0.77</v>
      </c>
      <c r="J340" s="26">
        <v>0.75</v>
      </c>
      <c r="K340" s="29">
        <v>0.96699999999999997</v>
      </c>
      <c r="L340" s="26">
        <v>9.4600000000000009</v>
      </c>
      <c r="M340" s="19">
        <f>H340*INDEX('Pliegos Tarifarios (Huechuraba)'!$B:$B,MATCH($B340,'Pliegos Tarifarios (Huechuraba)'!$A:$A,0))</f>
        <v>37408.833330000001</v>
      </c>
      <c r="N340" s="19">
        <f>I340*INDEX('Pliegos Tarifarios (Huechuraba)'!$C:$C,MATCH($B340,'Pliegos Tarifarios (Huechuraba)'!$A:$A,0))</f>
        <v>2623.8820300000002</v>
      </c>
      <c r="O340" s="19">
        <f>J340*INDEX('Pliegos Tarifarios (Huechuraba)'!$D:$D,MATCH($B340,'Pliegos Tarifarios (Huechuraba)'!$A:$A,0))</f>
        <v>10854.75</v>
      </c>
      <c r="P340" s="19">
        <f>H340*INDEX('Pliegos Tarifarios (Huechuraba)'!$E:$E,MATCH($B340,'Pliegos Tarifarios (Huechuraba)'!$A:$A,0))</f>
        <v>3697.6438400000002</v>
      </c>
      <c r="Q340" s="19" cm="1">
        <f t="array" ref="Q340">H340*_xlfn.IFS(H340&lt;=350,INDEX('Pliegos Tarifarios (Huechuraba)'!$F:$F,MATCH($B340,'Pliegos Tarifarios (Huechuraba)'!$A:$A,0)),H340&lt;=500,INDEX('Pliegos Tarifarios (Huechuraba)'!$G:$G,MATCH($B340,'Pliegos Tarifarios (Huechuraba)'!$A:$A,0)),H340&lt;=1000,INDEX('Pliegos Tarifarios (Huechuraba)'!$H:$H,MATCH($B340,'Pliegos Tarifarios (Huechuraba)'!$A:$A,0)),H340&lt;=5000,INDEX('Pliegos Tarifarios (Huechuraba)'!$I:$I,MATCH($B340,'Pliegos Tarifarios (Huechuraba)'!$A:$A,0)),H340&gt;5000,INDEX('Pliegos Tarifarios (Huechuraba)'!$J:$J,MATCH($B340,'Pliegos Tarifarios (Huechuraba)'!$A:$A,0)))/1.19</f>
        <v>187.04658823529417</v>
      </c>
      <c r="R340" s="19">
        <f>INDEX('Pliegos Tarifarios (Huechuraba)'!$K:$K,MATCH($B340,'Pliegos Tarifarios (Huechuraba)'!$A:$A,0))</f>
        <v>726.16</v>
      </c>
      <c r="S340" s="36">
        <f t="shared" si="15"/>
        <v>55498.315788235297</v>
      </c>
      <c r="T340" s="36">
        <f t="shared" si="16"/>
        <v>10544.679999764707</v>
      </c>
      <c r="U340" s="19">
        <v>0</v>
      </c>
      <c r="V340" s="36">
        <f t="shared" si="17"/>
        <v>66042.995788</v>
      </c>
    </row>
    <row r="341" spans="1:22" ht="23.4" thickBot="1" x14ac:dyDescent="0.35">
      <c r="A341" s="25" t="s">
        <v>149</v>
      </c>
      <c r="B341" s="26">
        <v>7</v>
      </c>
      <c r="C341" s="27" t="s">
        <v>15</v>
      </c>
      <c r="D341" s="26" t="s">
        <v>63</v>
      </c>
      <c r="E341" s="26" t="s">
        <v>64</v>
      </c>
      <c r="F341" s="27" t="s">
        <v>65</v>
      </c>
      <c r="G341" s="26" t="s">
        <v>33</v>
      </c>
      <c r="H341" s="26">
        <v>284.37</v>
      </c>
      <c r="I341" s="26">
        <v>0.78</v>
      </c>
      <c r="J341" s="26">
        <v>0.78</v>
      </c>
      <c r="K341" s="29">
        <v>1</v>
      </c>
      <c r="L341" s="26">
        <v>9.48</v>
      </c>
      <c r="M341" s="19">
        <f>H341*INDEX('Pliegos Tarifarios (Huechuraba)'!$B:$B,MATCH($B341,'Pliegos Tarifarios (Huechuraba)'!$A:$A,0))</f>
        <v>37469.444309999999</v>
      </c>
      <c r="N341" s="19">
        <f>I341*INDEX('Pliegos Tarifarios (Huechuraba)'!$C:$C,MATCH($B341,'Pliegos Tarifarios (Huechuraba)'!$A:$A,0))</f>
        <v>2657.9584200000004</v>
      </c>
      <c r="O341" s="19">
        <f>J341*INDEX('Pliegos Tarifarios (Huechuraba)'!$D:$D,MATCH($B341,'Pliegos Tarifarios (Huechuraba)'!$A:$A,0))</f>
        <v>11288.94</v>
      </c>
      <c r="P341" s="19">
        <f>H341*INDEX('Pliegos Tarifarios (Huechuraba)'!$E:$E,MATCH($B341,'Pliegos Tarifarios (Huechuraba)'!$A:$A,0))</f>
        <v>3703.6348799999996</v>
      </c>
      <c r="Q341" s="19" cm="1">
        <f t="array" ref="Q341">H341*_xlfn.IFS(H341&lt;=350,INDEX('Pliegos Tarifarios (Huechuraba)'!$F:$F,MATCH($B341,'Pliegos Tarifarios (Huechuraba)'!$A:$A,0)),H341&lt;=500,INDEX('Pliegos Tarifarios (Huechuraba)'!$G:$G,MATCH($B341,'Pliegos Tarifarios (Huechuraba)'!$A:$A,0)),H341&lt;=1000,INDEX('Pliegos Tarifarios (Huechuraba)'!$H:$H,MATCH($B341,'Pliegos Tarifarios (Huechuraba)'!$A:$A,0)),H341&lt;=5000,INDEX('Pliegos Tarifarios (Huechuraba)'!$I:$I,MATCH($B341,'Pliegos Tarifarios (Huechuraba)'!$A:$A,0)),H341&gt;5000,INDEX('Pliegos Tarifarios (Huechuraba)'!$J:$J,MATCH($B341,'Pliegos Tarifarios (Huechuraba)'!$A:$A,0)))/1.19</f>
        <v>187.34964705882356</v>
      </c>
      <c r="R341" s="19">
        <f>INDEX('Pliegos Tarifarios (Huechuraba)'!$K:$K,MATCH($B341,'Pliegos Tarifarios (Huechuraba)'!$A:$A,0))</f>
        <v>726.16</v>
      </c>
      <c r="S341" s="36">
        <f t="shared" si="15"/>
        <v>56033.487257058827</v>
      </c>
      <c r="T341" s="36">
        <f t="shared" si="16"/>
        <v>10646.362578841177</v>
      </c>
      <c r="U341" s="19">
        <v>0</v>
      </c>
      <c r="V341" s="36">
        <f t="shared" si="17"/>
        <v>66679.849835900008</v>
      </c>
    </row>
    <row r="342" spans="1:22" ht="23.4" thickBot="1" x14ac:dyDescent="0.35">
      <c r="A342" s="25" t="s">
        <v>149</v>
      </c>
      <c r="B342" s="26">
        <v>7</v>
      </c>
      <c r="C342" s="27" t="s">
        <v>15</v>
      </c>
      <c r="D342" s="26" t="s">
        <v>66</v>
      </c>
      <c r="E342" s="26" t="s">
        <v>37</v>
      </c>
      <c r="F342" s="27" t="s">
        <v>67</v>
      </c>
      <c r="G342" s="26" t="s">
        <v>33</v>
      </c>
      <c r="H342" s="26">
        <v>568</v>
      </c>
      <c r="I342" s="26">
        <v>1.51</v>
      </c>
      <c r="J342" s="26">
        <v>1.49</v>
      </c>
      <c r="K342" s="29">
        <v>0.98299999999999998</v>
      </c>
      <c r="L342" s="26">
        <v>18.93</v>
      </c>
      <c r="M342" s="19">
        <f>H342*INDEX('Pliegos Tarifarios (Huechuraba)'!$B:$B,MATCH($B342,'Pliegos Tarifarios (Huechuraba)'!$A:$A,0))</f>
        <v>74841.384000000005</v>
      </c>
      <c r="N342" s="19">
        <f>I342*INDEX('Pliegos Tarifarios (Huechuraba)'!$C:$C,MATCH($B342,'Pliegos Tarifarios (Huechuraba)'!$A:$A,0))</f>
        <v>5145.5348899999999</v>
      </c>
      <c r="O342" s="19">
        <f>J342*INDEX('Pliegos Tarifarios (Huechuraba)'!$D:$D,MATCH($B342,'Pliegos Tarifarios (Huechuraba)'!$A:$A,0))</f>
        <v>21564.77</v>
      </c>
      <c r="P342" s="19">
        <f>H342*INDEX('Pliegos Tarifarios (Huechuraba)'!$E:$E,MATCH($B342,'Pliegos Tarifarios (Huechuraba)'!$A:$A,0))</f>
        <v>7397.6319999999996</v>
      </c>
      <c r="Q342" s="19" cm="1">
        <f t="array" ref="Q342">H342*_xlfn.IFS(H342&lt;=350,INDEX('Pliegos Tarifarios (Huechuraba)'!$F:$F,MATCH($B342,'Pliegos Tarifarios (Huechuraba)'!$A:$A,0)),H342&lt;=500,INDEX('Pliegos Tarifarios (Huechuraba)'!$G:$G,MATCH($B342,'Pliegos Tarifarios (Huechuraba)'!$A:$A,0)),H342&lt;=1000,INDEX('Pliegos Tarifarios (Huechuraba)'!$H:$H,MATCH($B342,'Pliegos Tarifarios (Huechuraba)'!$A:$A,0)),H342&lt;=5000,INDEX('Pliegos Tarifarios (Huechuraba)'!$I:$I,MATCH($B342,'Pliegos Tarifarios (Huechuraba)'!$A:$A,0)),H342&gt;5000,INDEX('Pliegos Tarifarios (Huechuraba)'!$J:$J,MATCH($B342,'Pliegos Tarifarios (Huechuraba)'!$A:$A,0)))/1.19</f>
        <v>1332.1747899159666</v>
      </c>
      <c r="R342" s="19">
        <f>INDEX('Pliegos Tarifarios (Huechuraba)'!$K:$K,MATCH($B342,'Pliegos Tarifarios (Huechuraba)'!$A:$A,0))</f>
        <v>726.16</v>
      </c>
      <c r="S342" s="36">
        <f t="shared" si="15"/>
        <v>111007.65567991597</v>
      </c>
      <c r="T342" s="36">
        <f t="shared" si="16"/>
        <v>21091.454579184036</v>
      </c>
      <c r="U342" s="19">
        <v>0</v>
      </c>
      <c r="V342" s="36">
        <f t="shared" si="17"/>
        <v>132099.11025910001</v>
      </c>
    </row>
    <row r="343" spans="1:22" ht="23.4" thickBot="1" x14ac:dyDescent="0.35">
      <c r="A343" s="25" t="s">
        <v>149</v>
      </c>
      <c r="B343" s="26">
        <v>7</v>
      </c>
      <c r="C343" s="27" t="s">
        <v>15</v>
      </c>
      <c r="D343" s="26" t="s">
        <v>68</v>
      </c>
      <c r="E343" s="26" t="s">
        <v>37</v>
      </c>
      <c r="F343" s="27" t="s">
        <v>69</v>
      </c>
      <c r="G343" s="26" t="s">
        <v>33</v>
      </c>
      <c r="H343" s="26">
        <v>568.08000000000004</v>
      </c>
      <c r="I343" s="26">
        <v>1.51</v>
      </c>
      <c r="J343" s="26">
        <v>1.51</v>
      </c>
      <c r="K343" s="29">
        <v>1</v>
      </c>
      <c r="L343" s="26">
        <v>18.940000000000001</v>
      </c>
      <c r="M343" s="19">
        <f>H343*INDEX('Pliegos Tarifarios (Huechuraba)'!$B:$B,MATCH($B343,'Pliegos Tarifarios (Huechuraba)'!$A:$A,0))</f>
        <v>74851.925040000002</v>
      </c>
      <c r="N343" s="19">
        <f>I343*INDEX('Pliegos Tarifarios (Huechuraba)'!$C:$C,MATCH($B343,'Pliegos Tarifarios (Huechuraba)'!$A:$A,0))</f>
        <v>5145.5348899999999</v>
      </c>
      <c r="O343" s="19">
        <f>J343*INDEX('Pliegos Tarifarios (Huechuraba)'!$D:$D,MATCH($B343,'Pliegos Tarifarios (Huechuraba)'!$A:$A,0))</f>
        <v>21854.23</v>
      </c>
      <c r="P343" s="19">
        <f>H343*INDEX('Pliegos Tarifarios (Huechuraba)'!$E:$E,MATCH($B343,'Pliegos Tarifarios (Huechuraba)'!$A:$A,0))</f>
        <v>7398.6739200000002</v>
      </c>
      <c r="Q343" s="19" cm="1">
        <f t="array" ref="Q343">H343*_xlfn.IFS(H343&lt;=350,INDEX('Pliegos Tarifarios (Huechuraba)'!$F:$F,MATCH($B343,'Pliegos Tarifarios (Huechuraba)'!$A:$A,0)),H343&lt;=500,INDEX('Pliegos Tarifarios (Huechuraba)'!$G:$G,MATCH($B343,'Pliegos Tarifarios (Huechuraba)'!$A:$A,0)),H343&lt;=1000,INDEX('Pliegos Tarifarios (Huechuraba)'!$H:$H,MATCH($B343,'Pliegos Tarifarios (Huechuraba)'!$A:$A,0)),H343&lt;=5000,INDEX('Pliegos Tarifarios (Huechuraba)'!$I:$I,MATCH($B343,'Pliegos Tarifarios (Huechuraba)'!$A:$A,0)),H343&gt;5000,INDEX('Pliegos Tarifarios (Huechuraba)'!$J:$J,MATCH($B343,'Pliegos Tarifarios (Huechuraba)'!$A:$A,0)))/1.19</f>
        <v>1332.3624201680677</v>
      </c>
      <c r="R343" s="19">
        <f>INDEX('Pliegos Tarifarios (Huechuraba)'!$K:$K,MATCH($B343,'Pliegos Tarifarios (Huechuraba)'!$A:$A,0))</f>
        <v>726.16</v>
      </c>
      <c r="S343" s="36">
        <f t="shared" si="15"/>
        <v>111308.88627016806</v>
      </c>
      <c r="T343" s="36">
        <f t="shared" si="16"/>
        <v>21148.688391331933</v>
      </c>
      <c r="U343" s="19">
        <v>0</v>
      </c>
      <c r="V343" s="36">
        <f t="shared" si="17"/>
        <v>132457.5746615</v>
      </c>
    </row>
    <row r="344" spans="1:22" ht="23.4" thickBot="1" x14ac:dyDescent="0.35">
      <c r="A344" s="25" t="s">
        <v>149</v>
      </c>
      <c r="B344" s="26">
        <v>7</v>
      </c>
      <c r="C344" s="27" t="s">
        <v>15</v>
      </c>
      <c r="D344" s="26" t="s">
        <v>70</v>
      </c>
      <c r="E344" s="26" t="s">
        <v>37</v>
      </c>
      <c r="F344" s="27" t="s">
        <v>71</v>
      </c>
      <c r="G344" s="26" t="s">
        <v>33</v>
      </c>
      <c r="H344" s="26">
        <v>569.08000000000004</v>
      </c>
      <c r="I344" s="26">
        <v>1.53</v>
      </c>
      <c r="J344" s="26">
        <v>1.52</v>
      </c>
      <c r="K344" s="29">
        <v>0.99199999999999999</v>
      </c>
      <c r="L344" s="26">
        <v>18.97</v>
      </c>
      <c r="M344" s="19">
        <f>H344*INDEX('Pliegos Tarifarios (Huechuraba)'!$B:$B,MATCH($B344,'Pliegos Tarifarios (Huechuraba)'!$A:$A,0))</f>
        <v>74983.688040000008</v>
      </c>
      <c r="N344" s="19">
        <f>I344*INDEX('Pliegos Tarifarios (Huechuraba)'!$C:$C,MATCH($B344,'Pliegos Tarifarios (Huechuraba)'!$A:$A,0))</f>
        <v>5213.6876700000003</v>
      </c>
      <c r="O344" s="19">
        <f>J344*INDEX('Pliegos Tarifarios (Huechuraba)'!$D:$D,MATCH($B344,'Pliegos Tarifarios (Huechuraba)'!$A:$A,0))</f>
        <v>21998.959999999999</v>
      </c>
      <c r="P344" s="19">
        <f>H344*INDEX('Pliegos Tarifarios (Huechuraba)'!$E:$E,MATCH($B344,'Pliegos Tarifarios (Huechuraba)'!$A:$A,0))</f>
        <v>7411.6979199999996</v>
      </c>
      <c r="Q344" s="19" cm="1">
        <f t="array" ref="Q344">H344*_xlfn.IFS(H344&lt;=350,INDEX('Pliegos Tarifarios (Huechuraba)'!$F:$F,MATCH($B344,'Pliegos Tarifarios (Huechuraba)'!$A:$A,0)),H344&lt;=500,INDEX('Pliegos Tarifarios (Huechuraba)'!$G:$G,MATCH($B344,'Pliegos Tarifarios (Huechuraba)'!$A:$A,0)),H344&lt;=1000,INDEX('Pliegos Tarifarios (Huechuraba)'!$H:$H,MATCH($B344,'Pliegos Tarifarios (Huechuraba)'!$A:$A,0)),H344&lt;=5000,INDEX('Pliegos Tarifarios (Huechuraba)'!$I:$I,MATCH($B344,'Pliegos Tarifarios (Huechuraba)'!$A:$A,0)),H344&gt;5000,INDEX('Pliegos Tarifarios (Huechuraba)'!$J:$J,MATCH($B344,'Pliegos Tarifarios (Huechuraba)'!$A:$A,0)))/1.19</f>
        <v>1334.707798319328</v>
      </c>
      <c r="R344" s="19">
        <f>INDEX('Pliegos Tarifarios (Huechuraba)'!$K:$K,MATCH($B344,'Pliegos Tarifarios (Huechuraba)'!$A:$A,0))</f>
        <v>726.16</v>
      </c>
      <c r="S344" s="36">
        <f t="shared" si="15"/>
        <v>111668.90142831935</v>
      </c>
      <c r="T344" s="36">
        <f t="shared" si="16"/>
        <v>21217.091271380679</v>
      </c>
      <c r="U344" s="19">
        <v>0</v>
      </c>
      <c r="V344" s="36">
        <f t="shared" si="17"/>
        <v>132885.99269970003</v>
      </c>
    </row>
    <row r="345" spans="1:22" ht="23.4" thickBot="1" x14ac:dyDescent="0.35">
      <c r="A345" s="25" t="s">
        <v>149</v>
      </c>
      <c r="B345" s="26">
        <v>7</v>
      </c>
      <c r="C345" s="27" t="s">
        <v>15</v>
      </c>
      <c r="D345" s="26" t="s">
        <v>72</v>
      </c>
      <c r="E345" s="26" t="s">
        <v>73</v>
      </c>
      <c r="F345" s="27" t="s">
        <v>74</v>
      </c>
      <c r="G345" s="26" t="s">
        <v>33</v>
      </c>
      <c r="H345" s="26">
        <v>711.14</v>
      </c>
      <c r="I345" s="26">
        <v>1.98</v>
      </c>
      <c r="J345" s="26">
        <v>1.98</v>
      </c>
      <c r="K345" s="29">
        <v>1</v>
      </c>
      <c r="L345" s="26">
        <v>23.7</v>
      </c>
      <c r="M345" s="19">
        <f>H345*INDEX('Pliegos Tarifarios (Huechuraba)'!$B:$B,MATCH($B345,'Pliegos Tarifarios (Huechuraba)'!$A:$A,0))</f>
        <v>93701.93982</v>
      </c>
      <c r="N345" s="19">
        <f>I345*INDEX('Pliegos Tarifarios (Huechuraba)'!$C:$C,MATCH($B345,'Pliegos Tarifarios (Huechuraba)'!$A:$A,0))</f>
        <v>6747.1252199999999</v>
      </c>
      <c r="O345" s="19">
        <f>J345*INDEX('Pliegos Tarifarios (Huechuraba)'!$D:$D,MATCH($B345,'Pliegos Tarifarios (Huechuraba)'!$A:$A,0))</f>
        <v>28656.54</v>
      </c>
      <c r="P345" s="19">
        <f>H345*INDEX('Pliegos Tarifarios (Huechuraba)'!$E:$E,MATCH($B345,'Pliegos Tarifarios (Huechuraba)'!$A:$A,0))</f>
        <v>9261.8873599999988</v>
      </c>
      <c r="Q345" s="19" cm="1">
        <f t="array" ref="Q345">H345*_xlfn.IFS(H345&lt;=350,INDEX('Pliegos Tarifarios (Huechuraba)'!$F:$F,MATCH($B345,'Pliegos Tarifarios (Huechuraba)'!$A:$A,0)),H345&lt;=500,INDEX('Pliegos Tarifarios (Huechuraba)'!$G:$G,MATCH($B345,'Pliegos Tarifarios (Huechuraba)'!$A:$A,0)),H345&lt;=1000,INDEX('Pliegos Tarifarios (Huechuraba)'!$H:$H,MATCH($B345,'Pliegos Tarifarios (Huechuraba)'!$A:$A,0)),H345&lt;=5000,INDEX('Pliegos Tarifarios (Huechuraba)'!$I:$I,MATCH($B345,'Pliegos Tarifarios (Huechuraba)'!$A:$A,0)),H345&gt;5000,INDEX('Pliegos Tarifarios (Huechuraba)'!$J:$J,MATCH($B345,'Pliegos Tarifarios (Huechuraba)'!$A:$A,0)))/1.19</f>
        <v>1667.8922184873952</v>
      </c>
      <c r="R345" s="19">
        <f>INDEX('Pliegos Tarifarios (Huechuraba)'!$K:$K,MATCH($B345,'Pliegos Tarifarios (Huechuraba)'!$A:$A,0))</f>
        <v>726.16</v>
      </c>
      <c r="S345" s="36">
        <f t="shared" si="15"/>
        <v>140761.54461848739</v>
      </c>
      <c r="T345" s="36">
        <f t="shared" si="16"/>
        <v>26744.693477512603</v>
      </c>
      <c r="U345" s="19">
        <v>0</v>
      </c>
      <c r="V345" s="36">
        <f t="shared" si="17"/>
        <v>167506.23809599999</v>
      </c>
    </row>
    <row r="346" spans="1:22" ht="23.4" thickBot="1" x14ac:dyDescent="0.35">
      <c r="A346" s="25" t="s">
        <v>149</v>
      </c>
      <c r="B346" s="26">
        <v>7</v>
      </c>
      <c r="C346" s="27" t="s">
        <v>15</v>
      </c>
      <c r="D346" s="26" t="s">
        <v>75</v>
      </c>
      <c r="E346" s="26" t="s">
        <v>76</v>
      </c>
      <c r="F346" s="27" t="s">
        <v>77</v>
      </c>
      <c r="G346" s="26" t="s">
        <v>19</v>
      </c>
      <c r="H346" s="28">
        <v>1139.8399999999999</v>
      </c>
      <c r="I346" s="26">
        <v>3.05</v>
      </c>
      <c r="J346" s="26">
        <v>3.02</v>
      </c>
      <c r="K346" s="29">
        <v>0.98899999999999999</v>
      </c>
      <c r="L346" s="26">
        <v>37.99</v>
      </c>
      <c r="M346" s="19">
        <f>H346*INDEX('Pliegos Tarifarios (Huechuraba)'!$B:$B,MATCH($B346,'Pliegos Tarifarios (Huechuraba)'!$A:$A,0))</f>
        <v>150188.73791999999</v>
      </c>
      <c r="N346" s="19">
        <f>I346*INDEX('Pliegos Tarifarios (Huechuraba)'!$C:$C,MATCH($B346,'Pliegos Tarifarios (Huechuraba)'!$A:$A,0))</f>
        <v>10393.29895</v>
      </c>
      <c r="O346" s="19">
        <f>J346*INDEX('Pliegos Tarifarios (Huechuraba)'!$D:$D,MATCH($B346,'Pliegos Tarifarios (Huechuraba)'!$A:$A,0))</f>
        <v>43708.46</v>
      </c>
      <c r="P346" s="19">
        <f>H346*INDEX('Pliegos Tarifarios (Huechuraba)'!$E:$E,MATCH($B346,'Pliegos Tarifarios (Huechuraba)'!$A:$A,0))</f>
        <v>14845.276159999998</v>
      </c>
      <c r="Q346" s="19" cm="1">
        <f t="array" ref="Q346">H346*_xlfn.IFS(H346&lt;=350,INDEX('Pliegos Tarifarios (Huechuraba)'!$F:$F,MATCH($B346,'Pliegos Tarifarios (Huechuraba)'!$A:$A,0)),H346&lt;=500,INDEX('Pliegos Tarifarios (Huechuraba)'!$G:$G,MATCH($B346,'Pliegos Tarifarios (Huechuraba)'!$A:$A,0)),H346&lt;=1000,INDEX('Pliegos Tarifarios (Huechuraba)'!$H:$H,MATCH($B346,'Pliegos Tarifarios (Huechuraba)'!$A:$A,0)),H346&lt;=5000,INDEX('Pliegos Tarifarios (Huechuraba)'!$I:$I,MATCH($B346,'Pliegos Tarifarios (Huechuraba)'!$A:$A,0)),H346&gt;5000,INDEX('Pliegos Tarifarios (Huechuraba)'!$J:$J,MATCH($B346,'Pliegos Tarifarios (Huechuraba)'!$A:$A,0)))/1.19</f>
        <v>3420.4778487394951</v>
      </c>
      <c r="R346" s="19">
        <f>INDEX('Pliegos Tarifarios (Huechuraba)'!$K:$K,MATCH($B346,'Pliegos Tarifarios (Huechuraba)'!$A:$A,0))</f>
        <v>726.16</v>
      </c>
      <c r="S346" s="36">
        <f t="shared" si="15"/>
        <v>223282.41087873949</v>
      </c>
      <c r="T346" s="36">
        <f t="shared" si="16"/>
        <v>42423.658066960503</v>
      </c>
      <c r="U346" s="19">
        <v>0</v>
      </c>
      <c r="V346" s="36">
        <f t="shared" si="17"/>
        <v>265706.06894570001</v>
      </c>
    </row>
    <row r="347" spans="1:22" ht="23.4" thickBot="1" x14ac:dyDescent="0.35">
      <c r="A347" s="25" t="s">
        <v>149</v>
      </c>
      <c r="B347" s="26">
        <v>7</v>
      </c>
      <c r="C347" s="27" t="s">
        <v>15</v>
      </c>
      <c r="D347" s="26" t="s">
        <v>78</v>
      </c>
      <c r="E347" s="26" t="s">
        <v>76</v>
      </c>
      <c r="F347" s="27" t="s">
        <v>79</v>
      </c>
      <c r="G347" s="26" t="s">
        <v>19</v>
      </c>
      <c r="H347" s="26">
        <v>852.98</v>
      </c>
      <c r="I347" s="26">
        <v>2.33</v>
      </c>
      <c r="J347" s="26">
        <v>2.2999999999999998</v>
      </c>
      <c r="K347" s="29">
        <v>0.99099999999999999</v>
      </c>
      <c r="L347" s="26">
        <v>28.43</v>
      </c>
      <c r="M347" s="19">
        <f>H347*INDEX('Pliegos Tarifarios (Huechuraba)'!$B:$B,MATCH($B347,'Pliegos Tarifarios (Huechuraba)'!$A:$A,0))</f>
        <v>112391.20374000001</v>
      </c>
      <c r="N347" s="19">
        <f>I347*INDEX('Pliegos Tarifarios (Huechuraba)'!$C:$C,MATCH($B347,'Pliegos Tarifarios (Huechuraba)'!$A:$A,0))</f>
        <v>7939.7988700000005</v>
      </c>
      <c r="O347" s="19">
        <f>J347*INDEX('Pliegos Tarifarios (Huechuraba)'!$D:$D,MATCH($B347,'Pliegos Tarifarios (Huechuraba)'!$A:$A,0))</f>
        <v>33287.899999999994</v>
      </c>
      <c r="P347" s="19">
        <f>H347*INDEX('Pliegos Tarifarios (Huechuraba)'!$E:$E,MATCH($B347,'Pliegos Tarifarios (Huechuraba)'!$A:$A,0))</f>
        <v>11109.211519999999</v>
      </c>
      <c r="Q347" s="19" cm="1">
        <f t="array" ref="Q347">H347*_xlfn.IFS(H347&lt;=350,INDEX('Pliegos Tarifarios (Huechuraba)'!$F:$F,MATCH($B347,'Pliegos Tarifarios (Huechuraba)'!$A:$A,0)),H347&lt;=500,INDEX('Pliegos Tarifarios (Huechuraba)'!$G:$G,MATCH($B347,'Pliegos Tarifarios (Huechuraba)'!$A:$A,0)),H347&lt;=1000,INDEX('Pliegos Tarifarios (Huechuraba)'!$H:$H,MATCH($B347,'Pliegos Tarifarios (Huechuraba)'!$A:$A,0)),H347&lt;=5000,INDEX('Pliegos Tarifarios (Huechuraba)'!$I:$I,MATCH($B347,'Pliegos Tarifarios (Huechuraba)'!$A:$A,0)),H347&gt;5000,INDEX('Pliegos Tarifarios (Huechuraba)'!$J:$J,MATCH($B347,'Pliegos Tarifarios (Huechuraba)'!$A:$A,0)))/1.19</f>
        <v>2000.5606554621852</v>
      </c>
      <c r="R347" s="19">
        <f>INDEX('Pliegos Tarifarios (Huechuraba)'!$K:$K,MATCH($B347,'Pliegos Tarifarios (Huechuraba)'!$A:$A,0))</f>
        <v>726.16</v>
      </c>
      <c r="S347" s="36">
        <f t="shared" si="15"/>
        <v>167454.83478546218</v>
      </c>
      <c r="T347" s="36">
        <f t="shared" si="16"/>
        <v>31816.418609237815</v>
      </c>
      <c r="U347" s="19">
        <v>0</v>
      </c>
      <c r="V347" s="36">
        <f t="shared" si="17"/>
        <v>199271.2533947</v>
      </c>
    </row>
    <row r="348" spans="1:22" ht="23.4" thickBot="1" x14ac:dyDescent="0.35">
      <c r="A348" s="25" t="s">
        <v>149</v>
      </c>
      <c r="B348" s="26">
        <v>7</v>
      </c>
      <c r="C348" s="27" t="s">
        <v>15</v>
      </c>
      <c r="D348" s="26" t="s">
        <v>80</v>
      </c>
      <c r="E348" s="26" t="s">
        <v>81</v>
      </c>
      <c r="F348" s="27" t="s">
        <v>82</v>
      </c>
      <c r="G348" s="26" t="s">
        <v>19</v>
      </c>
      <c r="H348" s="26">
        <v>711.7</v>
      </c>
      <c r="I348" s="26">
        <v>1.94</v>
      </c>
      <c r="J348" s="26">
        <v>1.89</v>
      </c>
      <c r="K348" s="29">
        <v>0.97599999999999998</v>
      </c>
      <c r="L348" s="26">
        <v>23.72</v>
      </c>
      <c r="M348" s="19">
        <f>H348*INDEX('Pliegos Tarifarios (Huechuraba)'!$B:$B,MATCH($B348,'Pliegos Tarifarios (Huechuraba)'!$A:$A,0))</f>
        <v>93775.727100000004</v>
      </c>
      <c r="N348" s="19">
        <f>I348*INDEX('Pliegos Tarifarios (Huechuraba)'!$C:$C,MATCH($B348,'Pliegos Tarifarios (Huechuraba)'!$A:$A,0))</f>
        <v>6610.8196600000001</v>
      </c>
      <c r="O348" s="19">
        <f>J348*INDEX('Pliegos Tarifarios (Huechuraba)'!$D:$D,MATCH($B348,'Pliegos Tarifarios (Huechuraba)'!$A:$A,0))</f>
        <v>27353.969999999998</v>
      </c>
      <c r="P348" s="19">
        <f>H348*INDEX('Pliegos Tarifarios (Huechuraba)'!$E:$E,MATCH($B348,'Pliegos Tarifarios (Huechuraba)'!$A:$A,0))</f>
        <v>9269.1808000000001</v>
      </c>
      <c r="Q348" s="19" cm="1">
        <f t="array" ref="Q348">H348*_xlfn.IFS(H348&lt;=350,INDEX('Pliegos Tarifarios (Huechuraba)'!$F:$F,MATCH($B348,'Pliegos Tarifarios (Huechuraba)'!$A:$A,0)),H348&lt;=500,INDEX('Pliegos Tarifarios (Huechuraba)'!$G:$G,MATCH($B348,'Pliegos Tarifarios (Huechuraba)'!$A:$A,0)),H348&lt;=1000,INDEX('Pliegos Tarifarios (Huechuraba)'!$H:$H,MATCH($B348,'Pliegos Tarifarios (Huechuraba)'!$A:$A,0)),H348&lt;=5000,INDEX('Pliegos Tarifarios (Huechuraba)'!$I:$I,MATCH($B348,'Pliegos Tarifarios (Huechuraba)'!$A:$A,0)),H348&gt;5000,INDEX('Pliegos Tarifarios (Huechuraba)'!$J:$J,MATCH($B348,'Pliegos Tarifarios (Huechuraba)'!$A:$A,0)))/1.19</f>
        <v>1669.2056302521012</v>
      </c>
      <c r="R348" s="19">
        <f>INDEX('Pliegos Tarifarios (Huechuraba)'!$K:$K,MATCH($B348,'Pliegos Tarifarios (Huechuraba)'!$A:$A,0))</f>
        <v>726.16</v>
      </c>
      <c r="S348" s="36">
        <f t="shared" si="15"/>
        <v>139405.06319025211</v>
      </c>
      <c r="T348" s="36">
        <f t="shared" si="16"/>
        <v>26486.9620061479</v>
      </c>
      <c r="U348" s="19">
        <v>0</v>
      </c>
      <c r="V348" s="36">
        <f t="shared" si="17"/>
        <v>165892.02519640001</v>
      </c>
    </row>
    <row r="349" spans="1:22" ht="23.4" thickBot="1" x14ac:dyDescent="0.35">
      <c r="A349" s="25" t="s">
        <v>149</v>
      </c>
      <c r="B349" s="26">
        <v>7</v>
      </c>
      <c r="C349" s="27" t="s">
        <v>15</v>
      </c>
      <c r="D349" s="26" t="s">
        <v>83</v>
      </c>
      <c r="E349" s="26" t="s">
        <v>81</v>
      </c>
      <c r="F349" s="27" t="s">
        <v>84</v>
      </c>
      <c r="G349" s="26" t="s">
        <v>19</v>
      </c>
      <c r="H349" s="26">
        <v>474.08</v>
      </c>
      <c r="I349" s="26">
        <v>1.29</v>
      </c>
      <c r="J349" s="26">
        <v>1.26</v>
      </c>
      <c r="K349" s="29">
        <v>0.98199999999999998</v>
      </c>
      <c r="L349" s="26">
        <v>15.8</v>
      </c>
      <c r="M349" s="19">
        <f>H349*INDEX('Pliegos Tarifarios (Huechuraba)'!$B:$B,MATCH($B349,'Pliegos Tarifarios (Huechuraba)'!$A:$A,0))</f>
        <v>62466.20304</v>
      </c>
      <c r="N349" s="19">
        <f>I349*INDEX('Pliegos Tarifarios (Huechuraba)'!$C:$C,MATCH($B349,'Pliegos Tarifarios (Huechuraba)'!$A:$A,0))</f>
        <v>4395.8543100000006</v>
      </c>
      <c r="O349" s="19">
        <f>J349*INDEX('Pliegos Tarifarios (Huechuraba)'!$D:$D,MATCH($B349,'Pliegos Tarifarios (Huechuraba)'!$A:$A,0))</f>
        <v>18235.98</v>
      </c>
      <c r="P349" s="19">
        <f>H349*INDEX('Pliegos Tarifarios (Huechuraba)'!$E:$E,MATCH($B349,'Pliegos Tarifarios (Huechuraba)'!$A:$A,0))</f>
        <v>6174.417919999999</v>
      </c>
      <c r="Q349" s="19" cm="1">
        <f t="array" ref="Q349">H349*_xlfn.IFS(H349&lt;=350,INDEX('Pliegos Tarifarios (Huechuraba)'!$F:$F,MATCH($B349,'Pliegos Tarifarios (Huechuraba)'!$A:$A,0)),H349&lt;=500,INDEX('Pliegos Tarifarios (Huechuraba)'!$G:$G,MATCH($B349,'Pliegos Tarifarios (Huechuraba)'!$A:$A,0)),H349&lt;=1000,INDEX('Pliegos Tarifarios (Huechuraba)'!$H:$H,MATCH($B349,'Pliegos Tarifarios (Huechuraba)'!$A:$A,0)),H349&lt;=5000,INDEX('Pliegos Tarifarios (Huechuraba)'!$I:$I,MATCH($B349,'Pliegos Tarifarios (Huechuraba)'!$A:$A,0)),H349&gt;5000,INDEX('Pliegos Tarifarios (Huechuraba)'!$J:$J,MATCH($B349,'Pliegos Tarifarios (Huechuraba)'!$A:$A,0)))/1.19</f>
        <v>667.69586554621856</v>
      </c>
      <c r="R349" s="19">
        <f>INDEX('Pliegos Tarifarios (Huechuraba)'!$K:$K,MATCH($B349,'Pliegos Tarifarios (Huechuraba)'!$A:$A,0))</f>
        <v>726.16</v>
      </c>
      <c r="S349" s="36">
        <f t="shared" si="15"/>
        <v>92666.311135546217</v>
      </c>
      <c r="T349" s="36">
        <f t="shared" si="16"/>
        <v>17606.599115753783</v>
      </c>
      <c r="U349" s="19">
        <v>0</v>
      </c>
      <c r="V349" s="36">
        <f t="shared" si="17"/>
        <v>110272.9102513</v>
      </c>
    </row>
    <row r="350" spans="1:22" ht="23.4" thickBot="1" x14ac:dyDescent="0.35">
      <c r="A350" s="25" t="s">
        <v>149</v>
      </c>
      <c r="B350" s="26">
        <v>7</v>
      </c>
      <c r="C350" s="27" t="s">
        <v>15</v>
      </c>
      <c r="D350" s="26" t="s">
        <v>85</v>
      </c>
      <c r="E350" s="26" t="s">
        <v>81</v>
      </c>
      <c r="F350" s="27" t="s">
        <v>86</v>
      </c>
      <c r="G350" s="26" t="s">
        <v>19</v>
      </c>
      <c r="H350" s="26">
        <v>568.95000000000005</v>
      </c>
      <c r="I350" s="26">
        <v>1.53</v>
      </c>
      <c r="J350" s="26">
        <v>1.52</v>
      </c>
      <c r="K350" s="29">
        <v>0.998</v>
      </c>
      <c r="L350" s="26">
        <v>18.97</v>
      </c>
      <c r="M350" s="19">
        <f>H350*INDEX('Pliegos Tarifarios (Huechuraba)'!$B:$B,MATCH($B350,'Pliegos Tarifarios (Huechuraba)'!$A:$A,0))</f>
        <v>74966.558850000016</v>
      </c>
      <c r="N350" s="19">
        <f>I350*INDEX('Pliegos Tarifarios (Huechuraba)'!$C:$C,MATCH($B350,'Pliegos Tarifarios (Huechuraba)'!$A:$A,0))</f>
        <v>5213.6876700000003</v>
      </c>
      <c r="O350" s="19">
        <f>J350*INDEX('Pliegos Tarifarios (Huechuraba)'!$D:$D,MATCH($B350,'Pliegos Tarifarios (Huechuraba)'!$A:$A,0))</f>
        <v>21998.959999999999</v>
      </c>
      <c r="P350" s="19">
        <f>H350*INDEX('Pliegos Tarifarios (Huechuraba)'!$E:$E,MATCH($B350,'Pliegos Tarifarios (Huechuraba)'!$A:$A,0))</f>
        <v>7410.0047999999997</v>
      </c>
      <c r="Q350" s="19" cm="1">
        <f t="array" ref="Q350">H350*_xlfn.IFS(H350&lt;=350,INDEX('Pliegos Tarifarios (Huechuraba)'!$F:$F,MATCH($B350,'Pliegos Tarifarios (Huechuraba)'!$A:$A,0)),H350&lt;=500,INDEX('Pliegos Tarifarios (Huechuraba)'!$G:$G,MATCH($B350,'Pliegos Tarifarios (Huechuraba)'!$A:$A,0)),H350&lt;=1000,INDEX('Pliegos Tarifarios (Huechuraba)'!$H:$H,MATCH($B350,'Pliegos Tarifarios (Huechuraba)'!$A:$A,0)),H350&lt;=5000,INDEX('Pliegos Tarifarios (Huechuraba)'!$I:$I,MATCH($B350,'Pliegos Tarifarios (Huechuraba)'!$A:$A,0)),H350&gt;5000,INDEX('Pliegos Tarifarios (Huechuraba)'!$J:$J,MATCH($B350,'Pliegos Tarifarios (Huechuraba)'!$A:$A,0)))/1.19</f>
        <v>1334.4028991596642</v>
      </c>
      <c r="R350" s="19">
        <f>INDEX('Pliegos Tarifarios (Huechuraba)'!$K:$K,MATCH($B350,'Pliegos Tarifarios (Huechuraba)'!$A:$A,0))</f>
        <v>726.16</v>
      </c>
      <c r="S350" s="36">
        <f t="shared" si="15"/>
        <v>111649.77421915968</v>
      </c>
      <c r="T350" s="36">
        <f t="shared" si="16"/>
        <v>21213.457101640339</v>
      </c>
      <c r="U350" s="19">
        <v>0</v>
      </c>
      <c r="V350" s="36">
        <f t="shared" si="17"/>
        <v>132863.23132080003</v>
      </c>
    </row>
    <row r="351" spans="1:22" ht="23.4" thickBot="1" x14ac:dyDescent="0.35">
      <c r="A351" s="25" t="s">
        <v>149</v>
      </c>
      <c r="B351" s="26">
        <v>7</v>
      </c>
      <c r="C351" s="27" t="s">
        <v>15</v>
      </c>
      <c r="D351" s="26" t="s">
        <v>87</v>
      </c>
      <c r="E351" s="26" t="s">
        <v>81</v>
      </c>
      <c r="F351" s="27" t="s">
        <v>88</v>
      </c>
      <c r="G351" s="26" t="s">
        <v>19</v>
      </c>
      <c r="H351" s="26">
        <v>569.22</v>
      </c>
      <c r="I351" s="26">
        <v>1.54</v>
      </c>
      <c r="J351" s="26">
        <v>1.54</v>
      </c>
      <c r="K351" s="29">
        <v>1</v>
      </c>
      <c r="L351" s="26">
        <v>18.97</v>
      </c>
      <c r="M351" s="19">
        <f>H351*INDEX('Pliegos Tarifarios (Huechuraba)'!$B:$B,MATCH($B351,'Pliegos Tarifarios (Huechuraba)'!$A:$A,0))</f>
        <v>75002.134860000006</v>
      </c>
      <c r="N351" s="19">
        <f>I351*INDEX('Pliegos Tarifarios (Huechuraba)'!$C:$C,MATCH($B351,'Pliegos Tarifarios (Huechuraba)'!$A:$A,0))</f>
        <v>5247.7640600000004</v>
      </c>
      <c r="O351" s="19">
        <f>J351*INDEX('Pliegos Tarifarios (Huechuraba)'!$D:$D,MATCH($B351,'Pliegos Tarifarios (Huechuraba)'!$A:$A,0))</f>
        <v>22288.420000000002</v>
      </c>
      <c r="P351" s="19">
        <f>H351*INDEX('Pliegos Tarifarios (Huechuraba)'!$E:$E,MATCH($B351,'Pliegos Tarifarios (Huechuraba)'!$A:$A,0))</f>
        <v>7413.5212799999999</v>
      </c>
      <c r="Q351" s="19" cm="1">
        <f t="array" ref="Q351">H351*_xlfn.IFS(H351&lt;=350,INDEX('Pliegos Tarifarios (Huechuraba)'!$F:$F,MATCH($B351,'Pliegos Tarifarios (Huechuraba)'!$A:$A,0)),H351&lt;=500,INDEX('Pliegos Tarifarios (Huechuraba)'!$G:$G,MATCH($B351,'Pliegos Tarifarios (Huechuraba)'!$A:$A,0)),H351&lt;=1000,INDEX('Pliegos Tarifarios (Huechuraba)'!$H:$H,MATCH($B351,'Pliegos Tarifarios (Huechuraba)'!$A:$A,0)),H351&lt;=5000,INDEX('Pliegos Tarifarios (Huechuraba)'!$I:$I,MATCH($B351,'Pliegos Tarifarios (Huechuraba)'!$A:$A,0)),H351&gt;5000,INDEX('Pliegos Tarifarios (Huechuraba)'!$J:$J,MATCH($B351,'Pliegos Tarifarios (Huechuraba)'!$A:$A,0)))/1.19</f>
        <v>1335.0361512605045</v>
      </c>
      <c r="R351" s="19">
        <f>INDEX('Pliegos Tarifarios (Huechuraba)'!$K:$K,MATCH($B351,'Pliegos Tarifarios (Huechuraba)'!$A:$A,0))</f>
        <v>726.16</v>
      </c>
      <c r="S351" s="36">
        <f t="shared" si="15"/>
        <v>112013.03635126051</v>
      </c>
      <c r="T351" s="36">
        <f t="shared" si="16"/>
        <v>21282.476906739499</v>
      </c>
      <c r="U351" s="19">
        <v>0</v>
      </c>
      <c r="V351" s="36">
        <f t="shared" si="17"/>
        <v>133295.51325800002</v>
      </c>
    </row>
    <row r="352" spans="1:22" ht="23.4" thickBot="1" x14ac:dyDescent="0.35">
      <c r="A352" s="25" t="s">
        <v>149</v>
      </c>
      <c r="B352" s="26">
        <v>7</v>
      </c>
      <c r="C352" s="27" t="s">
        <v>15</v>
      </c>
      <c r="D352" s="26" t="s">
        <v>89</v>
      </c>
      <c r="E352" s="26" t="s">
        <v>81</v>
      </c>
      <c r="F352" s="27" t="s">
        <v>90</v>
      </c>
      <c r="G352" s="26" t="s">
        <v>19</v>
      </c>
      <c r="H352" s="26">
        <v>569.25</v>
      </c>
      <c r="I352" s="26">
        <v>1.55</v>
      </c>
      <c r="J352" s="26">
        <v>1.52</v>
      </c>
      <c r="K352" s="29">
        <v>0.98299999999999998</v>
      </c>
      <c r="L352" s="26">
        <v>18.97</v>
      </c>
      <c r="M352" s="19">
        <f>H352*INDEX('Pliegos Tarifarios (Huechuraba)'!$B:$B,MATCH($B352,'Pliegos Tarifarios (Huechuraba)'!$A:$A,0))</f>
        <v>75006.087750000006</v>
      </c>
      <c r="N352" s="19">
        <f>I352*INDEX('Pliegos Tarifarios (Huechuraba)'!$C:$C,MATCH($B352,'Pliegos Tarifarios (Huechuraba)'!$A:$A,0))</f>
        <v>5281.8404500000006</v>
      </c>
      <c r="O352" s="19">
        <f>J352*INDEX('Pliegos Tarifarios (Huechuraba)'!$D:$D,MATCH($B352,'Pliegos Tarifarios (Huechuraba)'!$A:$A,0))</f>
        <v>21998.959999999999</v>
      </c>
      <c r="P352" s="19">
        <f>H352*INDEX('Pliegos Tarifarios (Huechuraba)'!$E:$E,MATCH($B352,'Pliegos Tarifarios (Huechuraba)'!$A:$A,0))</f>
        <v>7413.9119999999994</v>
      </c>
      <c r="Q352" s="19" cm="1">
        <f t="array" ref="Q352">H352*_xlfn.IFS(H352&lt;=350,INDEX('Pliegos Tarifarios (Huechuraba)'!$F:$F,MATCH($B352,'Pliegos Tarifarios (Huechuraba)'!$A:$A,0)),H352&lt;=500,INDEX('Pliegos Tarifarios (Huechuraba)'!$G:$G,MATCH($B352,'Pliegos Tarifarios (Huechuraba)'!$A:$A,0)),H352&lt;=1000,INDEX('Pliegos Tarifarios (Huechuraba)'!$H:$H,MATCH($B352,'Pliegos Tarifarios (Huechuraba)'!$A:$A,0)),H352&lt;=5000,INDEX('Pliegos Tarifarios (Huechuraba)'!$I:$I,MATCH($B352,'Pliegos Tarifarios (Huechuraba)'!$A:$A,0)),H352&gt;5000,INDEX('Pliegos Tarifarios (Huechuraba)'!$J:$J,MATCH($B352,'Pliegos Tarifarios (Huechuraba)'!$A:$A,0)))/1.19</f>
        <v>1335.1065126050423</v>
      </c>
      <c r="R352" s="19">
        <f>INDEX('Pliegos Tarifarios (Huechuraba)'!$K:$K,MATCH($B352,'Pliegos Tarifarios (Huechuraba)'!$A:$A,0))</f>
        <v>726.16</v>
      </c>
      <c r="S352" s="36">
        <f t="shared" si="15"/>
        <v>111762.06671260505</v>
      </c>
      <c r="T352" s="36">
        <f t="shared" si="16"/>
        <v>21234.792675394961</v>
      </c>
      <c r="U352" s="19">
        <v>0</v>
      </c>
      <c r="V352" s="36">
        <f t="shared" si="17"/>
        <v>132996.85938800001</v>
      </c>
    </row>
    <row r="353" spans="1:22" ht="23.4" thickBot="1" x14ac:dyDescent="0.35">
      <c r="A353" s="25" t="s">
        <v>149</v>
      </c>
      <c r="B353" s="26">
        <v>7</v>
      </c>
      <c r="C353" s="27" t="s">
        <v>15</v>
      </c>
      <c r="D353" s="26" t="s">
        <v>91</v>
      </c>
      <c r="E353" s="26" t="s">
        <v>81</v>
      </c>
      <c r="F353" s="27" t="s">
        <v>92</v>
      </c>
      <c r="G353" s="26" t="s">
        <v>19</v>
      </c>
      <c r="H353" s="26">
        <v>712.25</v>
      </c>
      <c r="I353" s="26">
        <v>1.92</v>
      </c>
      <c r="J353" s="26">
        <v>1.86</v>
      </c>
      <c r="K353" s="29">
        <v>0.97099999999999997</v>
      </c>
      <c r="L353" s="26">
        <v>23.74</v>
      </c>
      <c r="M353" s="19">
        <f>H353*INDEX('Pliegos Tarifarios (Huechuraba)'!$B:$B,MATCH($B353,'Pliegos Tarifarios (Huechuraba)'!$A:$A,0))</f>
        <v>93848.196750000003</v>
      </c>
      <c r="N353" s="19">
        <f>I353*INDEX('Pliegos Tarifarios (Huechuraba)'!$C:$C,MATCH($B353,'Pliegos Tarifarios (Huechuraba)'!$A:$A,0))</f>
        <v>6542.6668799999998</v>
      </c>
      <c r="O353" s="19">
        <f>J353*INDEX('Pliegos Tarifarios (Huechuraba)'!$D:$D,MATCH($B353,'Pliegos Tarifarios (Huechuraba)'!$A:$A,0))</f>
        <v>26919.780000000002</v>
      </c>
      <c r="P353" s="19">
        <f>H353*INDEX('Pliegos Tarifarios (Huechuraba)'!$E:$E,MATCH($B353,'Pliegos Tarifarios (Huechuraba)'!$A:$A,0))</f>
        <v>9276.3439999999991</v>
      </c>
      <c r="Q353" s="19" cm="1">
        <f t="array" ref="Q353">H353*_xlfn.IFS(H353&lt;=350,INDEX('Pliegos Tarifarios (Huechuraba)'!$F:$F,MATCH($B353,'Pliegos Tarifarios (Huechuraba)'!$A:$A,0)),H353&lt;=500,INDEX('Pliegos Tarifarios (Huechuraba)'!$G:$G,MATCH($B353,'Pliegos Tarifarios (Huechuraba)'!$A:$A,0)),H353&lt;=1000,INDEX('Pliegos Tarifarios (Huechuraba)'!$H:$H,MATCH($B353,'Pliegos Tarifarios (Huechuraba)'!$A:$A,0)),H353&lt;=5000,INDEX('Pliegos Tarifarios (Huechuraba)'!$I:$I,MATCH($B353,'Pliegos Tarifarios (Huechuraba)'!$A:$A,0)),H353&gt;5000,INDEX('Pliegos Tarifarios (Huechuraba)'!$J:$J,MATCH($B353,'Pliegos Tarifarios (Huechuraba)'!$A:$A,0)))/1.19</f>
        <v>1670.4955882352945</v>
      </c>
      <c r="R353" s="19">
        <f>INDEX('Pliegos Tarifarios (Huechuraba)'!$K:$K,MATCH($B353,'Pliegos Tarifarios (Huechuraba)'!$A:$A,0))</f>
        <v>726.16</v>
      </c>
      <c r="S353" s="36">
        <f t="shared" si="15"/>
        <v>138983.64321823532</v>
      </c>
      <c r="T353" s="36">
        <f t="shared" si="16"/>
        <v>26406.89221146471</v>
      </c>
      <c r="U353" s="19">
        <v>0</v>
      </c>
      <c r="V353" s="36">
        <f t="shared" si="17"/>
        <v>165390.53542970002</v>
      </c>
    </row>
    <row r="354" spans="1:22" ht="23.4" thickBot="1" x14ac:dyDescent="0.35">
      <c r="A354" s="25" t="s">
        <v>149</v>
      </c>
      <c r="B354" s="26">
        <v>7</v>
      </c>
      <c r="C354" s="27" t="s">
        <v>15</v>
      </c>
      <c r="D354" s="26" t="s">
        <v>93</v>
      </c>
      <c r="E354" s="26" t="s">
        <v>94</v>
      </c>
      <c r="F354" s="27" t="s">
        <v>95</v>
      </c>
      <c r="G354" s="26" t="s">
        <v>19</v>
      </c>
      <c r="H354" s="26">
        <v>568.48</v>
      </c>
      <c r="I354" s="26">
        <v>1.52</v>
      </c>
      <c r="J354" s="26">
        <v>1.51</v>
      </c>
      <c r="K354" s="29">
        <v>0.99399999999999999</v>
      </c>
      <c r="L354" s="26">
        <v>18.95</v>
      </c>
      <c r="M354" s="19">
        <f>H354*INDEX('Pliegos Tarifarios (Huechuraba)'!$B:$B,MATCH($B354,'Pliegos Tarifarios (Huechuraba)'!$A:$A,0))</f>
        <v>74904.630239999999</v>
      </c>
      <c r="N354" s="19">
        <f>I354*INDEX('Pliegos Tarifarios (Huechuraba)'!$C:$C,MATCH($B354,'Pliegos Tarifarios (Huechuraba)'!$A:$A,0))</f>
        <v>5179.6112800000001</v>
      </c>
      <c r="O354" s="19">
        <f>J354*INDEX('Pliegos Tarifarios (Huechuraba)'!$D:$D,MATCH($B354,'Pliegos Tarifarios (Huechuraba)'!$A:$A,0))</f>
        <v>21854.23</v>
      </c>
      <c r="P354" s="19">
        <f>H354*INDEX('Pliegos Tarifarios (Huechuraba)'!$E:$E,MATCH($B354,'Pliegos Tarifarios (Huechuraba)'!$A:$A,0))</f>
        <v>7403.8835199999994</v>
      </c>
      <c r="Q354" s="19" cm="1">
        <f t="array" ref="Q354">H354*_xlfn.IFS(H354&lt;=350,INDEX('Pliegos Tarifarios (Huechuraba)'!$F:$F,MATCH($B354,'Pliegos Tarifarios (Huechuraba)'!$A:$A,0)),H354&lt;=500,INDEX('Pliegos Tarifarios (Huechuraba)'!$G:$G,MATCH($B354,'Pliegos Tarifarios (Huechuraba)'!$A:$A,0)),H354&lt;=1000,INDEX('Pliegos Tarifarios (Huechuraba)'!$H:$H,MATCH($B354,'Pliegos Tarifarios (Huechuraba)'!$A:$A,0)),H354&lt;=5000,INDEX('Pliegos Tarifarios (Huechuraba)'!$I:$I,MATCH($B354,'Pliegos Tarifarios (Huechuraba)'!$A:$A,0)),H354&gt;5000,INDEX('Pliegos Tarifarios (Huechuraba)'!$J:$J,MATCH($B354,'Pliegos Tarifarios (Huechuraba)'!$A:$A,0)))/1.19</f>
        <v>1333.3005714285716</v>
      </c>
      <c r="R354" s="19">
        <f>INDEX('Pliegos Tarifarios (Huechuraba)'!$K:$K,MATCH($B354,'Pliegos Tarifarios (Huechuraba)'!$A:$A,0))</f>
        <v>726.16</v>
      </c>
      <c r="S354" s="36">
        <f t="shared" si="15"/>
        <v>111401.81561142857</v>
      </c>
      <c r="T354" s="36">
        <f t="shared" si="16"/>
        <v>21166.344966171429</v>
      </c>
      <c r="U354" s="19">
        <v>0</v>
      </c>
      <c r="V354" s="36">
        <f t="shared" si="17"/>
        <v>132568.16057760001</v>
      </c>
    </row>
    <row r="355" spans="1:22" ht="23.4" thickBot="1" x14ac:dyDescent="0.35">
      <c r="A355" s="25" t="s">
        <v>149</v>
      </c>
      <c r="B355" s="26">
        <v>7</v>
      </c>
      <c r="C355" s="27" t="s">
        <v>15</v>
      </c>
      <c r="D355" s="26" t="s">
        <v>96</v>
      </c>
      <c r="E355" s="26" t="s">
        <v>97</v>
      </c>
      <c r="F355" s="27" t="s">
        <v>98</v>
      </c>
      <c r="G355" s="26" t="s">
        <v>19</v>
      </c>
      <c r="H355" s="26">
        <v>853.51</v>
      </c>
      <c r="I355" s="26">
        <v>2.35</v>
      </c>
      <c r="J355" s="26">
        <v>2.3199999999999998</v>
      </c>
      <c r="K355" s="29">
        <v>0.98599999999999999</v>
      </c>
      <c r="L355" s="26">
        <v>28.45</v>
      </c>
      <c r="M355" s="19">
        <f>H355*INDEX('Pliegos Tarifarios (Huechuraba)'!$B:$B,MATCH($B355,'Pliegos Tarifarios (Huechuraba)'!$A:$A,0))</f>
        <v>112461.03813</v>
      </c>
      <c r="N355" s="19">
        <f>I355*INDEX('Pliegos Tarifarios (Huechuraba)'!$C:$C,MATCH($B355,'Pliegos Tarifarios (Huechuraba)'!$A:$A,0))</f>
        <v>8007.9516500000009</v>
      </c>
      <c r="O355" s="19">
        <f>J355*INDEX('Pliegos Tarifarios (Huechuraba)'!$D:$D,MATCH($B355,'Pliegos Tarifarios (Huechuraba)'!$A:$A,0))</f>
        <v>33577.360000000001</v>
      </c>
      <c r="P355" s="19">
        <f>H355*INDEX('Pliegos Tarifarios (Huechuraba)'!$E:$E,MATCH($B355,'Pliegos Tarifarios (Huechuraba)'!$A:$A,0))</f>
        <v>11116.114239999999</v>
      </c>
      <c r="Q355" s="19" cm="1">
        <f t="array" ref="Q355">H355*_xlfn.IFS(H355&lt;=350,INDEX('Pliegos Tarifarios (Huechuraba)'!$F:$F,MATCH($B355,'Pliegos Tarifarios (Huechuraba)'!$A:$A,0)),H355&lt;=500,INDEX('Pliegos Tarifarios (Huechuraba)'!$G:$G,MATCH($B355,'Pliegos Tarifarios (Huechuraba)'!$A:$A,0)),H355&lt;=1000,INDEX('Pliegos Tarifarios (Huechuraba)'!$H:$H,MATCH($B355,'Pliegos Tarifarios (Huechuraba)'!$A:$A,0)),H355&lt;=5000,INDEX('Pliegos Tarifarios (Huechuraba)'!$I:$I,MATCH($B355,'Pliegos Tarifarios (Huechuraba)'!$A:$A,0)),H355&gt;5000,INDEX('Pliegos Tarifarios (Huechuraba)'!$J:$J,MATCH($B355,'Pliegos Tarifarios (Huechuraba)'!$A:$A,0)))/1.19</f>
        <v>2001.8037058823534</v>
      </c>
      <c r="R355" s="19">
        <f>INDEX('Pliegos Tarifarios (Huechuraba)'!$K:$K,MATCH($B355,'Pliegos Tarifarios (Huechuraba)'!$A:$A,0))</f>
        <v>726.16</v>
      </c>
      <c r="S355" s="36">
        <f t="shared" si="15"/>
        <v>167890.42772588233</v>
      </c>
      <c r="T355" s="36">
        <f t="shared" si="16"/>
        <v>31899.181267917644</v>
      </c>
      <c r="U355" s="19">
        <v>0</v>
      </c>
      <c r="V355" s="36">
        <f t="shared" si="17"/>
        <v>199789.60899379998</v>
      </c>
    </row>
    <row r="356" spans="1:22" ht="23.4" thickBot="1" x14ac:dyDescent="0.35">
      <c r="A356" s="25" t="s">
        <v>149</v>
      </c>
      <c r="B356" s="26">
        <v>7</v>
      </c>
      <c r="C356" s="27" t="s">
        <v>15</v>
      </c>
      <c r="D356" s="26" t="s">
        <v>99</v>
      </c>
      <c r="E356" s="26" t="s">
        <v>94</v>
      </c>
      <c r="F356" s="27" t="s">
        <v>100</v>
      </c>
      <c r="G356" s="26" t="s">
        <v>19</v>
      </c>
      <c r="H356" s="26">
        <v>852.62</v>
      </c>
      <c r="I356" s="26">
        <v>2.33</v>
      </c>
      <c r="J356" s="26">
        <v>2.33</v>
      </c>
      <c r="K356" s="29">
        <v>1</v>
      </c>
      <c r="L356" s="26">
        <v>28.42</v>
      </c>
      <c r="M356" s="19">
        <f>H356*INDEX('Pliegos Tarifarios (Huechuraba)'!$B:$B,MATCH($B356,'Pliegos Tarifarios (Huechuraba)'!$A:$A,0))</f>
        <v>112343.76906000001</v>
      </c>
      <c r="N356" s="19">
        <f>I356*INDEX('Pliegos Tarifarios (Huechuraba)'!$C:$C,MATCH($B356,'Pliegos Tarifarios (Huechuraba)'!$A:$A,0))</f>
        <v>7939.7988700000005</v>
      </c>
      <c r="O356" s="19">
        <f>J356*INDEX('Pliegos Tarifarios (Huechuraba)'!$D:$D,MATCH($B356,'Pliegos Tarifarios (Huechuraba)'!$A:$A,0))</f>
        <v>33722.090000000004</v>
      </c>
      <c r="P356" s="19">
        <f>H356*INDEX('Pliegos Tarifarios (Huechuraba)'!$E:$E,MATCH($B356,'Pliegos Tarifarios (Huechuraba)'!$A:$A,0))</f>
        <v>11104.522879999999</v>
      </c>
      <c r="Q356" s="19" cm="1">
        <f t="array" ref="Q356">H356*_xlfn.IFS(H356&lt;=350,INDEX('Pliegos Tarifarios (Huechuraba)'!$F:$F,MATCH($B356,'Pliegos Tarifarios (Huechuraba)'!$A:$A,0)),H356&lt;=500,INDEX('Pliegos Tarifarios (Huechuraba)'!$G:$G,MATCH($B356,'Pliegos Tarifarios (Huechuraba)'!$A:$A,0)),H356&lt;=1000,INDEX('Pliegos Tarifarios (Huechuraba)'!$H:$H,MATCH($B356,'Pliegos Tarifarios (Huechuraba)'!$A:$A,0)),H356&lt;=5000,INDEX('Pliegos Tarifarios (Huechuraba)'!$I:$I,MATCH($B356,'Pliegos Tarifarios (Huechuraba)'!$A:$A,0)),H356&gt;5000,INDEX('Pliegos Tarifarios (Huechuraba)'!$J:$J,MATCH($B356,'Pliegos Tarifarios (Huechuraba)'!$A:$A,0)))/1.19</f>
        <v>1999.7163193277313</v>
      </c>
      <c r="R356" s="19">
        <f>INDEX('Pliegos Tarifarios (Huechuraba)'!$K:$K,MATCH($B356,'Pliegos Tarifarios (Huechuraba)'!$A:$A,0))</f>
        <v>726.16</v>
      </c>
      <c r="S356" s="36">
        <f t="shared" si="15"/>
        <v>167836.05712932776</v>
      </c>
      <c r="T356" s="36">
        <f t="shared" si="16"/>
        <v>31888.850854572276</v>
      </c>
      <c r="U356" s="19">
        <v>0</v>
      </c>
      <c r="V356" s="36">
        <f t="shared" si="17"/>
        <v>199724.90798390005</v>
      </c>
    </row>
    <row r="357" spans="1:22" ht="23.4" thickBot="1" x14ac:dyDescent="0.35">
      <c r="A357" s="25" t="s">
        <v>149</v>
      </c>
      <c r="B357" s="26">
        <v>7</v>
      </c>
      <c r="C357" s="27" t="s">
        <v>15</v>
      </c>
      <c r="D357" s="26" t="s">
        <v>101</v>
      </c>
      <c r="E357" s="26" t="s">
        <v>102</v>
      </c>
      <c r="F357" s="27" t="s">
        <v>103</v>
      </c>
      <c r="G357" s="26" t="s">
        <v>19</v>
      </c>
      <c r="H357" s="28">
        <v>2275.0500000000002</v>
      </c>
      <c r="I357" s="26">
        <v>6.25</v>
      </c>
      <c r="J357" s="26">
        <v>5.98</v>
      </c>
      <c r="K357" s="29">
        <v>0.95699999999999996</v>
      </c>
      <c r="L357" s="26">
        <v>75.83</v>
      </c>
      <c r="M357" s="19">
        <f>H357*INDEX('Pliegos Tarifarios (Huechuraba)'!$B:$B,MATCH($B357,'Pliegos Tarifarios (Huechuraba)'!$A:$A,0))</f>
        <v>299767.41315000004</v>
      </c>
      <c r="N357" s="19">
        <f>I357*INDEX('Pliegos Tarifarios (Huechuraba)'!$C:$C,MATCH($B357,'Pliegos Tarifarios (Huechuraba)'!$A:$A,0))</f>
        <v>21297.743750000001</v>
      </c>
      <c r="O357" s="19">
        <f>J357*INDEX('Pliegos Tarifarios (Huechuraba)'!$D:$D,MATCH($B357,'Pliegos Tarifarios (Huechuraba)'!$A:$A,0))</f>
        <v>86548.540000000008</v>
      </c>
      <c r="P357" s="19">
        <f>H357*INDEX('Pliegos Tarifarios (Huechuraba)'!$E:$E,MATCH($B357,'Pliegos Tarifarios (Huechuraba)'!$A:$A,0))</f>
        <v>29630.251199999999</v>
      </c>
      <c r="Q357" s="19" cm="1">
        <f t="array" ref="Q357">H357*_xlfn.IFS(H357&lt;=350,INDEX('Pliegos Tarifarios (Huechuraba)'!$F:$F,MATCH($B357,'Pliegos Tarifarios (Huechuraba)'!$A:$A,0)),H357&lt;=500,INDEX('Pliegos Tarifarios (Huechuraba)'!$G:$G,MATCH($B357,'Pliegos Tarifarios (Huechuraba)'!$A:$A,0)),H357&lt;=1000,INDEX('Pliegos Tarifarios (Huechuraba)'!$H:$H,MATCH($B357,'Pliegos Tarifarios (Huechuraba)'!$A:$A,0)),H357&lt;=5000,INDEX('Pliegos Tarifarios (Huechuraba)'!$I:$I,MATCH($B357,'Pliegos Tarifarios (Huechuraba)'!$A:$A,0)),H357&gt;5000,INDEX('Pliegos Tarifarios (Huechuraba)'!$J:$J,MATCH($B357,'Pliegos Tarifarios (Huechuraba)'!$A:$A,0)))/1.19</f>
        <v>6827.0618067226897</v>
      </c>
      <c r="R357" s="19">
        <f>INDEX('Pliegos Tarifarios (Huechuraba)'!$K:$K,MATCH($B357,'Pliegos Tarifarios (Huechuraba)'!$A:$A,0))</f>
        <v>726.16</v>
      </c>
      <c r="S357" s="36">
        <f t="shared" si="15"/>
        <v>444797.16990672279</v>
      </c>
      <c r="T357" s="36">
        <f t="shared" si="16"/>
        <v>84511.462282277338</v>
      </c>
      <c r="U357" s="19">
        <v>0</v>
      </c>
      <c r="V357" s="36">
        <f t="shared" si="17"/>
        <v>529308.63218900014</v>
      </c>
    </row>
    <row r="358" spans="1:22" ht="23.4" thickBot="1" x14ac:dyDescent="0.35">
      <c r="A358" s="25" t="s">
        <v>149</v>
      </c>
      <c r="B358" s="26">
        <v>7</v>
      </c>
      <c r="C358" s="27" t="s">
        <v>15</v>
      </c>
      <c r="D358" s="26" t="s">
        <v>104</v>
      </c>
      <c r="E358" s="26" t="s">
        <v>105</v>
      </c>
      <c r="F358" s="27" t="s">
        <v>106</v>
      </c>
      <c r="G358" s="26" t="s">
        <v>19</v>
      </c>
      <c r="H358" s="28">
        <v>1709.54</v>
      </c>
      <c r="I358" s="26">
        <v>4.5999999999999996</v>
      </c>
      <c r="J358" s="26">
        <v>4.5199999999999996</v>
      </c>
      <c r="K358" s="29">
        <v>0.98299999999999998</v>
      </c>
      <c r="L358" s="26">
        <v>56.98</v>
      </c>
      <c r="M358" s="19">
        <f>H358*INDEX('Pliegos Tarifarios (Huechuraba)'!$B:$B,MATCH($B358,'Pliegos Tarifarios (Huechuraba)'!$A:$A,0))</f>
        <v>225254.11902000001</v>
      </c>
      <c r="N358" s="19">
        <f>I358*INDEX('Pliegos Tarifarios (Huechuraba)'!$C:$C,MATCH($B358,'Pliegos Tarifarios (Huechuraba)'!$A:$A,0))</f>
        <v>15675.1394</v>
      </c>
      <c r="O358" s="19">
        <f>J358*INDEX('Pliegos Tarifarios (Huechuraba)'!$D:$D,MATCH($B358,'Pliegos Tarifarios (Huechuraba)'!$A:$A,0))</f>
        <v>65417.959999999992</v>
      </c>
      <c r="P358" s="19">
        <f>H358*INDEX('Pliegos Tarifarios (Huechuraba)'!$E:$E,MATCH($B358,'Pliegos Tarifarios (Huechuraba)'!$A:$A,0))</f>
        <v>22265.048959999996</v>
      </c>
      <c r="Q358" s="19" cm="1">
        <f t="array" ref="Q358">H358*_xlfn.IFS(H358&lt;=350,INDEX('Pliegos Tarifarios (Huechuraba)'!$F:$F,MATCH($B358,'Pliegos Tarifarios (Huechuraba)'!$A:$A,0)),H358&lt;=500,INDEX('Pliegos Tarifarios (Huechuraba)'!$G:$G,MATCH($B358,'Pliegos Tarifarios (Huechuraba)'!$A:$A,0)),H358&lt;=1000,INDEX('Pliegos Tarifarios (Huechuraba)'!$H:$H,MATCH($B358,'Pliegos Tarifarios (Huechuraba)'!$A:$A,0)),H358&lt;=5000,INDEX('Pliegos Tarifarios (Huechuraba)'!$I:$I,MATCH($B358,'Pliegos Tarifarios (Huechuraba)'!$A:$A,0)),H358&gt;5000,INDEX('Pliegos Tarifarios (Huechuraba)'!$J:$J,MATCH($B358,'Pliegos Tarifarios (Huechuraba)'!$A:$A,0)))/1.19</f>
        <v>5130.0565882352939</v>
      </c>
      <c r="R358" s="19">
        <f>INDEX('Pliegos Tarifarios (Huechuraba)'!$K:$K,MATCH($B358,'Pliegos Tarifarios (Huechuraba)'!$A:$A,0))</f>
        <v>726.16</v>
      </c>
      <c r="S358" s="36">
        <f t="shared" si="15"/>
        <v>334468.48396823532</v>
      </c>
      <c r="T358" s="36">
        <f t="shared" si="16"/>
        <v>63549.011953964713</v>
      </c>
      <c r="U358" s="19">
        <v>0</v>
      </c>
      <c r="V358" s="36">
        <f t="shared" si="17"/>
        <v>398017.49592220003</v>
      </c>
    </row>
    <row r="359" spans="1:22" ht="23.4" thickBot="1" x14ac:dyDescent="0.35">
      <c r="A359" s="25" t="s">
        <v>149</v>
      </c>
      <c r="B359" s="26">
        <v>7</v>
      </c>
      <c r="C359" s="27" t="s">
        <v>15</v>
      </c>
      <c r="D359" s="26" t="s">
        <v>107</v>
      </c>
      <c r="E359" s="26" t="s">
        <v>108</v>
      </c>
      <c r="F359" s="27" t="s">
        <v>109</v>
      </c>
      <c r="G359" s="26" t="s">
        <v>33</v>
      </c>
      <c r="H359" s="26">
        <v>568.78</v>
      </c>
      <c r="I359" s="26">
        <v>1.55</v>
      </c>
      <c r="J359" s="26">
        <v>1.55</v>
      </c>
      <c r="K359" s="29">
        <v>1</v>
      </c>
      <c r="L359" s="26">
        <v>18.96</v>
      </c>
      <c r="M359" s="19">
        <f>H359*INDEX('Pliegos Tarifarios (Huechuraba)'!$B:$B,MATCH($B359,'Pliegos Tarifarios (Huechuraba)'!$A:$A,0))</f>
        <v>74944.159140000003</v>
      </c>
      <c r="N359" s="19">
        <f>I359*INDEX('Pliegos Tarifarios (Huechuraba)'!$C:$C,MATCH($B359,'Pliegos Tarifarios (Huechuraba)'!$A:$A,0))</f>
        <v>5281.8404500000006</v>
      </c>
      <c r="O359" s="19">
        <f>J359*INDEX('Pliegos Tarifarios (Huechuraba)'!$D:$D,MATCH($B359,'Pliegos Tarifarios (Huechuraba)'!$A:$A,0))</f>
        <v>22433.15</v>
      </c>
      <c r="P359" s="19">
        <f>H359*INDEX('Pliegos Tarifarios (Huechuraba)'!$E:$E,MATCH($B359,'Pliegos Tarifarios (Huechuraba)'!$A:$A,0))</f>
        <v>7407.7907199999991</v>
      </c>
      <c r="Q359" s="19" cm="1">
        <f t="array" ref="Q359">H359*_xlfn.IFS(H359&lt;=350,INDEX('Pliegos Tarifarios (Huechuraba)'!$F:$F,MATCH($B359,'Pliegos Tarifarios (Huechuraba)'!$A:$A,0)),H359&lt;=500,INDEX('Pliegos Tarifarios (Huechuraba)'!$G:$G,MATCH($B359,'Pliegos Tarifarios (Huechuraba)'!$A:$A,0)),H359&lt;=1000,INDEX('Pliegos Tarifarios (Huechuraba)'!$H:$H,MATCH($B359,'Pliegos Tarifarios (Huechuraba)'!$A:$A,0)),H359&lt;=5000,INDEX('Pliegos Tarifarios (Huechuraba)'!$I:$I,MATCH($B359,'Pliegos Tarifarios (Huechuraba)'!$A:$A,0)),H359&gt;5000,INDEX('Pliegos Tarifarios (Huechuraba)'!$J:$J,MATCH($B359,'Pliegos Tarifarios (Huechuraba)'!$A:$A,0)))/1.19</f>
        <v>1334.0041848739497</v>
      </c>
      <c r="R359" s="19">
        <f>INDEX('Pliegos Tarifarios (Huechuraba)'!$K:$K,MATCH($B359,'Pliegos Tarifarios (Huechuraba)'!$A:$A,0))</f>
        <v>726.16</v>
      </c>
      <c r="S359" s="36">
        <f t="shared" si="15"/>
        <v>112127.10449487397</v>
      </c>
      <c r="T359" s="36">
        <f t="shared" si="16"/>
        <v>21304.149854026055</v>
      </c>
      <c r="U359" s="19">
        <v>0</v>
      </c>
      <c r="V359" s="36">
        <f t="shared" si="17"/>
        <v>133431.25434890002</v>
      </c>
    </row>
    <row r="360" spans="1:22" ht="23.4" thickBot="1" x14ac:dyDescent="0.35">
      <c r="A360" s="25" t="s">
        <v>149</v>
      </c>
      <c r="B360" s="26">
        <v>7</v>
      </c>
      <c r="C360" s="27" t="s">
        <v>15</v>
      </c>
      <c r="D360" s="26" t="s">
        <v>110</v>
      </c>
      <c r="E360" s="26" t="s">
        <v>108</v>
      </c>
      <c r="F360" s="27" t="s">
        <v>111</v>
      </c>
      <c r="G360" s="26" t="s">
        <v>33</v>
      </c>
      <c r="H360" s="28">
        <v>1043.6199999999999</v>
      </c>
      <c r="I360" s="26">
        <v>2.83</v>
      </c>
      <c r="J360" s="26">
        <v>2.81</v>
      </c>
      <c r="K360" s="29">
        <v>0.99099999999999999</v>
      </c>
      <c r="L360" s="26">
        <v>34.79</v>
      </c>
      <c r="M360" s="19">
        <f>H360*INDEX('Pliegos Tarifarios (Huechuraba)'!$B:$B,MATCH($B360,'Pliegos Tarifarios (Huechuraba)'!$A:$A,0))</f>
        <v>137510.50206</v>
      </c>
      <c r="N360" s="19">
        <f>I360*INDEX('Pliegos Tarifarios (Huechuraba)'!$C:$C,MATCH($B360,'Pliegos Tarifarios (Huechuraba)'!$A:$A,0))</f>
        <v>9643.6183700000001</v>
      </c>
      <c r="O360" s="19">
        <f>J360*INDEX('Pliegos Tarifarios (Huechuraba)'!$D:$D,MATCH($B360,'Pliegos Tarifarios (Huechuraba)'!$A:$A,0))</f>
        <v>40669.129999999997</v>
      </c>
      <c r="P360" s="19">
        <f>H360*INDEX('Pliegos Tarifarios (Huechuraba)'!$E:$E,MATCH($B360,'Pliegos Tarifarios (Huechuraba)'!$A:$A,0))</f>
        <v>13592.106879999998</v>
      </c>
      <c r="Q360" s="19" cm="1">
        <f t="array" ref="Q360">H360*_xlfn.IFS(H360&lt;=350,INDEX('Pliegos Tarifarios (Huechuraba)'!$F:$F,MATCH($B360,'Pliegos Tarifarios (Huechuraba)'!$A:$A,0)),H360&lt;=500,INDEX('Pliegos Tarifarios (Huechuraba)'!$G:$G,MATCH($B360,'Pliegos Tarifarios (Huechuraba)'!$A:$A,0)),H360&lt;=1000,INDEX('Pliegos Tarifarios (Huechuraba)'!$H:$H,MATCH($B360,'Pliegos Tarifarios (Huechuraba)'!$A:$A,0)),H360&lt;=5000,INDEX('Pliegos Tarifarios (Huechuraba)'!$I:$I,MATCH($B360,'Pliegos Tarifarios (Huechuraba)'!$A:$A,0)),H360&gt;5000,INDEX('Pliegos Tarifarios (Huechuraba)'!$J:$J,MATCH($B360,'Pliegos Tarifarios (Huechuraba)'!$A:$A,0)))/1.19</f>
        <v>3131.7369915966383</v>
      </c>
      <c r="R360" s="19">
        <f>INDEX('Pliegos Tarifarios (Huechuraba)'!$K:$K,MATCH($B360,'Pliegos Tarifarios (Huechuraba)'!$A:$A,0))</f>
        <v>726.16</v>
      </c>
      <c r="S360" s="36">
        <f t="shared" si="15"/>
        <v>205273.25430159667</v>
      </c>
      <c r="T360" s="36">
        <f t="shared" si="16"/>
        <v>39001.918317303367</v>
      </c>
      <c r="U360" s="19">
        <v>0</v>
      </c>
      <c r="V360" s="36">
        <f t="shared" si="17"/>
        <v>244275.17261890002</v>
      </c>
    </row>
    <row r="361" spans="1:22" ht="23.4" thickBot="1" x14ac:dyDescent="0.35">
      <c r="A361" s="25" t="s">
        <v>149</v>
      </c>
      <c r="B361" s="26">
        <v>7</v>
      </c>
      <c r="C361" s="27" t="s">
        <v>15</v>
      </c>
      <c r="D361" s="26" t="s">
        <v>112</v>
      </c>
      <c r="E361" s="26" t="s">
        <v>113</v>
      </c>
      <c r="F361" s="27" t="s">
        <v>114</v>
      </c>
      <c r="G361" s="26" t="s">
        <v>33</v>
      </c>
      <c r="H361" s="26">
        <v>378.95</v>
      </c>
      <c r="I361" s="26">
        <v>1.01</v>
      </c>
      <c r="J361" s="26">
        <v>1.01</v>
      </c>
      <c r="K361" s="29">
        <v>1</v>
      </c>
      <c r="L361" s="26">
        <v>12.63</v>
      </c>
      <c r="M361" s="19">
        <f>H361*INDEX('Pliegos Tarifarios (Huechuraba)'!$B:$B,MATCH($B361,'Pliegos Tarifarios (Huechuraba)'!$A:$A,0))</f>
        <v>49931.58885</v>
      </c>
      <c r="N361" s="19">
        <f>I361*INDEX('Pliegos Tarifarios (Huechuraba)'!$C:$C,MATCH($B361,'Pliegos Tarifarios (Huechuraba)'!$A:$A,0))</f>
        <v>3441.7153900000003</v>
      </c>
      <c r="O361" s="19">
        <f>J361*INDEX('Pliegos Tarifarios (Huechuraba)'!$D:$D,MATCH($B361,'Pliegos Tarifarios (Huechuraba)'!$A:$A,0))</f>
        <v>14617.73</v>
      </c>
      <c r="P361" s="19">
        <f>H361*INDEX('Pliegos Tarifarios (Huechuraba)'!$E:$E,MATCH($B361,'Pliegos Tarifarios (Huechuraba)'!$A:$A,0))</f>
        <v>4935.4447999999993</v>
      </c>
      <c r="Q361" s="19" cm="1">
        <f t="array" ref="Q361">H361*_xlfn.IFS(H361&lt;=350,INDEX('Pliegos Tarifarios (Huechuraba)'!$F:$F,MATCH($B361,'Pliegos Tarifarios (Huechuraba)'!$A:$A,0)),H361&lt;=500,INDEX('Pliegos Tarifarios (Huechuraba)'!$G:$G,MATCH($B361,'Pliegos Tarifarios (Huechuraba)'!$A:$A,0)),H361&lt;=1000,INDEX('Pliegos Tarifarios (Huechuraba)'!$H:$H,MATCH($B361,'Pliegos Tarifarios (Huechuraba)'!$A:$A,0)),H361&lt;=5000,INDEX('Pliegos Tarifarios (Huechuraba)'!$I:$I,MATCH($B361,'Pliegos Tarifarios (Huechuraba)'!$A:$A,0)),H361&gt;5000,INDEX('Pliegos Tarifarios (Huechuraba)'!$J:$J,MATCH($B361,'Pliegos Tarifarios (Huechuraba)'!$A:$A,0)))/1.19</f>
        <v>533.7144537815127</v>
      </c>
      <c r="R361" s="19">
        <f>INDEX('Pliegos Tarifarios (Huechuraba)'!$K:$K,MATCH($B361,'Pliegos Tarifarios (Huechuraba)'!$A:$A,0))</f>
        <v>726.16</v>
      </c>
      <c r="S361" s="36">
        <f t="shared" si="15"/>
        <v>74186.353493781513</v>
      </c>
      <c r="T361" s="36">
        <f t="shared" si="16"/>
        <v>14095.407163818487</v>
      </c>
      <c r="U361" s="19">
        <v>0</v>
      </c>
      <c r="V361" s="36">
        <f t="shared" si="17"/>
        <v>88281.760657599996</v>
      </c>
    </row>
    <row r="362" spans="1:22" ht="23.4" thickBot="1" x14ac:dyDescent="0.35">
      <c r="A362" s="25" t="s">
        <v>149</v>
      </c>
      <c r="B362" s="26">
        <v>7</v>
      </c>
      <c r="C362" s="27" t="s">
        <v>15</v>
      </c>
      <c r="D362" s="26" t="s">
        <v>115</v>
      </c>
      <c r="E362" s="26" t="s">
        <v>116</v>
      </c>
      <c r="F362" s="27" t="s">
        <v>117</v>
      </c>
      <c r="G362" s="26" t="s">
        <v>33</v>
      </c>
      <c r="H362" s="26">
        <v>427</v>
      </c>
      <c r="I362" s="26">
        <v>1.17</v>
      </c>
      <c r="J362" s="26">
        <v>1.1299999999999999</v>
      </c>
      <c r="K362" s="29">
        <v>0.96199999999999997</v>
      </c>
      <c r="L362" s="26">
        <v>14.23</v>
      </c>
      <c r="M362" s="19">
        <f>H362*INDEX('Pliegos Tarifarios (Huechuraba)'!$B:$B,MATCH($B362,'Pliegos Tarifarios (Huechuraba)'!$A:$A,0))</f>
        <v>56262.800999999999</v>
      </c>
      <c r="N362" s="19">
        <f>I362*INDEX('Pliegos Tarifarios (Huechuraba)'!$C:$C,MATCH($B362,'Pliegos Tarifarios (Huechuraba)'!$A:$A,0))</f>
        <v>3986.9376299999999</v>
      </c>
      <c r="O362" s="19">
        <f>J362*INDEX('Pliegos Tarifarios (Huechuraba)'!$D:$D,MATCH($B362,'Pliegos Tarifarios (Huechuraba)'!$A:$A,0))</f>
        <v>16354.489999999998</v>
      </c>
      <c r="P362" s="19">
        <f>H362*INDEX('Pliegos Tarifarios (Huechuraba)'!$E:$E,MATCH($B362,'Pliegos Tarifarios (Huechuraba)'!$A:$A,0))</f>
        <v>5561.2479999999996</v>
      </c>
      <c r="Q362" s="19" cm="1">
        <f t="array" ref="Q362">H362*_xlfn.IFS(H362&lt;=350,INDEX('Pliegos Tarifarios (Huechuraba)'!$F:$F,MATCH($B362,'Pliegos Tarifarios (Huechuraba)'!$A:$A,0)),H362&lt;=500,INDEX('Pliegos Tarifarios (Huechuraba)'!$G:$G,MATCH($B362,'Pliegos Tarifarios (Huechuraba)'!$A:$A,0)),H362&lt;=1000,INDEX('Pliegos Tarifarios (Huechuraba)'!$H:$H,MATCH($B362,'Pliegos Tarifarios (Huechuraba)'!$A:$A,0)),H362&lt;=5000,INDEX('Pliegos Tarifarios (Huechuraba)'!$I:$I,MATCH($B362,'Pliegos Tarifarios (Huechuraba)'!$A:$A,0)),H362&gt;5000,INDEX('Pliegos Tarifarios (Huechuraba)'!$J:$J,MATCH($B362,'Pliegos Tarifarios (Huechuraba)'!$A:$A,0)))/1.19</f>
        <v>601.38823529411775</v>
      </c>
      <c r="R362" s="19">
        <f>INDEX('Pliegos Tarifarios (Huechuraba)'!$K:$K,MATCH($B362,'Pliegos Tarifarios (Huechuraba)'!$A:$A,0))</f>
        <v>726.16</v>
      </c>
      <c r="S362" s="36">
        <f t="shared" si="15"/>
        <v>83493.024865294108</v>
      </c>
      <c r="T362" s="36">
        <f t="shared" si="16"/>
        <v>15863.674724405881</v>
      </c>
      <c r="U362" s="19">
        <v>0</v>
      </c>
      <c r="V362" s="36">
        <f t="shared" si="17"/>
        <v>99356.699589699987</v>
      </c>
    </row>
    <row r="363" spans="1:22" ht="23.4" thickBot="1" x14ac:dyDescent="0.35">
      <c r="A363" s="25" t="s">
        <v>149</v>
      </c>
      <c r="B363" s="26">
        <v>7</v>
      </c>
      <c r="C363" s="27" t="s">
        <v>15</v>
      </c>
      <c r="D363" s="26" t="s">
        <v>118</v>
      </c>
      <c r="E363" s="26" t="s">
        <v>119</v>
      </c>
      <c r="F363" s="27" t="s">
        <v>120</v>
      </c>
      <c r="G363" s="26" t="s">
        <v>33</v>
      </c>
      <c r="H363" s="26">
        <v>71.150000000000006</v>
      </c>
      <c r="I363" s="26">
        <v>0.2</v>
      </c>
      <c r="J363" s="26">
        <v>0.19</v>
      </c>
      <c r="K363" s="29">
        <v>0.95899999999999996</v>
      </c>
      <c r="L363" s="26">
        <v>2.37</v>
      </c>
      <c r="M363" s="19">
        <f>H363*INDEX('Pliegos Tarifarios (Huechuraba)'!$B:$B,MATCH($B363,'Pliegos Tarifarios (Huechuraba)'!$A:$A,0))</f>
        <v>9374.9374500000013</v>
      </c>
      <c r="N363" s="19">
        <f>I363*INDEX('Pliegos Tarifarios (Huechuraba)'!$C:$C,MATCH($B363,'Pliegos Tarifarios (Huechuraba)'!$A:$A,0))</f>
        <v>681.52780000000007</v>
      </c>
      <c r="O363" s="19">
        <f>J363*INDEX('Pliegos Tarifarios (Huechuraba)'!$D:$D,MATCH($B363,'Pliegos Tarifarios (Huechuraba)'!$A:$A,0))</f>
        <v>2749.87</v>
      </c>
      <c r="P363" s="19">
        <f>H363*INDEX('Pliegos Tarifarios (Huechuraba)'!$E:$E,MATCH($B363,'Pliegos Tarifarios (Huechuraba)'!$A:$A,0))</f>
        <v>926.6576</v>
      </c>
      <c r="Q363" s="19" cm="1">
        <f t="array" ref="Q363">H363*_xlfn.IFS(H363&lt;=350,INDEX('Pliegos Tarifarios (Huechuraba)'!$F:$F,MATCH($B363,'Pliegos Tarifarios (Huechuraba)'!$A:$A,0)),H363&lt;=500,INDEX('Pliegos Tarifarios (Huechuraba)'!$G:$G,MATCH($B363,'Pliegos Tarifarios (Huechuraba)'!$A:$A,0)),H363&lt;=1000,INDEX('Pliegos Tarifarios (Huechuraba)'!$H:$H,MATCH($B363,'Pliegos Tarifarios (Huechuraba)'!$A:$A,0)),H363&lt;=5000,INDEX('Pliegos Tarifarios (Huechuraba)'!$I:$I,MATCH($B363,'Pliegos Tarifarios (Huechuraba)'!$A:$A,0)),H363&gt;5000,INDEX('Pliegos Tarifarios (Huechuraba)'!$J:$J,MATCH($B363,'Pliegos Tarifarios (Huechuraba)'!$A:$A,0)))/1.19</f>
        <v>46.875294117647066</v>
      </c>
      <c r="R363" s="19">
        <f>INDEX('Pliegos Tarifarios (Huechuraba)'!$K:$K,MATCH($B363,'Pliegos Tarifarios (Huechuraba)'!$A:$A,0))</f>
        <v>726.16</v>
      </c>
      <c r="S363" s="36">
        <f t="shared" si="15"/>
        <v>14506.028144117647</v>
      </c>
      <c r="T363" s="36">
        <f t="shared" si="16"/>
        <v>2756.1453473823531</v>
      </c>
      <c r="U363" s="19">
        <v>0</v>
      </c>
      <c r="V363" s="36">
        <f t="shared" si="17"/>
        <v>17262.173491499998</v>
      </c>
    </row>
    <row r="364" spans="1:22" ht="23.4" thickBot="1" x14ac:dyDescent="0.35">
      <c r="A364" s="25" t="s">
        <v>149</v>
      </c>
      <c r="B364" s="26">
        <v>7</v>
      </c>
      <c r="C364" s="27" t="s">
        <v>15</v>
      </c>
      <c r="D364" s="26" t="s">
        <v>121</v>
      </c>
      <c r="E364" s="26" t="s">
        <v>119</v>
      </c>
      <c r="F364" s="27" t="s">
        <v>122</v>
      </c>
      <c r="G364" s="26" t="s">
        <v>33</v>
      </c>
      <c r="H364" s="26">
        <v>71.05</v>
      </c>
      <c r="I364" s="26">
        <v>0.19</v>
      </c>
      <c r="J364" s="26">
        <v>0.19</v>
      </c>
      <c r="K364" s="29">
        <v>0.97599999999999998</v>
      </c>
      <c r="L364" s="26">
        <v>2.37</v>
      </c>
      <c r="M364" s="19">
        <f>H364*INDEX('Pliegos Tarifarios (Huechuraba)'!$B:$B,MATCH($B364,'Pliegos Tarifarios (Huechuraba)'!$A:$A,0))</f>
        <v>9361.7611500000003</v>
      </c>
      <c r="N364" s="19">
        <f>I364*INDEX('Pliegos Tarifarios (Huechuraba)'!$C:$C,MATCH($B364,'Pliegos Tarifarios (Huechuraba)'!$A:$A,0))</f>
        <v>647.45141000000001</v>
      </c>
      <c r="O364" s="19">
        <f>J364*INDEX('Pliegos Tarifarios (Huechuraba)'!$D:$D,MATCH($B364,'Pliegos Tarifarios (Huechuraba)'!$A:$A,0))</f>
        <v>2749.87</v>
      </c>
      <c r="P364" s="19">
        <f>H364*INDEX('Pliegos Tarifarios (Huechuraba)'!$E:$E,MATCH($B364,'Pliegos Tarifarios (Huechuraba)'!$A:$A,0))</f>
        <v>925.35519999999985</v>
      </c>
      <c r="Q364" s="19" cm="1">
        <f t="array" ref="Q364">H364*_xlfn.IFS(H364&lt;=350,INDEX('Pliegos Tarifarios (Huechuraba)'!$F:$F,MATCH($B364,'Pliegos Tarifarios (Huechuraba)'!$A:$A,0)),H364&lt;=500,INDEX('Pliegos Tarifarios (Huechuraba)'!$G:$G,MATCH($B364,'Pliegos Tarifarios (Huechuraba)'!$A:$A,0)),H364&lt;=1000,INDEX('Pliegos Tarifarios (Huechuraba)'!$H:$H,MATCH($B364,'Pliegos Tarifarios (Huechuraba)'!$A:$A,0)),H364&lt;=5000,INDEX('Pliegos Tarifarios (Huechuraba)'!$I:$I,MATCH($B364,'Pliegos Tarifarios (Huechuraba)'!$A:$A,0)),H364&gt;5000,INDEX('Pliegos Tarifarios (Huechuraba)'!$J:$J,MATCH($B364,'Pliegos Tarifarios (Huechuraba)'!$A:$A,0)))/1.19</f>
        <v>46.809411764705885</v>
      </c>
      <c r="R364" s="19">
        <f>INDEX('Pliegos Tarifarios (Huechuraba)'!$K:$K,MATCH($B364,'Pliegos Tarifarios (Huechuraba)'!$A:$A,0))</f>
        <v>726.16</v>
      </c>
      <c r="S364" s="36">
        <f t="shared" si="15"/>
        <v>14457.407171764704</v>
      </c>
      <c r="T364" s="36">
        <f t="shared" si="16"/>
        <v>2746.9073626352938</v>
      </c>
      <c r="U364" s="19">
        <v>0</v>
      </c>
      <c r="V364" s="36">
        <f t="shared" si="17"/>
        <v>17204.314534399997</v>
      </c>
    </row>
    <row r="365" spans="1:22" ht="23.4" thickBot="1" x14ac:dyDescent="0.35">
      <c r="A365" s="25" t="s">
        <v>149</v>
      </c>
      <c r="B365" s="26">
        <v>7</v>
      </c>
      <c r="C365" s="27" t="s">
        <v>15</v>
      </c>
      <c r="D365" s="26" t="s">
        <v>123</v>
      </c>
      <c r="E365" s="26" t="s">
        <v>124</v>
      </c>
      <c r="F365" s="27" t="s">
        <v>125</v>
      </c>
      <c r="G365" s="26" t="s">
        <v>33</v>
      </c>
      <c r="H365" s="26">
        <v>71.040000000000006</v>
      </c>
      <c r="I365" s="26">
        <v>0.2</v>
      </c>
      <c r="J365" s="26">
        <v>0.19</v>
      </c>
      <c r="K365" s="29">
        <v>0.95699999999999996</v>
      </c>
      <c r="L365" s="26">
        <v>2.37</v>
      </c>
      <c r="M365" s="19">
        <f>H365*INDEX('Pliegos Tarifarios (Huechuraba)'!$B:$B,MATCH($B365,'Pliegos Tarifarios (Huechuraba)'!$A:$A,0))</f>
        <v>9360.4435200000007</v>
      </c>
      <c r="N365" s="19">
        <f>I365*INDEX('Pliegos Tarifarios (Huechuraba)'!$C:$C,MATCH($B365,'Pliegos Tarifarios (Huechuraba)'!$A:$A,0))</f>
        <v>681.52780000000007</v>
      </c>
      <c r="O365" s="19">
        <f>J365*INDEX('Pliegos Tarifarios (Huechuraba)'!$D:$D,MATCH($B365,'Pliegos Tarifarios (Huechuraba)'!$A:$A,0))</f>
        <v>2749.87</v>
      </c>
      <c r="P365" s="19">
        <f>H365*INDEX('Pliegos Tarifarios (Huechuraba)'!$E:$E,MATCH($B365,'Pliegos Tarifarios (Huechuraba)'!$A:$A,0))</f>
        <v>925.22496000000001</v>
      </c>
      <c r="Q365" s="19" cm="1">
        <f t="array" ref="Q365">H365*_xlfn.IFS(H365&lt;=350,INDEX('Pliegos Tarifarios (Huechuraba)'!$F:$F,MATCH($B365,'Pliegos Tarifarios (Huechuraba)'!$A:$A,0)),H365&lt;=500,INDEX('Pliegos Tarifarios (Huechuraba)'!$G:$G,MATCH($B365,'Pliegos Tarifarios (Huechuraba)'!$A:$A,0)),H365&lt;=1000,INDEX('Pliegos Tarifarios (Huechuraba)'!$H:$H,MATCH($B365,'Pliegos Tarifarios (Huechuraba)'!$A:$A,0)),H365&lt;=5000,INDEX('Pliegos Tarifarios (Huechuraba)'!$I:$I,MATCH($B365,'Pliegos Tarifarios (Huechuraba)'!$A:$A,0)),H365&gt;5000,INDEX('Pliegos Tarifarios (Huechuraba)'!$J:$J,MATCH($B365,'Pliegos Tarifarios (Huechuraba)'!$A:$A,0)))/1.19</f>
        <v>46.802823529411775</v>
      </c>
      <c r="R365" s="19">
        <f>INDEX('Pliegos Tarifarios (Huechuraba)'!$K:$K,MATCH($B365,'Pliegos Tarifarios (Huechuraba)'!$A:$A,0))</f>
        <v>726.16</v>
      </c>
      <c r="S365" s="36">
        <f t="shared" si="15"/>
        <v>14490.02910352941</v>
      </c>
      <c r="T365" s="36">
        <f t="shared" si="16"/>
        <v>2753.1055296705881</v>
      </c>
      <c r="U365" s="19">
        <v>0</v>
      </c>
      <c r="V365" s="36">
        <f t="shared" si="17"/>
        <v>17243.134633199999</v>
      </c>
    </row>
    <row r="366" spans="1:22" ht="23.4" thickBot="1" x14ac:dyDescent="0.35">
      <c r="A366" s="25" t="s">
        <v>149</v>
      </c>
      <c r="B366" s="26">
        <v>7</v>
      </c>
      <c r="C366" s="27" t="s">
        <v>15</v>
      </c>
      <c r="D366" s="26" t="s">
        <v>126</v>
      </c>
      <c r="E366" s="26" t="s">
        <v>124</v>
      </c>
      <c r="F366" s="27" t="s">
        <v>127</v>
      </c>
      <c r="G366" s="26" t="s">
        <v>33</v>
      </c>
      <c r="H366" s="26">
        <v>118.45</v>
      </c>
      <c r="I366" s="26">
        <v>0.32</v>
      </c>
      <c r="J366" s="26">
        <v>0.32</v>
      </c>
      <c r="K366" s="29">
        <v>1</v>
      </c>
      <c r="L366" s="26">
        <v>3.95</v>
      </c>
      <c r="M366" s="19">
        <f>H366*INDEX('Pliegos Tarifarios (Huechuraba)'!$B:$B,MATCH($B366,'Pliegos Tarifarios (Huechuraba)'!$A:$A,0))</f>
        <v>15607.327350000001</v>
      </c>
      <c r="N366" s="19">
        <f>I366*INDEX('Pliegos Tarifarios (Huechuraba)'!$C:$C,MATCH($B366,'Pliegos Tarifarios (Huechuraba)'!$A:$A,0))</f>
        <v>1090.4444800000001</v>
      </c>
      <c r="O366" s="19">
        <f>J366*INDEX('Pliegos Tarifarios (Huechuraba)'!$D:$D,MATCH($B366,'Pliegos Tarifarios (Huechuraba)'!$A:$A,0))</f>
        <v>4631.3599999999997</v>
      </c>
      <c r="P366" s="19">
        <f>H366*INDEX('Pliegos Tarifarios (Huechuraba)'!$E:$E,MATCH($B366,'Pliegos Tarifarios (Huechuraba)'!$A:$A,0))</f>
        <v>1542.6928</v>
      </c>
      <c r="Q366" s="19" cm="1">
        <f t="array" ref="Q366">H366*_xlfn.IFS(H366&lt;=350,INDEX('Pliegos Tarifarios (Huechuraba)'!$F:$F,MATCH($B366,'Pliegos Tarifarios (Huechuraba)'!$A:$A,0)),H366&lt;=500,INDEX('Pliegos Tarifarios (Huechuraba)'!$G:$G,MATCH($B366,'Pliegos Tarifarios (Huechuraba)'!$A:$A,0)),H366&lt;=1000,INDEX('Pliegos Tarifarios (Huechuraba)'!$H:$H,MATCH($B366,'Pliegos Tarifarios (Huechuraba)'!$A:$A,0)),H366&lt;=5000,INDEX('Pliegos Tarifarios (Huechuraba)'!$I:$I,MATCH($B366,'Pliegos Tarifarios (Huechuraba)'!$A:$A,0)),H366&gt;5000,INDEX('Pliegos Tarifarios (Huechuraba)'!$J:$J,MATCH($B366,'Pliegos Tarifarios (Huechuraba)'!$A:$A,0)))/1.19</f>
        <v>78.037647058823538</v>
      </c>
      <c r="R366" s="19">
        <f>INDEX('Pliegos Tarifarios (Huechuraba)'!$K:$K,MATCH($B366,'Pliegos Tarifarios (Huechuraba)'!$A:$A,0))</f>
        <v>726.16</v>
      </c>
      <c r="S366" s="36">
        <f t="shared" si="15"/>
        <v>23676.022277058826</v>
      </c>
      <c r="T366" s="36">
        <f t="shared" si="16"/>
        <v>4498.4442326411772</v>
      </c>
      <c r="U366" s="19">
        <v>0</v>
      </c>
      <c r="V366" s="36">
        <f t="shared" si="17"/>
        <v>28174.466509700003</v>
      </c>
    </row>
    <row r="367" spans="1:22" ht="23.4" thickBot="1" x14ac:dyDescent="0.35">
      <c r="A367" s="25" t="s">
        <v>149</v>
      </c>
      <c r="B367" s="26">
        <v>7</v>
      </c>
      <c r="C367" s="27" t="s">
        <v>15</v>
      </c>
      <c r="D367" s="26" t="s">
        <v>128</v>
      </c>
      <c r="E367" s="26" t="s">
        <v>124</v>
      </c>
      <c r="F367" s="27" t="s">
        <v>129</v>
      </c>
      <c r="G367" s="26" t="s">
        <v>33</v>
      </c>
      <c r="H367" s="26">
        <v>71.290000000000006</v>
      </c>
      <c r="I367" s="26">
        <v>0.19</v>
      </c>
      <c r="J367" s="26">
        <v>0.19</v>
      </c>
      <c r="K367" s="29">
        <v>1</v>
      </c>
      <c r="L367" s="26">
        <v>2.38</v>
      </c>
      <c r="M367" s="19">
        <f>H367*INDEX('Pliegos Tarifarios (Huechuraba)'!$B:$B,MATCH($B367,'Pliegos Tarifarios (Huechuraba)'!$A:$A,0))</f>
        <v>9393.3842700000005</v>
      </c>
      <c r="N367" s="19">
        <f>I367*INDEX('Pliegos Tarifarios (Huechuraba)'!$C:$C,MATCH($B367,'Pliegos Tarifarios (Huechuraba)'!$A:$A,0))</f>
        <v>647.45141000000001</v>
      </c>
      <c r="O367" s="19">
        <f>J367*INDEX('Pliegos Tarifarios (Huechuraba)'!$D:$D,MATCH($B367,'Pliegos Tarifarios (Huechuraba)'!$A:$A,0))</f>
        <v>2749.87</v>
      </c>
      <c r="P367" s="19">
        <f>H367*INDEX('Pliegos Tarifarios (Huechuraba)'!$E:$E,MATCH($B367,'Pliegos Tarifarios (Huechuraba)'!$A:$A,0))</f>
        <v>928.48095999999998</v>
      </c>
      <c r="Q367" s="19" cm="1">
        <f t="array" ref="Q367">H367*_xlfn.IFS(H367&lt;=350,INDEX('Pliegos Tarifarios (Huechuraba)'!$F:$F,MATCH($B367,'Pliegos Tarifarios (Huechuraba)'!$A:$A,0)),H367&lt;=500,INDEX('Pliegos Tarifarios (Huechuraba)'!$G:$G,MATCH($B367,'Pliegos Tarifarios (Huechuraba)'!$A:$A,0)),H367&lt;=1000,INDEX('Pliegos Tarifarios (Huechuraba)'!$H:$H,MATCH($B367,'Pliegos Tarifarios (Huechuraba)'!$A:$A,0)),H367&lt;=5000,INDEX('Pliegos Tarifarios (Huechuraba)'!$I:$I,MATCH($B367,'Pliegos Tarifarios (Huechuraba)'!$A:$A,0)),H367&gt;5000,INDEX('Pliegos Tarifarios (Huechuraba)'!$J:$J,MATCH($B367,'Pliegos Tarifarios (Huechuraba)'!$A:$A,0)))/1.19</f>
        <v>46.967529411764716</v>
      </c>
      <c r="R367" s="19">
        <f>INDEX('Pliegos Tarifarios (Huechuraba)'!$K:$K,MATCH($B367,'Pliegos Tarifarios (Huechuraba)'!$A:$A,0))</f>
        <v>726.16</v>
      </c>
      <c r="S367" s="36">
        <f t="shared" si="15"/>
        <v>14492.314169411764</v>
      </c>
      <c r="T367" s="36">
        <f t="shared" si="16"/>
        <v>2753.5396921882352</v>
      </c>
      <c r="U367" s="19">
        <v>0</v>
      </c>
      <c r="V367" s="36">
        <f t="shared" si="17"/>
        <v>17245.853861600001</v>
      </c>
    </row>
    <row r="368" spans="1:22" ht="23.4" thickBot="1" x14ac:dyDescent="0.35">
      <c r="A368" s="25" t="s">
        <v>149</v>
      </c>
      <c r="B368" s="26">
        <v>7</v>
      </c>
      <c r="C368" s="27" t="s">
        <v>15</v>
      </c>
      <c r="D368" s="26" t="s">
        <v>130</v>
      </c>
      <c r="E368" s="26" t="s">
        <v>124</v>
      </c>
      <c r="F368" s="27" t="s">
        <v>131</v>
      </c>
      <c r="G368" s="26" t="s">
        <v>33</v>
      </c>
      <c r="H368" s="26">
        <v>71.099999999999994</v>
      </c>
      <c r="I368" s="26">
        <v>0.19</v>
      </c>
      <c r="J368" s="26">
        <v>0.19</v>
      </c>
      <c r="K368" s="29">
        <v>1</v>
      </c>
      <c r="L368" s="26">
        <v>2.37</v>
      </c>
      <c r="M368" s="19">
        <f>H368*INDEX('Pliegos Tarifarios (Huechuraba)'!$B:$B,MATCH($B368,'Pliegos Tarifarios (Huechuraba)'!$A:$A,0))</f>
        <v>9368.3492999999999</v>
      </c>
      <c r="N368" s="19">
        <f>I368*INDEX('Pliegos Tarifarios (Huechuraba)'!$C:$C,MATCH($B368,'Pliegos Tarifarios (Huechuraba)'!$A:$A,0))</f>
        <v>647.45141000000001</v>
      </c>
      <c r="O368" s="19">
        <f>J368*INDEX('Pliegos Tarifarios (Huechuraba)'!$D:$D,MATCH($B368,'Pliegos Tarifarios (Huechuraba)'!$A:$A,0))</f>
        <v>2749.87</v>
      </c>
      <c r="P368" s="19">
        <f>H368*INDEX('Pliegos Tarifarios (Huechuraba)'!$E:$E,MATCH($B368,'Pliegos Tarifarios (Huechuraba)'!$A:$A,0))</f>
        <v>926.00639999999987</v>
      </c>
      <c r="Q368" s="19" cm="1">
        <f t="array" ref="Q368">H368*_xlfn.IFS(H368&lt;=350,INDEX('Pliegos Tarifarios (Huechuraba)'!$F:$F,MATCH($B368,'Pliegos Tarifarios (Huechuraba)'!$A:$A,0)),H368&lt;=500,INDEX('Pliegos Tarifarios (Huechuraba)'!$G:$G,MATCH($B368,'Pliegos Tarifarios (Huechuraba)'!$A:$A,0)),H368&lt;=1000,INDEX('Pliegos Tarifarios (Huechuraba)'!$H:$H,MATCH($B368,'Pliegos Tarifarios (Huechuraba)'!$A:$A,0)),H368&lt;=5000,INDEX('Pliegos Tarifarios (Huechuraba)'!$I:$I,MATCH($B368,'Pliegos Tarifarios (Huechuraba)'!$A:$A,0)),H368&gt;5000,INDEX('Pliegos Tarifarios (Huechuraba)'!$J:$J,MATCH($B368,'Pliegos Tarifarios (Huechuraba)'!$A:$A,0)))/1.19</f>
        <v>46.842352941176472</v>
      </c>
      <c r="R368" s="19">
        <f>INDEX('Pliegos Tarifarios (Huechuraba)'!$K:$K,MATCH($B368,'Pliegos Tarifarios (Huechuraba)'!$A:$A,0))</f>
        <v>726.16</v>
      </c>
      <c r="S368" s="36">
        <f t="shared" si="15"/>
        <v>14464.679462941174</v>
      </c>
      <c r="T368" s="36">
        <f t="shared" si="16"/>
        <v>2748.2890979588233</v>
      </c>
      <c r="U368" s="19">
        <v>0</v>
      </c>
      <c r="V368" s="36">
        <f t="shared" si="17"/>
        <v>17212.968560899997</v>
      </c>
    </row>
    <row r="369" spans="1:22" ht="23.4" thickBot="1" x14ac:dyDescent="0.35">
      <c r="A369" s="25" t="s">
        <v>149</v>
      </c>
      <c r="B369" s="26">
        <v>7</v>
      </c>
      <c r="C369" s="27" t="s">
        <v>15</v>
      </c>
      <c r="D369" s="26" t="s">
        <v>132</v>
      </c>
      <c r="E369" s="26" t="s">
        <v>124</v>
      </c>
      <c r="F369" s="27" t="s">
        <v>133</v>
      </c>
      <c r="G369" s="26" t="s">
        <v>33</v>
      </c>
      <c r="H369" s="26">
        <v>71.16</v>
      </c>
      <c r="I369" s="26">
        <v>0.19</v>
      </c>
      <c r="J369" s="26">
        <v>0.19</v>
      </c>
      <c r="K369" s="29">
        <v>0.96599999999999997</v>
      </c>
      <c r="L369" s="26">
        <v>2.37</v>
      </c>
      <c r="M369" s="19">
        <f>H369*INDEX('Pliegos Tarifarios (Huechuraba)'!$B:$B,MATCH($B369,'Pliegos Tarifarios (Huechuraba)'!$A:$A,0))</f>
        <v>9376.2550800000008</v>
      </c>
      <c r="N369" s="19">
        <f>I369*INDEX('Pliegos Tarifarios (Huechuraba)'!$C:$C,MATCH($B369,'Pliegos Tarifarios (Huechuraba)'!$A:$A,0))</f>
        <v>647.45141000000001</v>
      </c>
      <c r="O369" s="19">
        <f>J369*INDEX('Pliegos Tarifarios (Huechuraba)'!$D:$D,MATCH($B369,'Pliegos Tarifarios (Huechuraba)'!$A:$A,0))</f>
        <v>2749.87</v>
      </c>
      <c r="P369" s="19">
        <f>H369*INDEX('Pliegos Tarifarios (Huechuraba)'!$E:$E,MATCH($B369,'Pliegos Tarifarios (Huechuraba)'!$A:$A,0))</f>
        <v>926.78783999999985</v>
      </c>
      <c r="Q369" s="19" cm="1">
        <f t="array" ref="Q369">H369*_xlfn.IFS(H369&lt;=350,INDEX('Pliegos Tarifarios (Huechuraba)'!$F:$F,MATCH($B369,'Pliegos Tarifarios (Huechuraba)'!$A:$A,0)),H369&lt;=500,INDEX('Pliegos Tarifarios (Huechuraba)'!$G:$G,MATCH($B369,'Pliegos Tarifarios (Huechuraba)'!$A:$A,0)),H369&lt;=1000,INDEX('Pliegos Tarifarios (Huechuraba)'!$H:$H,MATCH($B369,'Pliegos Tarifarios (Huechuraba)'!$A:$A,0)),H369&lt;=5000,INDEX('Pliegos Tarifarios (Huechuraba)'!$I:$I,MATCH($B369,'Pliegos Tarifarios (Huechuraba)'!$A:$A,0)),H369&gt;5000,INDEX('Pliegos Tarifarios (Huechuraba)'!$J:$J,MATCH($B369,'Pliegos Tarifarios (Huechuraba)'!$A:$A,0)))/1.19</f>
        <v>46.881882352941176</v>
      </c>
      <c r="R369" s="19">
        <f>INDEX('Pliegos Tarifarios (Huechuraba)'!$K:$K,MATCH($B369,'Pliegos Tarifarios (Huechuraba)'!$A:$A,0))</f>
        <v>726.16</v>
      </c>
      <c r="S369" s="36">
        <f t="shared" si="15"/>
        <v>14473.40621235294</v>
      </c>
      <c r="T369" s="36">
        <f t="shared" si="16"/>
        <v>2749.9471803470587</v>
      </c>
      <c r="U369" s="19">
        <v>0</v>
      </c>
      <c r="V369" s="36">
        <f t="shared" si="17"/>
        <v>17223.353392699999</v>
      </c>
    </row>
    <row r="370" spans="1:22" ht="23.4" thickBot="1" x14ac:dyDescent="0.35">
      <c r="A370" s="25" t="s">
        <v>149</v>
      </c>
      <c r="B370" s="26">
        <v>7</v>
      </c>
      <c r="C370" s="27" t="s">
        <v>15</v>
      </c>
      <c r="D370" s="26" t="s">
        <v>134</v>
      </c>
      <c r="E370" s="26" t="s">
        <v>124</v>
      </c>
      <c r="F370" s="27" t="s">
        <v>135</v>
      </c>
      <c r="G370" s="26" t="s">
        <v>33</v>
      </c>
      <c r="H370" s="26">
        <v>141.80000000000001</v>
      </c>
      <c r="I370" s="26">
        <v>0.38</v>
      </c>
      <c r="J370" s="26">
        <v>0.37</v>
      </c>
      <c r="K370" s="29">
        <v>0.96599999999999997</v>
      </c>
      <c r="L370" s="26">
        <v>4.7300000000000004</v>
      </c>
      <c r="M370" s="19">
        <f>H370*INDEX('Pliegos Tarifarios (Huechuraba)'!$B:$B,MATCH($B370,'Pliegos Tarifarios (Huechuraba)'!$A:$A,0))</f>
        <v>18683.993400000003</v>
      </c>
      <c r="N370" s="19">
        <f>I370*INDEX('Pliegos Tarifarios (Huechuraba)'!$C:$C,MATCH($B370,'Pliegos Tarifarios (Huechuraba)'!$A:$A,0))</f>
        <v>1294.90282</v>
      </c>
      <c r="O370" s="19">
        <f>J370*INDEX('Pliegos Tarifarios (Huechuraba)'!$D:$D,MATCH($B370,'Pliegos Tarifarios (Huechuraba)'!$A:$A,0))</f>
        <v>5355.01</v>
      </c>
      <c r="P370" s="19">
        <f>H370*INDEX('Pliegos Tarifarios (Huechuraba)'!$E:$E,MATCH($B370,'Pliegos Tarifarios (Huechuraba)'!$A:$A,0))</f>
        <v>1846.8032000000001</v>
      </c>
      <c r="Q370" s="19" cm="1">
        <f t="array" ref="Q370">H370*_xlfn.IFS(H370&lt;=350,INDEX('Pliegos Tarifarios (Huechuraba)'!$F:$F,MATCH($B370,'Pliegos Tarifarios (Huechuraba)'!$A:$A,0)),H370&lt;=500,INDEX('Pliegos Tarifarios (Huechuraba)'!$G:$G,MATCH($B370,'Pliegos Tarifarios (Huechuraba)'!$A:$A,0)),H370&lt;=1000,INDEX('Pliegos Tarifarios (Huechuraba)'!$H:$H,MATCH($B370,'Pliegos Tarifarios (Huechuraba)'!$A:$A,0)),H370&lt;=5000,INDEX('Pliegos Tarifarios (Huechuraba)'!$I:$I,MATCH($B370,'Pliegos Tarifarios (Huechuraba)'!$A:$A,0)),H370&gt;5000,INDEX('Pliegos Tarifarios (Huechuraba)'!$J:$J,MATCH($B370,'Pliegos Tarifarios (Huechuraba)'!$A:$A,0)))/1.19</f>
        <v>93.42117647058825</v>
      </c>
      <c r="R370" s="19">
        <f>INDEX('Pliegos Tarifarios (Huechuraba)'!$K:$K,MATCH($B370,'Pliegos Tarifarios (Huechuraba)'!$A:$A,0))</f>
        <v>726.16</v>
      </c>
      <c r="S370" s="36">
        <f t="shared" si="15"/>
        <v>28000.29059647059</v>
      </c>
      <c r="T370" s="36">
        <f t="shared" si="16"/>
        <v>5320.0552133294123</v>
      </c>
      <c r="U370" s="19">
        <v>0</v>
      </c>
      <c r="V370" s="36">
        <f t="shared" si="17"/>
        <v>33320.345809800005</v>
      </c>
    </row>
    <row r="371" spans="1:22" ht="23.4" thickBot="1" x14ac:dyDescent="0.35">
      <c r="A371" s="25" t="s">
        <v>149</v>
      </c>
      <c r="B371" s="26">
        <v>7</v>
      </c>
      <c r="C371" s="27" t="s">
        <v>15</v>
      </c>
      <c r="D371" s="26" t="s">
        <v>136</v>
      </c>
      <c r="E371" s="26" t="s">
        <v>124</v>
      </c>
      <c r="F371" s="27" t="s">
        <v>137</v>
      </c>
      <c r="G371" s="26" t="s">
        <v>33</v>
      </c>
      <c r="H371" s="26">
        <v>141.91999999999999</v>
      </c>
      <c r="I371" s="26">
        <v>0.38</v>
      </c>
      <c r="J371" s="26">
        <v>0.38</v>
      </c>
      <c r="K371" s="29">
        <v>0.99299999999999999</v>
      </c>
      <c r="L371" s="26">
        <v>4.7300000000000004</v>
      </c>
      <c r="M371" s="19">
        <f>H371*INDEX('Pliegos Tarifarios (Huechuraba)'!$B:$B,MATCH($B371,'Pliegos Tarifarios (Huechuraba)'!$A:$A,0))</f>
        <v>18699.804959999998</v>
      </c>
      <c r="N371" s="19">
        <f>I371*INDEX('Pliegos Tarifarios (Huechuraba)'!$C:$C,MATCH($B371,'Pliegos Tarifarios (Huechuraba)'!$A:$A,0))</f>
        <v>1294.90282</v>
      </c>
      <c r="O371" s="19">
        <f>J371*INDEX('Pliegos Tarifarios (Huechuraba)'!$D:$D,MATCH($B371,'Pliegos Tarifarios (Huechuraba)'!$A:$A,0))</f>
        <v>5499.74</v>
      </c>
      <c r="P371" s="19">
        <f>H371*INDEX('Pliegos Tarifarios (Huechuraba)'!$E:$E,MATCH($B371,'Pliegos Tarifarios (Huechuraba)'!$A:$A,0))</f>
        <v>1848.3660799999998</v>
      </c>
      <c r="Q371" s="19" cm="1">
        <f t="array" ref="Q371">H371*_xlfn.IFS(H371&lt;=350,INDEX('Pliegos Tarifarios (Huechuraba)'!$F:$F,MATCH($B371,'Pliegos Tarifarios (Huechuraba)'!$A:$A,0)),H371&lt;=500,INDEX('Pliegos Tarifarios (Huechuraba)'!$G:$G,MATCH($B371,'Pliegos Tarifarios (Huechuraba)'!$A:$A,0)),H371&lt;=1000,INDEX('Pliegos Tarifarios (Huechuraba)'!$H:$H,MATCH($B371,'Pliegos Tarifarios (Huechuraba)'!$A:$A,0)),H371&lt;=5000,INDEX('Pliegos Tarifarios (Huechuraba)'!$I:$I,MATCH($B371,'Pliegos Tarifarios (Huechuraba)'!$A:$A,0)),H371&gt;5000,INDEX('Pliegos Tarifarios (Huechuraba)'!$J:$J,MATCH($B371,'Pliegos Tarifarios (Huechuraba)'!$A:$A,0)))/1.19</f>
        <v>93.500235294117644</v>
      </c>
      <c r="R371" s="19">
        <f>INDEX('Pliegos Tarifarios (Huechuraba)'!$K:$K,MATCH($B371,'Pliegos Tarifarios (Huechuraba)'!$A:$A,0))</f>
        <v>726.16</v>
      </c>
      <c r="S371" s="36">
        <f t="shared" si="15"/>
        <v>28162.474095294114</v>
      </c>
      <c r="T371" s="36">
        <f t="shared" si="16"/>
        <v>5350.8700781058815</v>
      </c>
      <c r="U371" s="19">
        <v>0</v>
      </c>
      <c r="V371" s="36">
        <f t="shared" si="17"/>
        <v>33513.344173399993</v>
      </c>
    </row>
    <row r="372" spans="1:22" ht="23.4" thickBot="1" x14ac:dyDescent="0.35">
      <c r="A372" s="25" t="s">
        <v>149</v>
      </c>
      <c r="B372" s="26">
        <v>7</v>
      </c>
      <c r="C372" s="27" t="s">
        <v>15</v>
      </c>
      <c r="D372" s="26" t="s">
        <v>138</v>
      </c>
      <c r="E372" s="26" t="s">
        <v>124</v>
      </c>
      <c r="F372" s="27" t="s">
        <v>139</v>
      </c>
      <c r="G372" s="26" t="s">
        <v>33</v>
      </c>
      <c r="H372" s="26">
        <v>141.94999999999999</v>
      </c>
      <c r="I372" s="26">
        <v>0.38</v>
      </c>
      <c r="J372" s="26">
        <v>0.37</v>
      </c>
      <c r="K372" s="29">
        <v>0.97899999999999998</v>
      </c>
      <c r="L372" s="26">
        <v>4.7300000000000004</v>
      </c>
      <c r="M372" s="19">
        <f>H372*INDEX('Pliegos Tarifarios (Huechuraba)'!$B:$B,MATCH($B372,'Pliegos Tarifarios (Huechuraba)'!$A:$A,0))</f>
        <v>18703.757849999998</v>
      </c>
      <c r="N372" s="19">
        <f>I372*INDEX('Pliegos Tarifarios (Huechuraba)'!$C:$C,MATCH($B372,'Pliegos Tarifarios (Huechuraba)'!$A:$A,0))</f>
        <v>1294.90282</v>
      </c>
      <c r="O372" s="19">
        <f>J372*INDEX('Pliegos Tarifarios (Huechuraba)'!$D:$D,MATCH($B372,'Pliegos Tarifarios (Huechuraba)'!$A:$A,0))</f>
        <v>5355.01</v>
      </c>
      <c r="P372" s="19">
        <f>H372*INDEX('Pliegos Tarifarios (Huechuraba)'!$E:$E,MATCH($B372,'Pliegos Tarifarios (Huechuraba)'!$A:$A,0))</f>
        <v>1848.7567999999997</v>
      </c>
      <c r="Q372" s="19" cm="1">
        <f t="array" ref="Q372">H372*_xlfn.IFS(H372&lt;=350,INDEX('Pliegos Tarifarios (Huechuraba)'!$F:$F,MATCH($B372,'Pliegos Tarifarios (Huechuraba)'!$A:$A,0)),H372&lt;=500,INDEX('Pliegos Tarifarios (Huechuraba)'!$G:$G,MATCH($B372,'Pliegos Tarifarios (Huechuraba)'!$A:$A,0)),H372&lt;=1000,INDEX('Pliegos Tarifarios (Huechuraba)'!$H:$H,MATCH($B372,'Pliegos Tarifarios (Huechuraba)'!$A:$A,0)),H372&lt;=5000,INDEX('Pliegos Tarifarios (Huechuraba)'!$I:$I,MATCH($B372,'Pliegos Tarifarios (Huechuraba)'!$A:$A,0)),H372&gt;5000,INDEX('Pliegos Tarifarios (Huechuraba)'!$J:$J,MATCH($B372,'Pliegos Tarifarios (Huechuraba)'!$A:$A,0)))/1.19</f>
        <v>93.52</v>
      </c>
      <c r="R372" s="19">
        <f>INDEX('Pliegos Tarifarios (Huechuraba)'!$K:$K,MATCH($B372,'Pliegos Tarifarios (Huechuraba)'!$A:$A,0))</f>
        <v>726.16</v>
      </c>
      <c r="S372" s="36">
        <f t="shared" si="15"/>
        <v>28022.107469999999</v>
      </c>
      <c r="T372" s="36">
        <f t="shared" si="16"/>
        <v>5324.2004193000002</v>
      </c>
      <c r="U372" s="19">
        <v>0</v>
      </c>
      <c r="V372" s="36">
        <f t="shared" si="17"/>
        <v>33346.307889299998</v>
      </c>
    </row>
    <row r="373" spans="1:22" ht="23.4" thickBot="1" x14ac:dyDescent="0.35">
      <c r="A373" s="25" t="s">
        <v>149</v>
      </c>
      <c r="B373" s="26">
        <v>7</v>
      </c>
      <c r="C373" s="27" t="s">
        <v>15</v>
      </c>
      <c r="D373" s="26" t="s">
        <v>140</v>
      </c>
      <c r="E373" s="26" t="s">
        <v>124</v>
      </c>
      <c r="F373" s="27" t="s">
        <v>141</v>
      </c>
      <c r="G373" s="26" t="s">
        <v>33</v>
      </c>
      <c r="H373" s="26">
        <v>71</v>
      </c>
      <c r="I373" s="26">
        <v>0.19</v>
      </c>
      <c r="J373" s="26">
        <v>0.19</v>
      </c>
      <c r="K373" s="29">
        <v>0.96199999999999997</v>
      </c>
      <c r="L373" s="26">
        <v>2.37</v>
      </c>
      <c r="M373" s="19">
        <f>H373*INDEX('Pliegos Tarifarios (Huechuraba)'!$B:$B,MATCH($B373,'Pliegos Tarifarios (Huechuraba)'!$A:$A,0))</f>
        <v>9355.1730000000007</v>
      </c>
      <c r="N373" s="19">
        <f>I373*INDEX('Pliegos Tarifarios (Huechuraba)'!$C:$C,MATCH($B373,'Pliegos Tarifarios (Huechuraba)'!$A:$A,0))</f>
        <v>647.45141000000001</v>
      </c>
      <c r="O373" s="19">
        <f>J373*INDEX('Pliegos Tarifarios (Huechuraba)'!$D:$D,MATCH($B373,'Pliegos Tarifarios (Huechuraba)'!$A:$A,0))</f>
        <v>2749.87</v>
      </c>
      <c r="P373" s="19">
        <f>H373*INDEX('Pliegos Tarifarios (Huechuraba)'!$E:$E,MATCH($B373,'Pliegos Tarifarios (Huechuraba)'!$A:$A,0))</f>
        <v>924.70399999999995</v>
      </c>
      <c r="Q373" s="19" cm="1">
        <f t="array" ref="Q373">H373*_xlfn.IFS(H373&lt;=350,INDEX('Pliegos Tarifarios (Huechuraba)'!$F:$F,MATCH($B373,'Pliegos Tarifarios (Huechuraba)'!$A:$A,0)),H373&lt;=500,INDEX('Pliegos Tarifarios (Huechuraba)'!$G:$G,MATCH($B373,'Pliegos Tarifarios (Huechuraba)'!$A:$A,0)),H373&lt;=1000,INDEX('Pliegos Tarifarios (Huechuraba)'!$H:$H,MATCH($B373,'Pliegos Tarifarios (Huechuraba)'!$A:$A,0)),H373&lt;=5000,INDEX('Pliegos Tarifarios (Huechuraba)'!$I:$I,MATCH($B373,'Pliegos Tarifarios (Huechuraba)'!$A:$A,0)),H373&gt;5000,INDEX('Pliegos Tarifarios (Huechuraba)'!$J:$J,MATCH($B373,'Pliegos Tarifarios (Huechuraba)'!$A:$A,0)))/1.19</f>
        <v>46.776470588235298</v>
      </c>
      <c r="R373" s="19">
        <f>INDEX('Pliegos Tarifarios (Huechuraba)'!$K:$K,MATCH($B373,'Pliegos Tarifarios (Huechuraba)'!$A:$A,0))</f>
        <v>726.16</v>
      </c>
      <c r="S373" s="36">
        <f t="shared" si="15"/>
        <v>14450.134880588234</v>
      </c>
      <c r="T373" s="36">
        <f t="shared" si="16"/>
        <v>2745.5256273117643</v>
      </c>
      <c r="U373" s="19">
        <v>0</v>
      </c>
      <c r="V373" s="36">
        <f t="shared" si="17"/>
        <v>17195.660507899996</v>
      </c>
    </row>
    <row r="374" spans="1:22" ht="23.4" thickBot="1" x14ac:dyDescent="0.35">
      <c r="A374" s="25" t="s">
        <v>149</v>
      </c>
      <c r="B374" s="26">
        <v>7</v>
      </c>
      <c r="C374" s="27" t="s">
        <v>15</v>
      </c>
      <c r="D374" s="26" t="s">
        <v>142</v>
      </c>
      <c r="E374" s="26" t="s">
        <v>124</v>
      </c>
      <c r="F374" s="27" t="s">
        <v>143</v>
      </c>
      <c r="G374" s="26" t="s">
        <v>33</v>
      </c>
      <c r="H374" s="26">
        <v>141.85</v>
      </c>
      <c r="I374" s="26">
        <v>0.37</v>
      </c>
      <c r="J374" s="26">
        <v>0.37</v>
      </c>
      <c r="K374" s="29">
        <v>0.99399999999999999</v>
      </c>
      <c r="L374" s="26">
        <v>4.7300000000000004</v>
      </c>
      <c r="M374" s="19">
        <f>H374*INDEX('Pliegos Tarifarios (Huechuraba)'!$B:$B,MATCH($B374,'Pliegos Tarifarios (Huechuraba)'!$A:$A,0))</f>
        <v>18690.581549999999</v>
      </c>
      <c r="N374" s="19">
        <f>I374*INDEX('Pliegos Tarifarios (Huechuraba)'!$C:$C,MATCH($B374,'Pliegos Tarifarios (Huechuraba)'!$A:$A,0))</f>
        <v>1260.8264300000001</v>
      </c>
      <c r="O374" s="19">
        <f>J374*INDEX('Pliegos Tarifarios (Huechuraba)'!$D:$D,MATCH($B374,'Pliegos Tarifarios (Huechuraba)'!$A:$A,0))</f>
        <v>5355.01</v>
      </c>
      <c r="P374" s="19">
        <f>H374*INDEX('Pliegos Tarifarios (Huechuraba)'!$E:$E,MATCH($B374,'Pliegos Tarifarios (Huechuraba)'!$A:$A,0))</f>
        <v>1847.4543999999999</v>
      </c>
      <c r="Q374" s="19" cm="1">
        <f t="array" ref="Q374">H374*_xlfn.IFS(H374&lt;=350,INDEX('Pliegos Tarifarios (Huechuraba)'!$F:$F,MATCH($B374,'Pliegos Tarifarios (Huechuraba)'!$A:$A,0)),H374&lt;=500,INDEX('Pliegos Tarifarios (Huechuraba)'!$G:$G,MATCH($B374,'Pliegos Tarifarios (Huechuraba)'!$A:$A,0)),H374&lt;=1000,INDEX('Pliegos Tarifarios (Huechuraba)'!$H:$H,MATCH($B374,'Pliegos Tarifarios (Huechuraba)'!$A:$A,0)),H374&lt;=5000,INDEX('Pliegos Tarifarios (Huechuraba)'!$I:$I,MATCH($B374,'Pliegos Tarifarios (Huechuraba)'!$A:$A,0)),H374&gt;5000,INDEX('Pliegos Tarifarios (Huechuraba)'!$J:$J,MATCH($B374,'Pliegos Tarifarios (Huechuraba)'!$A:$A,0)))/1.19</f>
        <v>93.454117647058823</v>
      </c>
      <c r="R374" s="19">
        <f>INDEX('Pliegos Tarifarios (Huechuraba)'!$K:$K,MATCH($B374,'Pliegos Tarifarios (Huechuraba)'!$A:$A,0))</f>
        <v>726.16</v>
      </c>
      <c r="S374" s="36">
        <f t="shared" si="15"/>
        <v>27973.486497647056</v>
      </c>
      <c r="T374" s="36">
        <f t="shared" si="16"/>
        <v>5314.962434552941</v>
      </c>
      <c r="U374" s="19">
        <v>0</v>
      </c>
      <c r="V374" s="36">
        <f t="shared" si="17"/>
        <v>33288.448932200001</v>
      </c>
    </row>
    <row r="375" spans="1:22" ht="23.4" thickBot="1" x14ac:dyDescent="0.35">
      <c r="A375" s="30" t="s">
        <v>150</v>
      </c>
      <c r="B375" s="31">
        <v>8</v>
      </c>
      <c r="C375" s="32" t="s">
        <v>15</v>
      </c>
      <c r="D375" s="31" t="s">
        <v>16</v>
      </c>
      <c r="E375" s="31" t="s">
        <v>17</v>
      </c>
      <c r="F375" s="32" t="s">
        <v>18</v>
      </c>
      <c r="G375" s="31" t="s">
        <v>19</v>
      </c>
      <c r="H375" s="33">
        <v>7117.86</v>
      </c>
      <c r="I375" s="31">
        <v>19.190000000000001</v>
      </c>
      <c r="J375" s="31">
        <v>19.04</v>
      </c>
      <c r="K375" s="34">
        <v>0.99299999999999999</v>
      </c>
      <c r="L375" s="31">
        <v>229.61</v>
      </c>
      <c r="M375" s="19">
        <f>H375*INDEX('Pliegos Tarifarios (Huechuraba)'!$B:$B,MATCH($B375,'Pliegos Tarifarios (Huechuraba)'!$A:$A,0))</f>
        <v>937870.58718000003</v>
      </c>
      <c r="N375" s="19">
        <f>I375*INDEX('Pliegos Tarifarios (Huechuraba)'!$C:$C,MATCH($B375,'Pliegos Tarifarios (Huechuraba)'!$A:$A,0))</f>
        <v>65260.833870000009</v>
      </c>
      <c r="O375" s="19">
        <f>J375*INDEX('Pliegos Tarifarios (Huechuraba)'!$D:$D,MATCH($B375,'Pliegos Tarifarios (Huechuraba)'!$A:$A,0))</f>
        <v>275387.99119999999</v>
      </c>
      <c r="P375" s="19">
        <f>H375*INDEX('Pliegos Tarifarios (Huechuraba)'!$E:$E,MATCH($B375,'Pliegos Tarifarios (Huechuraba)'!$A:$A,0))</f>
        <v>92703.008639999985</v>
      </c>
      <c r="Q375" s="19" cm="1">
        <f t="array" ref="Q375">H375*_xlfn.IFS(H375&lt;=350,INDEX('Pliegos Tarifarios (Huechuraba)'!$F:$F,MATCH($B375,'Pliegos Tarifarios (Huechuraba)'!$A:$A,0)),H375&lt;=500,INDEX('Pliegos Tarifarios (Huechuraba)'!$G:$G,MATCH($B375,'Pliegos Tarifarios (Huechuraba)'!$A:$A,0)),H375&lt;=1000,INDEX('Pliegos Tarifarios (Huechuraba)'!$H:$H,MATCH($B375,'Pliegos Tarifarios (Huechuraba)'!$A:$A,0)),H375&lt;=5000,INDEX('Pliegos Tarifarios (Huechuraba)'!$I:$I,MATCH($B375,'Pliegos Tarifarios (Huechuraba)'!$A:$A,0)),H375&gt;5000,INDEX('Pliegos Tarifarios (Huechuraba)'!$J:$J,MATCH($B375,'Pliegos Tarifarios (Huechuraba)'!$A:$A,0)))/1.19</f>
        <v>23357.347310924371</v>
      </c>
      <c r="R375" s="19">
        <f>INDEX('Pliegos Tarifarios (Huechuraba)'!$K:$K,MATCH($B375,'Pliegos Tarifarios (Huechuraba)'!$A:$A,0))</f>
        <v>723.17600000000004</v>
      </c>
      <c r="S375" s="36">
        <f t="shared" si="15"/>
        <v>1395302.9442009244</v>
      </c>
      <c r="T375" s="36">
        <f t="shared" si="16"/>
        <v>265107.55939817562</v>
      </c>
      <c r="U375" s="19">
        <v>0</v>
      </c>
      <c r="V375" s="36">
        <f t="shared" si="17"/>
        <v>1660410.5035991</v>
      </c>
    </row>
    <row r="376" spans="1:22" ht="23.4" thickBot="1" x14ac:dyDescent="0.35">
      <c r="A376" s="30" t="s">
        <v>150</v>
      </c>
      <c r="B376" s="31">
        <v>8</v>
      </c>
      <c r="C376" s="32" t="s">
        <v>15</v>
      </c>
      <c r="D376" s="31" t="s">
        <v>20</v>
      </c>
      <c r="E376" s="31" t="s">
        <v>21</v>
      </c>
      <c r="F376" s="32" t="s">
        <v>22</v>
      </c>
      <c r="G376" s="31" t="s">
        <v>19</v>
      </c>
      <c r="H376" s="33">
        <v>3556.33</v>
      </c>
      <c r="I376" s="31">
        <v>9.67</v>
      </c>
      <c r="J376" s="31">
        <v>9.4499999999999993</v>
      </c>
      <c r="K376" s="34">
        <v>0.97699999999999998</v>
      </c>
      <c r="L376" s="31">
        <v>114.72</v>
      </c>
      <c r="M376" s="19">
        <f>H376*INDEX('Pliegos Tarifarios (Huechuraba)'!$B:$B,MATCH($B376,'Pliegos Tarifarios (Huechuraba)'!$A:$A,0))</f>
        <v>468592.70978999999</v>
      </c>
      <c r="N376" s="19">
        <f>I376*INDEX('Pliegos Tarifarios (Huechuraba)'!$C:$C,MATCH($B376,'Pliegos Tarifarios (Huechuraba)'!$A:$A,0))</f>
        <v>32885.474910000004</v>
      </c>
      <c r="O376" s="19">
        <f>J376*INDEX('Pliegos Tarifarios (Huechuraba)'!$D:$D,MATCH($B376,'Pliegos Tarifarios (Huechuraba)'!$A:$A,0))</f>
        <v>136681.53975</v>
      </c>
      <c r="P376" s="19">
        <f>H376*INDEX('Pliegos Tarifarios (Huechuraba)'!$E:$E,MATCH($B376,'Pliegos Tarifarios (Huechuraba)'!$A:$A,0))</f>
        <v>46317.641919999995</v>
      </c>
      <c r="Q376" s="19" cm="1">
        <f t="array" ref="Q376">H376*_xlfn.IFS(H376&lt;=350,INDEX('Pliegos Tarifarios (Huechuraba)'!$F:$F,MATCH($B376,'Pliegos Tarifarios (Huechuraba)'!$A:$A,0)),H376&lt;=500,INDEX('Pliegos Tarifarios (Huechuraba)'!$G:$G,MATCH($B376,'Pliegos Tarifarios (Huechuraba)'!$A:$A,0)),H376&lt;=1000,INDEX('Pliegos Tarifarios (Huechuraba)'!$H:$H,MATCH($B376,'Pliegos Tarifarios (Huechuraba)'!$A:$A,0)),H376&lt;=5000,INDEX('Pliegos Tarifarios (Huechuraba)'!$I:$I,MATCH($B376,'Pliegos Tarifarios (Huechuraba)'!$A:$A,0)),H376&gt;5000,INDEX('Pliegos Tarifarios (Huechuraba)'!$J:$J,MATCH($B376,'Pliegos Tarifarios (Huechuraba)'!$A:$A,0)))/1.19</f>
        <v>10671.978512605041</v>
      </c>
      <c r="R376" s="19">
        <f>INDEX('Pliegos Tarifarios (Huechuraba)'!$K:$K,MATCH($B376,'Pliegos Tarifarios (Huechuraba)'!$A:$A,0))</f>
        <v>723.17600000000004</v>
      </c>
      <c r="S376" s="36">
        <f t="shared" si="15"/>
        <v>695872.52088260499</v>
      </c>
      <c r="T376" s="36">
        <f t="shared" si="16"/>
        <v>132215.77896769496</v>
      </c>
      <c r="U376" s="19">
        <v>0</v>
      </c>
      <c r="V376" s="36">
        <f t="shared" si="17"/>
        <v>828088.29985029995</v>
      </c>
    </row>
    <row r="377" spans="1:22" ht="23.4" thickBot="1" x14ac:dyDescent="0.35">
      <c r="A377" s="30" t="s">
        <v>150</v>
      </c>
      <c r="B377" s="31">
        <v>8</v>
      </c>
      <c r="C377" s="32" t="s">
        <v>15</v>
      </c>
      <c r="D377" s="31" t="s">
        <v>23</v>
      </c>
      <c r="E377" s="31" t="s">
        <v>21</v>
      </c>
      <c r="F377" s="32" t="s">
        <v>24</v>
      </c>
      <c r="G377" s="31" t="s">
        <v>19</v>
      </c>
      <c r="H377" s="33">
        <v>2850.4</v>
      </c>
      <c r="I377" s="31">
        <v>7.76</v>
      </c>
      <c r="J377" s="31">
        <v>7.76</v>
      </c>
      <c r="K377" s="34">
        <v>1</v>
      </c>
      <c r="L377" s="31">
        <v>91.95</v>
      </c>
      <c r="M377" s="19">
        <f>H377*INDEX('Pliegos Tarifarios (Huechuraba)'!$B:$B,MATCH($B377,'Pliegos Tarifarios (Huechuraba)'!$A:$A,0))</f>
        <v>375577.25520000001</v>
      </c>
      <c r="N377" s="19">
        <f>I377*INDEX('Pliegos Tarifarios (Huechuraba)'!$C:$C,MATCH($B377,'Pliegos Tarifarios (Huechuraba)'!$A:$A,0))</f>
        <v>26389.998480000002</v>
      </c>
      <c r="O377" s="19">
        <f>J377*INDEX('Pliegos Tarifarios (Huechuraba)'!$D:$D,MATCH($B377,'Pliegos Tarifarios (Huechuraba)'!$A:$A,0))</f>
        <v>112237.96280000001</v>
      </c>
      <c r="P377" s="19">
        <f>H377*INDEX('Pliegos Tarifarios (Huechuraba)'!$E:$E,MATCH($B377,'Pliegos Tarifarios (Huechuraba)'!$A:$A,0))</f>
        <v>37123.609599999996</v>
      </c>
      <c r="Q377" s="19" cm="1">
        <f t="array" ref="Q377">H377*_xlfn.IFS(H377&lt;=350,INDEX('Pliegos Tarifarios (Huechuraba)'!$F:$F,MATCH($B377,'Pliegos Tarifarios (Huechuraba)'!$A:$A,0)),H377&lt;=500,INDEX('Pliegos Tarifarios (Huechuraba)'!$G:$G,MATCH($B377,'Pliegos Tarifarios (Huechuraba)'!$A:$A,0)),H377&lt;=1000,INDEX('Pliegos Tarifarios (Huechuraba)'!$H:$H,MATCH($B377,'Pliegos Tarifarios (Huechuraba)'!$A:$A,0)),H377&lt;=5000,INDEX('Pliegos Tarifarios (Huechuraba)'!$I:$I,MATCH($B377,'Pliegos Tarifarios (Huechuraba)'!$A:$A,0)),H377&gt;5000,INDEX('Pliegos Tarifarios (Huechuraba)'!$J:$J,MATCH($B377,'Pliegos Tarifarios (Huechuraba)'!$A:$A,0)))/1.19</f>
        <v>8553.5952941176474</v>
      </c>
      <c r="R377" s="19">
        <f>INDEX('Pliegos Tarifarios (Huechuraba)'!$K:$K,MATCH($B377,'Pliegos Tarifarios (Huechuraba)'!$A:$A,0))</f>
        <v>723.17600000000004</v>
      </c>
      <c r="S377" s="36">
        <f t="shared" si="15"/>
        <v>560605.5973741177</v>
      </c>
      <c r="T377" s="36">
        <f t="shared" si="16"/>
        <v>106515.06350108236</v>
      </c>
      <c r="U377" s="19">
        <v>0</v>
      </c>
      <c r="V377" s="36">
        <f t="shared" si="17"/>
        <v>667120.66087520006</v>
      </c>
    </row>
    <row r="378" spans="1:22" ht="23.4" thickBot="1" x14ac:dyDescent="0.35">
      <c r="A378" s="30" t="s">
        <v>150</v>
      </c>
      <c r="B378" s="31">
        <v>8</v>
      </c>
      <c r="C378" s="32" t="s">
        <v>15</v>
      </c>
      <c r="D378" s="31" t="s">
        <v>25</v>
      </c>
      <c r="E378" s="31" t="s">
        <v>21</v>
      </c>
      <c r="F378" s="32" t="s">
        <v>26</v>
      </c>
      <c r="G378" s="31" t="s">
        <v>19</v>
      </c>
      <c r="H378" s="33">
        <v>2373.8000000000002</v>
      </c>
      <c r="I378" s="31">
        <v>6.41</v>
      </c>
      <c r="J378" s="31">
        <v>6.35</v>
      </c>
      <c r="K378" s="34">
        <v>0.99</v>
      </c>
      <c r="L378" s="31">
        <v>76.569999999999993</v>
      </c>
      <c r="M378" s="19">
        <f>H378*INDEX('Pliegos Tarifarios (Huechuraba)'!$B:$B,MATCH($B378,'Pliegos Tarifarios (Huechuraba)'!$A:$A,0))</f>
        <v>312779.00940000004</v>
      </c>
      <c r="N378" s="19">
        <f>I378*INDEX('Pliegos Tarifarios (Huechuraba)'!$C:$C,MATCH($B378,'Pliegos Tarifarios (Huechuraba)'!$A:$A,0))</f>
        <v>21798.95493</v>
      </c>
      <c r="O378" s="19">
        <f>J378*INDEX('Pliegos Tarifarios (Huechuraba)'!$D:$D,MATCH($B378,'Pliegos Tarifarios (Huechuraba)'!$A:$A,0))</f>
        <v>91844.20925</v>
      </c>
      <c r="P378" s="19">
        <f>H378*INDEX('Pliegos Tarifarios (Huechuraba)'!$E:$E,MATCH($B378,'Pliegos Tarifarios (Huechuraba)'!$A:$A,0))</f>
        <v>30916.371200000001</v>
      </c>
      <c r="Q378" s="19" cm="1">
        <f t="array" ref="Q378">H378*_xlfn.IFS(H378&lt;=350,INDEX('Pliegos Tarifarios (Huechuraba)'!$F:$F,MATCH($B378,'Pliegos Tarifarios (Huechuraba)'!$A:$A,0)),H378&lt;=500,INDEX('Pliegos Tarifarios (Huechuraba)'!$G:$G,MATCH($B378,'Pliegos Tarifarios (Huechuraba)'!$A:$A,0)),H378&lt;=1000,INDEX('Pliegos Tarifarios (Huechuraba)'!$H:$H,MATCH($B378,'Pliegos Tarifarios (Huechuraba)'!$A:$A,0)),H378&lt;=5000,INDEX('Pliegos Tarifarios (Huechuraba)'!$I:$I,MATCH($B378,'Pliegos Tarifarios (Huechuraba)'!$A:$A,0)),H378&gt;5000,INDEX('Pliegos Tarifarios (Huechuraba)'!$J:$J,MATCH($B378,'Pliegos Tarifarios (Huechuraba)'!$A:$A,0)))/1.19</f>
        <v>7123.3947899159666</v>
      </c>
      <c r="R378" s="19">
        <f>INDEX('Pliegos Tarifarios (Huechuraba)'!$K:$K,MATCH($B378,'Pliegos Tarifarios (Huechuraba)'!$A:$A,0))</f>
        <v>723.17600000000004</v>
      </c>
      <c r="S378" s="36">
        <f t="shared" si="15"/>
        <v>465185.11556991597</v>
      </c>
      <c r="T378" s="36">
        <f t="shared" si="16"/>
        <v>88385.171958284031</v>
      </c>
      <c r="U378" s="19">
        <v>0</v>
      </c>
      <c r="V378" s="36">
        <f t="shared" si="17"/>
        <v>553570.28752819996</v>
      </c>
    </row>
    <row r="379" spans="1:22" ht="23.4" thickBot="1" x14ac:dyDescent="0.35">
      <c r="A379" s="30" t="s">
        <v>150</v>
      </c>
      <c r="B379" s="31">
        <v>8</v>
      </c>
      <c r="C379" s="32" t="s">
        <v>15</v>
      </c>
      <c r="D379" s="31" t="s">
        <v>27</v>
      </c>
      <c r="E379" s="31" t="s">
        <v>21</v>
      </c>
      <c r="F379" s="32" t="s">
        <v>28</v>
      </c>
      <c r="G379" s="31" t="s">
        <v>19</v>
      </c>
      <c r="H379" s="33">
        <v>2560.4499999999998</v>
      </c>
      <c r="I379" s="31">
        <v>6.87</v>
      </c>
      <c r="J379" s="31">
        <v>6.72</v>
      </c>
      <c r="K379" s="34">
        <v>0.97799999999999998</v>
      </c>
      <c r="L379" s="31">
        <v>82.6</v>
      </c>
      <c r="M379" s="19">
        <f>H379*INDEX('Pliegos Tarifarios (Huechuraba)'!$B:$B,MATCH($B379,'Pliegos Tarifarios (Huechuraba)'!$A:$A,0))</f>
        <v>337372.57334999996</v>
      </c>
      <c r="N379" s="19">
        <f>I379*INDEX('Pliegos Tarifarios (Huechuraba)'!$C:$C,MATCH($B379,'Pliegos Tarifarios (Huechuraba)'!$A:$A,0))</f>
        <v>23363.310510000003</v>
      </c>
      <c r="O379" s="19">
        <f>J379*INDEX('Pliegos Tarifarios (Huechuraba)'!$D:$D,MATCH($B379,'Pliegos Tarifarios (Huechuraba)'!$A:$A,0))</f>
        <v>97195.761599999998</v>
      </c>
      <c r="P379" s="19">
        <f>H379*INDEX('Pliegos Tarifarios (Huechuraba)'!$E:$E,MATCH($B379,'Pliegos Tarifarios (Huechuraba)'!$A:$A,0))</f>
        <v>33347.300799999997</v>
      </c>
      <c r="Q379" s="19" cm="1">
        <f t="array" ref="Q379">H379*_xlfn.IFS(H379&lt;=350,INDEX('Pliegos Tarifarios (Huechuraba)'!$F:$F,MATCH($B379,'Pliegos Tarifarios (Huechuraba)'!$A:$A,0)),H379&lt;=500,INDEX('Pliegos Tarifarios (Huechuraba)'!$G:$G,MATCH($B379,'Pliegos Tarifarios (Huechuraba)'!$A:$A,0)),H379&lt;=1000,INDEX('Pliegos Tarifarios (Huechuraba)'!$H:$H,MATCH($B379,'Pliegos Tarifarios (Huechuraba)'!$A:$A,0)),H379&lt;=5000,INDEX('Pliegos Tarifarios (Huechuraba)'!$I:$I,MATCH($B379,'Pliegos Tarifarios (Huechuraba)'!$A:$A,0)),H379&gt;5000,INDEX('Pliegos Tarifarios (Huechuraba)'!$J:$J,MATCH($B379,'Pliegos Tarifarios (Huechuraba)'!$A:$A,0)))/1.19</f>
        <v>7683.5016386554607</v>
      </c>
      <c r="R379" s="19">
        <f>INDEX('Pliegos Tarifarios (Huechuraba)'!$K:$K,MATCH($B379,'Pliegos Tarifarios (Huechuraba)'!$A:$A,0))</f>
        <v>723.17600000000004</v>
      </c>
      <c r="S379" s="36">
        <f t="shared" si="15"/>
        <v>499685.62389865529</v>
      </c>
      <c r="T379" s="36">
        <f t="shared" si="16"/>
        <v>94940.26854074451</v>
      </c>
      <c r="U379" s="19">
        <v>0</v>
      </c>
      <c r="V379" s="36">
        <f t="shared" si="17"/>
        <v>594625.89243939985</v>
      </c>
    </row>
    <row r="380" spans="1:22" ht="23.4" thickBot="1" x14ac:dyDescent="0.35">
      <c r="A380" s="30" t="s">
        <v>150</v>
      </c>
      <c r="B380" s="31">
        <v>8</v>
      </c>
      <c r="C380" s="32" t="s">
        <v>15</v>
      </c>
      <c r="D380" s="31" t="s">
        <v>29</v>
      </c>
      <c r="E380" s="31" t="s">
        <v>21</v>
      </c>
      <c r="F380" s="32" t="s">
        <v>30</v>
      </c>
      <c r="G380" s="31" t="s">
        <v>19</v>
      </c>
      <c r="H380" s="33">
        <v>1704.08</v>
      </c>
      <c r="I380" s="31">
        <v>4.5599999999999996</v>
      </c>
      <c r="J380" s="31">
        <v>4.5</v>
      </c>
      <c r="K380" s="34">
        <v>0.98699999999999999</v>
      </c>
      <c r="L380" s="31">
        <v>54.97</v>
      </c>
      <c r="M380" s="19">
        <f>H380*INDEX('Pliegos Tarifarios (Huechuraba)'!$B:$B,MATCH($B380,'Pliegos Tarifarios (Huechuraba)'!$A:$A,0))</f>
        <v>224534.69304000001</v>
      </c>
      <c r="N380" s="19">
        <f>I380*INDEX('Pliegos Tarifarios (Huechuraba)'!$C:$C,MATCH($B380,'Pliegos Tarifarios (Huechuraba)'!$A:$A,0))</f>
        <v>15507.524879999999</v>
      </c>
      <c r="O380" s="19">
        <f>J380*INDEX('Pliegos Tarifarios (Huechuraba)'!$D:$D,MATCH($B380,'Pliegos Tarifarios (Huechuraba)'!$A:$A,0))</f>
        <v>65086.447500000002</v>
      </c>
      <c r="P380" s="19">
        <f>H380*INDEX('Pliegos Tarifarios (Huechuraba)'!$E:$E,MATCH($B380,'Pliegos Tarifarios (Huechuraba)'!$A:$A,0))</f>
        <v>22193.937919999997</v>
      </c>
      <c r="Q380" s="19" cm="1">
        <f t="array" ref="Q380">H380*_xlfn.IFS(H380&lt;=350,INDEX('Pliegos Tarifarios (Huechuraba)'!$F:$F,MATCH($B380,'Pliegos Tarifarios (Huechuraba)'!$A:$A,0)),H380&lt;=500,INDEX('Pliegos Tarifarios (Huechuraba)'!$G:$G,MATCH($B380,'Pliegos Tarifarios (Huechuraba)'!$A:$A,0)),H380&lt;=1000,INDEX('Pliegos Tarifarios (Huechuraba)'!$H:$H,MATCH($B380,'Pliegos Tarifarios (Huechuraba)'!$A:$A,0)),H380&lt;=5000,INDEX('Pliegos Tarifarios (Huechuraba)'!$I:$I,MATCH($B380,'Pliegos Tarifarios (Huechuraba)'!$A:$A,0)),H380&gt;5000,INDEX('Pliegos Tarifarios (Huechuraba)'!$J:$J,MATCH($B380,'Pliegos Tarifarios (Huechuraba)'!$A:$A,0)))/1.19</f>
        <v>5113.6719999999996</v>
      </c>
      <c r="R380" s="19">
        <f>INDEX('Pliegos Tarifarios (Huechuraba)'!$K:$K,MATCH($B380,'Pliegos Tarifarios (Huechuraba)'!$A:$A,0))</f>
        <v>723.17600000000004</v>
      </c>
      <c r="S380" s="36">
        <f t="shared" si="15"/>
        <v>333159.45134000003</v>
      </c>
      <c r="T380" s="36">
        <f t="shared" si="16"/>
        <v>63300.295754600003</v>
      </c>
      <c r="U380" s="19">
        <v>0</v>
      </c>
      <c r="V380" s="36">
        <f t="shared" si="17"/>
        <v>396459.74709460005</v>
      </c>
    </row>
    <row r="381" spans="1:22" ht="23.4" thickBot="1" x14ac:dyDescent="0.35">
      <c r="A381" s="30" t="s">
        <v>150</v>
      </c>
      <c r="B381" s="31">
        <v>8</v>
      </c>
      <c r="C381" s="32" t="s">
        <v>15</v>
      </c>
      <c r="D381" s="31" t="s">
        <v>31</v>
      </c>
      <c r="E381" s="31" t="s">
        <v>21</v>
      </c>
      <c r="F381" s="32" t="s">
        <v>32</v>
      </c>
      <c r="G381" s="31" t="s">
        <v>33</v>
      </c>
      <c r="H381" s="31">
        <v>569.29</v>
      </c>
      <c r="I381" s="31">
        <v>1.53</v>
      </c>
      <c r="J381" s="31">
        <v>1.5</v>
      </c>
      <c r="K381" s="34">
        <v>0.98</v>
      </c>
      <c r="L381" s="31">
        <v>18.36</v>
      </c>
      <c r="M381" s="19">
        <f>H381*INDEX('Pliegos Tarifarios (Huechuraba)'!$B:$B,MATCH($B381,'Pliegos Tarifarios (Huechuraba)'!$A:$A,0))</f>
        <v>75011.358269999997</v>
      </c>
      <c r="N381" s="19">
        <f>I381*INDEX('Pliegos Tarifarios (Huechuraba)'!$C:$C,MATCH($B381,'Pliegos Tarifarios (Huechuraba)'!$A:$A,0))</f>
        <v>5203.1826900000005</v>
      </c>
      <c r="O381" s="19">
        <f>J381*INDEX('Pliegos Tarifarios (Huechuraba)'!$D:$D,MATCH($B381,'Pliegos Tarifarios (Huechuraba)'!$A:$A,0))</f>
        <v>21695.482500000002</v>
      </c>
      <c r="P381" s="19">
        <f>H381*INDEX('Pliegos Tarifarios (Huechuraba)'!$E:$E,MATCH($B381,'Pliegos Tarifarios (Huechuraba)'!$A:$A,0))</f>
        <v>7414.4329599999992</v>
      </c>
      <c r="Q381" s="19" cm="1">
        <f t="array" ref="Q381">H381*_xlfn.IFS(H381&lt;=350,INDEX('Pliegos Tarifarios (Huechuraba)'!$F:$F,MATCH($B381,'Pliegos Tarifarios (Huechuraba)'!$A:$A,0)),H381&lt;=500,INDEX('Pliegos Tarifarios (Huechuraba)'!$G:$G,MATCH($B381,'Pliegos Tarifarios (Huechuraba)'!$A:$A,0)),H381&lt;=1000,INDEX('Pliegos Tarifarios (Huechuraba)'!$H:$H,MATCH($B381,'Pliegos Tarifarios (Huechuraba)'!$A:$A,0)),H381&lt;=5000,INDEX('Pliegos Tarifarios (Huechuraba)'!$I:$I,MATCH($B381,'Pliegos Tarifarios (Huechuraba)'!$A:$A,0)),H381&gt;5000,INDEX('Pliegos Tarifarios (Huechuraba)'!$J:$J,MATCH($B381,'Pliegos Tarifarios (Huechuraba)'!$A:$A,0)))/1.19</f>
        <v>1335.2003277310926</v>
      </c>
      <c r="R381" s="19">
        <f>INDEX('Pliegos Tarifarios (Huechuraba)'!$K:$K,MATCH($B381,'Pliegos Tarifarios (Huechuraba)'!$A:$A,0))</f>
        <v>723.17600000000004</v>
      </c>
      <c r="S381" s="36">
        <f t="shared" si="15"/>
        <v>111382.8327477311</v>
      </c>
      <c r="T381" s="36">
        <f t="shared" si="16"/>
        <v>21162.738222068907</v>
      </c>
      <c r="U381" s="19">
        <v>0</v>
      </c>
      <c r="V381" s="36">
        <f t="shared" si="17"/>
        <v>132545.5709698</v>
      </c>
    </row>
    <row r="382" spans="1:22" ht="23.4" thickBot="1" x14ac:dyDescent="0.35">
      <c r="A382" s="30" t="s">
        <v>150</v>
      </c>
      <c r="B382" s="31">
        <v>8</v>
      </c>
      <c r="C382" s="32" t="s">
        <v>15</v>
      </c>
      <c r="D382" s="31" t="s">
        <v>34</v>
      </c>
      <c r="E382" s="31" t="s">
        <v>21</v>
      </c>
      <c r="F382" s="32" t="s">
        <v>35</v>
      </c>
      <c r="G382" s="31" t="s">
        <v>19</v>
      </c>
      <c r="H382" s="33">
        <v>1707.18</v>
      </c>
      <c r="I382" s="31">
        <v>4.6100000000000003</v>
      </c>
      <c r="J382" s="31">
        <v>4.53</v>
      </c>
      <c r="K382" s="34">
        <v>0.98199999999999998</v>
      </c>
      <c r="L382" s="31">
        <v>55.07</v>
      </c>
      <c r="M382" s="19">
        <f>H382*INDEX('Pliegos Tarifarios (Huechuraba)'!$B:$B,MATCH($B382,'Pliegos Tarifarios (Huechuraba)'!$A:$A,0))</f>
        <v>224943.15834000002</v>
      </c>
      <c r="N382" s="19">
        <f>I382*INDEX('Pliegos Tarifarios (Huechuraba)'!$C:$C,MATCH($B382,'Pliegos Tarifarios (Huechuraba)'!$A:$A,0))</f>
        <v>15677.563530000001</v>
      </c>
      <c r="O382" s="19">
        <f>J382*INDEX('Pliegos Tarifarios (Huechuraba)'!$D:$D,MATCH($B382,'Pliegos Tarifarios (Huechuraba)'!$A:$A,0))</f>
        <v>65520.357150000003</v>
      </c>
      <c r="P382" s="19">
        <f>H382*INDEX('Pliegos Tarifarios (Huechuraba)'!$E:$E,MATCH($B382,'Pliegos Tarifarios (Huechuraba)'!$A:$A,0))</f>
        <v>22234.312320000001</v>
      </c>
      <c r="Q382" s="19" cm="1">
        <f t="array" ref="Q382">H382*_xlfn.IFS(H382&lt;=350,INDEX('Pliegos Tarifarios (Huechuraba)'!$F:$F,MATCH($B382,'Pliegos Tarifarios (Huechuraba)'!$A:$A,0)),H382&lt;=500,INDEX('Pliegos Tarifarios (Huechuraba)'!$G:$G,MATCH($B382,'Pliegos Tarifarios (Huechuraba)'!$A:$A,0)),H382&lt;=1000,INDEX('Pliegos Tarifarios (Huechuraba)'!$H:$H,MATCH($B382,'Pliegos Tarifarios (Huechuraba)'!$A:$A,0)),H382&lt;=5000,INDEX('Pliegos Tarifarios (Huechuraba)'!$I:$I,MATCH($B382,'Pliegos Tarifarios (Huechuraba)'!$A:$A,0)),H382&gt;5000,INDEX('Pliegos Tarifarios (Huechuraba)'!$J:$J,MATCH($B382,'Pliegos Tarifarios (Huechuraba)'!$A:$A,0)))/1.19</f>
        <v>5122.9746050420163</v>
      </c>
      <c r="R382" s="19">
        <f>INDEX('Pliegos Tarifarios (Huechuraba)'!$K:$K,MATCH($B382,'Pliegos Tarifarios (Huechuraba)'!$A:$A,0))</f>
        <v>723.17600000000004</v>
      </c>
      <c r="S382" s="36">
        <f t="shared" si="15"/>
        <v>334221.54194504209</v>
      </c>
      <c r="T382" s="36">
        <f t="shared" si="16"/>
        <v>63502.092969557998</v>
      </c>
      <c r="U382" s="19">
        <v>0</v>
      </c>
      <c r="V382" s="36">
        <f t="shared" si="17"/>
        <v>397723.63491460006</v>
      </c>
    </row>
    <row r="383" spans="1:22" ht="23.4" thickBot="1" x14ac:dyDescent="0.35">
      <c r="A383" s="30" t="s">
        <v>150</v>
      </c>
      <c r="B383" s="31">
        <v>8</v>
      </c>
      <c r="C383" s="32" t="s">
        <v>15</v>
      </c>
      <c r="D383" s="31" t="s">
        <v>36</v>
      </c>
      <c r="E383" s="31" t="s">
        <v>37</v>
      </c>
      <c r="F383" s="32" t="s">
        <v>38</v>
      </c>
      <c r="G383" s="31" t="s">
        <v>33</v>
      </c>
      <c r="H383" s="31">
        <v>711.11</v>
      </c>
      <c r="I383" s="31">
        <v>1.95</v>
      </c>
      <c r="J383" s="31">
        <v>1.95</v>
      </c>
      <c r="K383" s="34">
        <v>1</v>
      </c>
      <c r="L383" s="31">
        <v>22.94</v>
      </c>
      <c r="M383" s="19">
        <f>H383*INDEX('Pliegos Tarifarios (Huechuraba)'!$B:$B,MATCH($B383,'Pliegos Tarifarios (Huechuraba)'!$A:$A,0))</f>
        <v>93697.986929999999</v>
      </c>
      <c r="N383" s="19">
        <f>I383*INDEX('Pliegos Tarifarios (Huechuraba)'!$C:$C,MATCH($B383,'Pliegos Tarifarios (Huechuraba)'!$A:$A,0))</f>
        <v>6631.5073499999999</v>
      </c>
      <c r="O383" s="19">
        <f>J383*INDEX('Pliegos Tarifarios (Huechuraba)'!$D:$D,MATCH($B383,'Pliegos Tarifarios (Huechuraba)'!$A:$A,0))</f>
        <v>28204.127250000001</v>
      </c>
      <c r="P383" s="19">
        <f>H383*INDEX('Pliegos Tarifarios (Huechuraba)'!$E:$E,MATCH($B383,'Pliegos Tarifarios (Huechuraba)'!$A:$A,0))</f>
        <v>9261.4966399999994</v>
      </c>
      <c r="Q383" s="19" cm="1">
        <f t="array" ref="Q383">H383*_xlfn.IFS(H383&lt;=350,INDEX('Pliegos Tarifarios (Huechuraba)'!$F:$F,MATCH($B383,'Pliegos Tarifarios (Huechuraba)'!$A:$A,0)),H383&lt;=500,INDEX('Pliegos Tarifarios (Huechuraba)'!$G:$G,MATCH($B383,'Pliegos Tarifarios (Huechuraba)'!$A:$A,0)),H383&lt;=1000,INDEX('Pliegos Tarifarios (Huechuraba)'!$H:$H,MATCH($B383,'Pliegos Tarifarios (Huechuraba)'!$A:$A,0)),H383&lt;=5000,INDEX('Pliegos Tarifarios (Huechuraba)'!$I:$I,MATCH($B383,'Pliegos Tarifarios (Huechuraba)'!$A:$A,0)),H383&gt;5000,INDEX('Pliegos Tarifarios (Huechuraba)'!$J:$J,MATCH($B383,'Pliegos Tarifarios (Huechuraba)'!$A:$A,0)))/1.19</f>
        <v>1667.8218571428574</v>
      </c>
      <c r="R383" s="19">
        <f>INDEX('Pliegos Tarifarios (Huechuraba)'!$K:$K,MATCH($B383,'Pliegos Tarifarios (Huechuraba)'!$A:$A,0))</f>
        <v>723.17600000000004</v>
      </c>
      <c r="S383" s="36">
        <f t="shared" si="15"/>
        <v>140186.11602714285</v>
      </c>
      <c r="T383" s="36">
        <f t="shared" si="16"/>
        <v>26635.362045157141</v>
      </c>
      <c r="U383" s="19">
        <v>0</v>
      </c>
      <c r="V383" s="36">
        <f t="shared" si="17"/>
        <v>166821.4780723</v>
      </c>
    </row>
    <row r="384" spans="1:22" ht="23.4" thickBot="1" x14ac:dyDescent="0.35">
      <c r="A384" s="30" t="s">
        <v>150</v>
      </c>
      <c r="B384" s="31">
        <v>8</v>
      </c>
      <c r="C384" s="32" t="s">
        <v>15</v>
      </c>
      <c r="D384" s="31" t="s">
        <v>39</v>
      </c>
      <c r="E384" s="31" t="s">
        <v>37</v>
      </c>
      <c r="F384" s="32" t="s">
        <v>40</v>
      </c>
      <c r="G384" s="31" t="s">
        <v>33</v>
      </c>
      <c r="H384" s="31">
        <v>568.70000000000005</v>
      </c>
      <c r="I384" s="31">
        <v>1.54</v>
      </c>
      <c r="J384" s="31">
        <v>1.54</v>
      </c>
      <c r="K384" s="34">
        <v>1</v>
      </c>
      <c r="L384" s="31">
        <v>18.350000000000001</v>
      </c>
      <c r="M384" s="19">
        <f>H384*INDEX('Pliegos Tarifarios (Huechuraba)'!$B:$B,MATCH($B384,'Pliegos Tarifarios (Huechuraba)'!$A:$A,0))</f>
        <v>74933.618100000007</v>
      </c>
      <c r="N384" s="19">
        <f>I384*INDEX('Pliegos Tarifarios (Huechuraba)'!$C:$C,MATCH($B384,'Pliegos Tarifarios (Huechuraba)'!$A:$A,0))</f>
        <v>5237.1904199999999</v>
      </c>
      <c r="O384" s="19">
        <f>J384*INDEX('Pliegos Tarifarios (Huechuraba)'!$D:$D,MATCH($B384,'Pliegos Tarifarios (Huechuraba)'!$A:$A,0))</f>
        <v>22274.028700000003</v>
      </c>
      <c r="P384" s="19">
        <f>H384*INDEX('Pliegos Tarifarios (Huechuraba)'!$E:$E,MATCH($B384,'Pliegos Tarifarios (Huechuraba)'!$A:$A,0))</f>
        <v>7406.7488000000003</v>
      </c>
      <c r="Q384" s="19" cm="1">
        <f t="array" ref="Q384">H384*_xlfn.IFS(H384&lt;=350,INDEX('Pliegos Tarifarios (Huechuraba)'!$F:$F,MATCH($B384,'Pliegos Tarifarios (Huechuraba)'!$A:$A,0)),H384&lt;=500,INDEX('Pliegos Tarifarios (Huechuraba)'!$G:$G,MATCH($B384,'Pliegos Tarifarios (Huechuraba)'!$A:$A,0)),H384&lt;=1000,INDEX('Pliegos Tarifarios (Huechuraba)'!$H:$H,MATCH($B384,'Pliegos Tarifarios (Huechuraba)'!$A:$A,0)),H384&lt;=5000,INDEX('Pliegos Tarifarios (Huechuraba)'!$I:$I,MATCH($B384,'Pliegos Tarifarios (Huechuraba)'!$A:$A,0)),H384&gt;5000,INDEX('Pliegos Tarifarios (Huechuraba)'!$J:$J,MATCH($B384,'Pliegos Tarifarios (Huechuraba)'!$A:$A,0)))/1.19</f>
        <v>1333.816554621849</v>
      </c>
      <c r="R384" s="19">
        <f>INDEX('Pliegos Tarifarios (Huechuraba)'!$K:$K,MATCH($B384,'Pliegos Tarifarios (Huechuraba)'!$A:$A,0))</f>
        <v>723.17600000000004</v>
      </c>
      <c r="S384" s="36">
        <f t="shared" si="15"/>
        <v>111908.57857462188</v>
      </c>
      <c r="T384" s="36">
        <f t="shared" si="16"/>
        <v>21262.629929178158</v>
      </c>
      <c r="U384" s="19">
        <v>0</v>
      </c>
      <c r="V384" s="36">
        <f t="shared" si="17"/>
        <v>133171.20850380004</v>
      </c>
    </row>
    <row r="385" spans="1:22" ht="23.4" thickBot="1" x14ac:dyDescent="0.35">
      <c r="A385" s="30" t="s">
        <v>150</v>
      </c>
      <c r="B385" s="31">
        <v>8</v>
      </c>
      <c r="C385" s="32" t="s">
        <v>15</v>
      </c>
      <c r="D385" s="31" t="s">
        <v>41</v>
      </c>
      <c r="E385" s="31" t="s">
        <v>37</v>
      </c>
      <c r="F385" s="32" t="s">
        <v>42</v>
      </c>
      <c r="G385" s="31" t="s">
        <v>33</v>
      </c>
      <c r="H385" s="33">
        <v>1137.27</v>
      </c>
      <c r="I385" s="31">
        <v>3</v>
      </c>
      <c r="J385" s="31">
        <v>2.96</v>
      </c>
      <c r="K385" s="34">
        <v>0.98599999999999999</v>
      </c>
      <c r="L385" s="31">
        <v>36.69</v>
      </c>
      <c r="M385" s="19">
        <f>H385*INDEX('Pliegos Tarifarios (Huechuraba)'!$B:$B,MATCH($B385,'Pliegos Tarifarios (Huechuraba)'!$A:$A,0))</f>
        <v>149850.10701000001</v>
      </c>
      <c r="N385" s="19">
        <f>I385*INDEX('Pliegos Tarifarios (Huechuraba)'!$C:$C,MATCH($B385,'Pliegos Tarifarios (Huechuraba)'!$A:$A,0))</f>
        <v>10202.319</v>
      </c>
      <c r="O385" s="19">
        <f>J385*INDEX('Pliegos Tarifarios (Huechuraba)'!$D:$D,MATCH($B385,'Pliegos Tarifarios (Huechuraba)'!$A:$A,0))</f>
        <v>42812.418799999999</v>
      </c>
      <c r="P385" s="19">
        <f>H385*INDEX('Pliegos Tarifarios (Huechuraba)'!$E:$E,MATCH($B385,'Pliegos Tarifarios (Huechuraba)'!$A:$A,0))</f>
        <v>14811.804479999999</v>
      </c>
      <c r="Q385" s="19" cm="1">
        <f t="array" ref="Q385">H385*_xlfn.IFS(H385&lt;=350,INDEX('Pliegos Tarifarios (Huechuraba)'!$F:$F,MATCH($B385,'Pliegos Tarifarios (Huechuraba)'!$A:$A,0)),H385&lt;=500,INDEX('Pliegos Tarifarios (Huechuraba)'!$G:$G,MATCH($B385,'Pliegos Tarifarios (Huechuraba)'!$A:$A,0)),H385&lt;=1000,INDEX('Pliegos Tarifarios (Huechuraba)'!$H:$H,MATCH($B385,'Pliegos Tarifarios (Huechuraba)'!$A:$A,0)),H385&lt;=5000,INDEX('Pliegos Tarifarios (Huechuraba)'!$I:$I,MATCH($B385,'Pliegos Tarifarios (Huechuraba)'!$A:$A,0)),H385&gt;5000,INDEX('Pliegos Tarifarios (Huechuraba)'!$J:$J,MATCH($B385,'Pliegos Tarifarios (Huechuraba)'!$A:$A,0)))/1.19</f>
        <v>3412.7656890756302</v>
      </c>
      <c r="R385" s="19">
        <f>INDEX('Pliegos Tarifarios (Huechuraba)'!$K:$K,MATCH($B385,'Pliegos Tarifarios (Huechuraba)'!$A:$A,0))</f>
        <v>723.17600000000004</v>
      </c>
      <c r="S385" s="36">
        <f t="shared" si="15"/>
        <v>221812.59097907561</v>
      </c>
      <c r="T385" s="36">
        <f t="shared" si="16"/>
        <v>42144.392286024369</v>
      </c>
      <c r="U385" s="19">
        <v>0</v>
      </c>
      <c r="V385" s="36">
        <f t="shared" si="17"/>
        <v>263956.98326509999</v>
      </c>
    </row>
    <row r="386" spans="1:22" ht="23.4" thickBot="1" x14ac:dyDescent="0.35">
      <c r="A386" s="30" t="s">
        <v>150</v>
      </c>
      <c r="B386" s="31">
        <v>8</v>
      </c>
      <c r="C386" s="32" t="s">
        <v>15</v>
      </c>
      <c r="D386" s="31" t="s">
        <v>43</v>
      </c>
      <c r="E386" s="31" t="s">
        <v>37</v>
      </c>
      <c r="F386" s="32" t="s">
        <v>44</v>
      </c>
      <c r="G386" s="31" t="s">
        <v>33</v>
      </c>
      <c r="H386" s="31">
        <v>427.39</v>
      </c>
      <c r="I386" s="31">
        <v>1.1299999999999999</v>
      </c>
      <c r="J386" s="31">
        <v>1.1200000000000001</v>
      </c>
      <c r="K386" s="34">
        <v>0.98899999999999999</v>
      </c>
      <c r="L386" s="31">
        <v>13.79</v>
      </c>
      <c r="M386" s="19">
        <f>H386*INDEX('Pliegos Tarifarios (Huechuraba)'!$B:$B,MATCH($B386,'Pliegos Tarifarios (Huechuraba)'!$A:$A,0))</f>
        <v>56314.188569999998</v>
      </c>
      <c r="N386" s="19">
        <f>I386*INDEX('Pliegos Tarifarios (Huechuraba)'!$C:$C,MATCH($B386,'Pliegos Tarifarios (Huechuraba)'!$A:$A,0))</f>
        <v>3842.8734899999999</v>
      </c>
      <c r="O386" s="19">
        <f>J386*INDEX('Pliegos Tarifarios (Huechuraba)'!$D:$D,MATCH($B386,'Pliegos Tarifarios (Huechuraba)'!$A:$A,0))</f>
        <v>16199.293600000003</v>
      </c>
      <c r="P386" s="19">
        <f>H386*INDEX('Pliegos Tarifarios (Huechuraba)'!$E:$E,MATCH($B386,'Pliegos Tarifarios (Huechuraba)'!$A:$A,0))</f>
        <v>5566.3273599999993</v>
      </c>
      <c r="Q386" s="19" cm="1">
        <f t="array" ref="Q386">H386*_xlfn.IFS(H386&lt;=350,INDEX('Pliegos Tarifarios (Huechuraba)'!$F:$F,MATCH($B386,'Pliegos Tarifarios (Huechuraba)'!$A:$A,0)),H386&lt;=500,INDEX('Pliegos Tarifarios (Huechuraba)'!$G:$G,MATCH($B386,'Pliegos Tarifarios (Huechuraba)'!$A:$A,0)),H386&lt;=1000,INDEX('Pliegos Tarifarios (Huechuraba)'!$H:$H,MATCH($B386,'Pliegos Tarifarios (Huechuraba)'!$A:$A,0)),H386&lt;=5000,INDEX('Pliegos Tarifarios (Huechuraba)'!$I:$I,MATCH($B386,'Pliegos Tarifarios (Huechuraba)'!$A:$A,0)),H386&gt;5000,INDEX('Pliegos Tarifarios (Huechuraba)'!$J:$J,MATCH($B386,'Pliegos Tarifarios (Huechuraba)'!$A:$A,0)))/1.19</f>
        <v>601.93751260504212</v>
      </c>
      <c r="R386" s="19">
        <f>INDEX('Pliegos Tarifarios (Huechuraba)'!$K:$K,MATCH($B386,'Pliegos Tarifarios (Huechuraba)'!$A:$A,0))</f>
        <v>723.17600000000004</v>
      </c>
      <c r="S386" s="36">
        <f t="shared" si="15"/>
        <v>83247.796532605047</v>
      </c>
      <c r="T386" s="36">
        <f t="shared" si="16"/>
        <v>15817.081341194958</v>
      </c>
      <c r="U386" s="19">
        <v>0</v>
      </c>
      <c r="V386" s="36">
        <f t="shared" si="17"/>
        <v>99064.877873800011</v>
      </c>
    </row>
    <row r="387" spans="1:22" ht="23.4" thickBot="1" x14ac:dyDescent="0.35">
      <c r="A387" s="30" t="s">
        <v>150</v>
      </c>
      <c r="B387" s="31">
        <v>8</v>
      </c>
      <c r="C387" s="32" t="s">
        <v>15</v>
      </c>
      <c r="D387" s="31" t="s">
        <v>45</v>
      </c>
      <c r="E387" s="31" t="s">
        <v>37</v>
      </c>
      <c r="F387" s="32" t="s">
        <v>46</v>
      </c>
      <c r="G387" s="31" t="s">
        <v>33</v>
      </c>
      <c r="H387" s="31">
        <v>427.57</v>
      </c>
      <c r="I387" s="31">
        <v>1.1499999999999999</v>
      </c>
      <c r="J387" s="31">
        <v>1.1200000000000001</v>
      </c>
      <c r="K387" s="34">
        <v>0.98099999999999998</v>
      </c>
      <c r="L387" s="31">
        <v>13.79</v>
      </c>
      <c r="M387" s="19">
        <f>H387*INDEX('Pliegos Tarifarios (Huechuraba)'!$B:$B,MATCH($B387,'Pliegos Tarifarios (Huechuraba)'!$A:$A,0))</f>
        <v>56337.905910000001</v>
      </c>
      <c r="N387" s="19">
        <f>I387*INDEX('Pliegos Tarifarios (Huechuraba)'!$C:$C,MATCH($B387,'Pliegos Tarifarios (Huechuraba)'!$A:$A,0))</f>
        <v>3910.88895</v>
      </c>
      <c r="O387" s="19">
        <f>J387*INDEX('Pliegos Tarifarios (Huechuraba)'!$D:$D,MATCH($B387,'Pliegos Tarifarios (Huechuraba)'!$A:$A,0))</f>
        <v>16199.293600000003</v>
      </c>
      <c r="P387" s="19">
        <f>H387*INDEX('Pliegos Tarifarios (Huechuraba)'!$E:$E,MATCH($B387,'Pliegos Tarifarios (Huechuraba)'!$A:$A,0))</f>
        <v>5568.6716799999995</v>
      </c>
      <c r="Q387" s="19" cm="1">
        <f t="array" ref="Q387">H387*_xlfn.IFS(H387&lt;=350,INDEX('Pliegos Tarifarios (Huechuraba)'!$F:$F,MATCH($B387,'Pliegos Tarifarios (Huechuraba)'!$A:$A,0)),H387&lt;=500,INDEX('Pliegos Tarifarios (Huechuraba)'!$G:$G,MATCH($B387,'Pliegos Tarifarios (Huechuraba)'!$A:$A,0)),H387&lt;=1000,INDEX('Pliegos Tarifarios (Huechuraba)'!$H:$H,MATCH($B387,'Pliegos Tarifarios (Huechuraba)'!$A:$A,0)),H387&lt;=5000,INDEX('Pliegos Tarifarios (Huechuraba)'!$I:$I,MATCH($B387,'Pliegos Tarifarios (Huechuraba)'!$A:$A,0)),H387&gt;5000,INDEX('Pliegos Tarifarios (Huechuraba)'!$J:$J,MATCH($B387,'Pliegos Tarifarios (Huechuraba)'!$A:$A,0)))/1.19</f>
        <v>602.19102521008415</v>
      </c>
      <c r="R387" s="19">
        <f>INDEX('Pliegos Tarifarios (Huechuraba)'!$K:$K,MATCH($B387,'Pliegos Tarifarios (Huechuraba)'!$A:$A,0))</f>
        <v>723.17600000000004</v>
      </c>
      <c r="S387" s="36">
        <f t="shared" si="15"/>
        <v>83342.127165210084</v>
      </c>
      <c r="T387" s="36">
        <f t="shared" si="16"/>
        <v>15835.004161389916</v>
      </c>
      <c r="U387" s="19">
        <v>0</v>
      </c>
      <c r="V387" s="36">
        <f t="shared" si="17"/>
        <v>99177.131326600007</v>
      </c>
    </row>
    <row r="388" spans="1:22" ht="23.4" thickBot="1" x14ac:dyDescent="0.35">
      <c r="A388" s="30" t="s">
        <v>150</v>
      </c>
      <c r="B388" s="31">
        <v>8</v>
      </c>
      <c r="C388" s="32" t="s">
        <v>15</v>
      </c>
      <c r="D388" s="31" t="s">
        <v>47</v>
      </c>
      <c r="E388" s="31" t="s">
        <v>37</v>
      </c>
      <c r="F388" s="32" t="s">
        <v>48</v>
      </c>
      <c r="G388" s="31" t="s">
        <v>33</v>
      </c>
      <c r="H388" s="31">
        <v>851.36</v>
      </c>
      <c r="I388" s="31">
        <v>2.31</v>
      </c>
      <c r="J388" s="31">
        <v>2.31</v>
      </c>
      <c r="K388" s="34">
        <v>1</v>
      </c>
      <c r="L388" s="31">
        <v>27.46</v>
      </c>
      <c r="M388" s="19">
        <f>H388*INDEX('Pliegos Tarifarios (Huechuraba)'!$B:$B,MATCH($B388,'Pliegos Tarifarios (Huechuraba)'!$A:$A,0))</f>
        <v>112177.74768</v>
      </c>
      <c r="N388" s="19">
        <f>I388*INDEX('Pliegos Tarifarios (Huechuraba)'!$C:$C,MATCH($B388,'Pliegos Tarifarios (Huechuraba)'!$A:$A,0))</f>
        <v>7855.7856300000003</v>
      </c>
      <c r="O388" s="19">
        <f>J388*INDEX('Pliegos Tarifarios (Huechuraba)'!$D:$D,MATCH($B388,'Pliegos Tarifarios (Huechuraba)'!$A:$A,0))</f>
        <v>33411.04305</v>
      </c>
      <c r="P388" s="19">
        <f>H388*INDEX('Pliegos Tarifarios (Huechuraba)'!$E:$E,MATCH($B388,'Pliegos Tarifarios (Huechuraba)'!$A:$A,0))</f>
        <v>11088.112639999999</v>
      </c>
      <c r="Q388" s="19" cm="1">
        <f t="array" ref="Q388">H388*_xlfn.IFS(H388&lt;=350,INDEX('Pliegos Tarifarios (Huechuraba)'!$F:$F,MATCH($B388,'Pliegos Tarifarios (Huechuraba)'!$A:$A,0)),H388&lt;=500,INDEX('Pliegos Tarifarios (Huechuraba)'!$G:$G,MATCH($B388,'Pliegos Tarifarios (Huechuraba)'!$A:$A,0)),H388&lt;=1000,INDEX('Pliegos Tarifarios (Huechuraba)'!$H:$H,MATCH($B388,'Pliegos Tarifarios (Huechuraba)'!$A:$A,0)),H388&lt;=5000,INDEX('Pliegos Tarifarios (Huechuraba)'!$I:$I,MATCH($B388,'Pliegos Tarifarios (Huechuraba)'!$A:$A,0)),H388&gt;5000,INDEX('Pliegos Tarifarios (Huechuraba)'!$J:$J,MATCH($B388,'Pliegos Tarifarios (Huechuraba)'!$A:$A,0)))/1.19</f>
        <v>1996.7611428571433</v>
      </c>
      <c r="R388" s="19">
        <f>INDEX('Pliegos Tarifarios (Huechuraba)'!$K:$K,MATCH($B388,'Pliegos Tarifarios (Huechuraba)'!$A:$A,0))</f>
        <v>723.17600000000004</v>
      </c>
      <c r="S388" s="36">
        <f t="shared" si="15"/>
        <v>167252.62614285716</v>
      </c>
      <c r="T388" s="36">
        <f t="shared" si="16"/>
        <v>31777.998967142859</v>
      </c>
      <c r="U388" s="19">
        <v>0</v>
      </c>
      <c r="V388" s="36">
        <f t="shared" si="17"/>
        <v>199030.62511000002</v>
      </c>
    </row>
    <row r="389" spans="1:22" ht="23.4" thickBot="1" x14ac:dyDescent="0.35">
      <c r="A389" s="30" t="s">
        <v>150</v>
      </c>
      <c r="B389" s="31">
        <v>8</v>
      </c>
      <c r="C389" s="32" t="s">
        <v>15</v>
      </c>
      <c r="D389" s="31" t="s">
        <v>49</v>
      </c>
      <c r="E389" s="31" t="s">
        <v>50</v>
      </c>
      <c r="F389" s="32" t="s">
        <v>51</v>
      </c>
      <c r="G389" s="31" t="s">
        <v>33</v>
      </c>
      <c r="H389" s="31">
        <v>854.58</v>
      </c>
      <c r="I389" s="31">
        <v>2.27</v>
      </c>
      <c r="J389" s="31">
        <v>2.2599999999999998</v>
      </c>
      <c r="K389" s="34">
        <v>0.998</v>
      </c>
      <c r="L389" s="31">
        <v>27.57</v>
      </c>
      <c r="M389" s="19">
        <f>H389*INDEX('Pliegos Tarifarios (Huechuraba)'!$B:$B,MATCH($B389,'Pliegos Tarifarios (Huechuraba)'!$A:$A,0))</f>
        <v>112602.02454000001</v>
      </c>
      <c r="N389" s="19">
        <f>I389*INDEX('Pliegos Tarifarios (Huechuraba)'!$C:$C,MATCH($B389,'Pliegos Tarifarios (Huechuraba)'!$A:$A,0))</f>
        <v>7719.7547100000002</v>
      </c>
      <c r="O389" s="19">
        <f>J389*INDEX('Pliegos Tarifarios (Huechuraba)'!$D:$D,MATCH($B389,'Pliegos Tarifarios (Huechuraba)'!$A:$A,0))</f>
        <v>32687.860299999997</v>
      </c>
      <c r="P389" s="19">
        <f>H389*INDEX('Pliegos Tarifarios (Huechuraba)'!$E:$E,MATCH($B389,'Pliegos Tarifarios (Huechuraba)'!$A:$A,0))</f>
        <v>11130.049919999999</v>
      </c>
      <c r="Q389" s="19" cm="1">
        <f t="array" ref="Q389">H389*_xlfn.IFS(H389&lt;=350,INDEX('Pliegos Tarifarios (Huechuraba)'!$F:$F,MATCH($B389,'Pliegos Tarifarios (Huechuraba)'!$A:$A,0)),H389&lt;=500,INDEX('Pliegos Tarifarios (Huechuraba)'!$G:$G,MATCH($B389,'Pliegos Tarifarios (Huechuraba)'!$A:$A,0)),H389&lt;=1000,INDEX('Pliegos Tarifarios (Huechuraba)'!$H:$H,MATCH($B389,'Pliegos Tarifarios (Huechuraba)'!$A:$A,0)),H389&lt;=5000,INDEX('Pliegos Tarifarios (Huechuraba)'!$I:$I,MATCH($B389,'Pliegos Tarifarios (Huechuraba)'!$A:$A,0)),H389&gt;5000,INDEX('Pliegos Tarifarios (Huechuraba)'!$J:$J,MATCH($B389,'Pliegos Tarifarios (Huechuraba)'!$A:$A,0)))/1.19</f>
        <v>2004.3132605042022</v>
      </c>
      <c r="R389" s="19">
        <f>INDEX('Pliegos Tarifarios (Huechuraba)'!$K:$K,MATCH($B389,'Pliegos Tarifarios (Huechuraba)'!$A:$A,0))</f>
        <v>723.17600000000004</v>
      </c>
      <c r="S389" s="36">
        <f t="shared" ref="S389:S452" si="18">SUM(M389:R389)</f>
        <v>166867.17873050418</v>
      </c>
      <c r="T389" s="36">
        <f t="shared" ref="T389:T452" si="19">S389*0.19</f>
        <v>31704.763958795793</v>
      </c>
      <c r="U389" s="19">
        <v>0</v>
      </c>
      <c r="V389" s="36">
        <f t="shared" ref="V389:V452" si="20">SUM(S389:T389)</f>
        <v>198571.94268929996</v>
      </c>
    </row>
    <row r="390" spans="1:22" ht="23.4" thickBot="1" x14ac:dyDescent="0.35">
      <c r="A390" s="30" t="s">
        <v>150</v>
      </c>
      <c r="B390" s="31">
        <v>8</v>
      </c>
      <c r="C390" s="32" t="s">
        <v>15</v>
      </c>
      <c r="D390" s="31" t="s">
        <v>52</v>
      </c>
      <c r="E390" s="31" t="s">
        <v>50</v>
      </c>
      <c r="F390" s="32" t="s">
        <v>53</v>
      </c>
      <c r="G390" s="31" t="s">
        <v>33</v>
      </c>
      <c r="H390" s="31">
        <v>854.85</v>
      </c>
      <c r="I390" s="31">
        <v>2.35</v>
      </c>
      <c r="J390" s="31">
        <v>2.2799999999999998</v>
      </c>
      <c r="K390" s="34">
        <v>0.96899999999999997</v>
      </c>
      <c r="L390" s="31">
        <v>27.58</v>
      </c>
      <c r="M390" s="19">
        <f>H390*INDEX('Pliegos Tarifarios (Huechuraba)'!$B:$B,MATCH($B390,'Pliegos Tarifarios (Huechuraba)'!$A:$A,0))</f>
        <v>112637.60055</v>
      </c>
      <c r="N390" s="19">
        <f>I390*INDEX('Pliegos Tarifarios (Huechuraba)'!$C:$C,MATCH($B390,'Pliegos Tarifarios (Huechuraba)'!$A:$A,0))</f>
        <v>7991.8165500000005</v>
      </c>
      <c r="O390" s="19">
        <f>J390*INDEX('Pliegos Tarifarios (Huechuraba)'!$D:$D,MATCH($B390,'Pliegos Tarifarios (Huechuraba)'!$A:$A,0))</f>
        <v>32977.133399999999</v>
      </c>
      <c r="P390" s="19">
        <f>H390*INDEX('Pliegos Tarifarios (Huechuraba)'!$E:$E,MATCH($B390,'Pliegos Tarifarios (Huechuraba)'!$A:$A,0))</f>
        <v>11133.5664</v>
      </c>
      <c r="Q390" s="19" cm="1">
        <f t="array" ref="Q390">H390*_xlfn.IFS(H390&lt;=350,INDEX('Pliegos Tarifarios (Huechuraba)'!$F:$F,MATCH($B390,'Pliegos Tarifarios (Huechuraba)'!$A:$A,0)),H390&lt;=500,INDEX('Pliegos Tarifarios (Huechuraba)'!$G:$G,MATCH($B390,'Pliegos Tarifarios (Huechuraba)'!$A:$A,0)),H390&lt;=1000,INDEX('Pliegos Tarifarios (Huechuraba)'!$H:$H,MATCH($B390,'Pliegos Tarifarios (Huechuraba)'!$A:$A,0)),H390&lt;=5000,INDEX('Pliegos Tarifarios (Huechuraba)'!$I:$I,MATCH($B390,'Pliegos Tarifarios (Huechuraba)'!$A:$A,0)),H390&gt;5000,INDEX('Pliegos Tarifarios (Huechuraba)'!$J:$J,MATCH($B390,'Pliegos Tarifarios (Huechuraba)'!$A:$A,0)))/1.19</f>
        <v>2004.9465126050422</v>
      </c>
      <c r="R390" s="19">
        <f>INDEX('Pliegos Tarifarios (Huechuraba)'!$K:$K,MATCH($B390,'Pliegos Tarifarios (Huechuraba)'!$A:$A,0))</f>
        <v>723.17600000000004</v>
      </c>
      <c r="S390" s="36">
        <f t="shared" si="18"/>
        <v>167468.23941260506</v>
      </c>
      <c r="T390" s="36">
        <f t="shared" si="19"/>
        <v>31818.965488394962</v>
      </c>
      <c r="U390" s="19">
        <v>0</v>
      </c>
      <c r="V390" s="36">
        <f t="shared" si="20"/>
        <v>199287.20490100002</v>
      </c>
    </row>
    <row r="391" spans="1:22" ht="23.4" thickBot="1" x14ac:dyDescent="0.35">
      <c r="A391" s="30" t="s">
        <v>150</v>
      </c>
      <c r="B391" s="31">
        <v>8</v>
      </c>
      <c r="C391" s="32" t="s">
        <v>15</v>
      </c>
      <c r="D391" s="31" t="s">
        <v>54</v>
      </c>
      <c r="E391" s="31" t="s">
        <v>55</v>
      </c>
      <c r="F391" s="32" t="s">
        <v>56</v>
      </c>
      <c r="G391" s="31" t="s">
        <v>33</v>
      </c>
      <c r="H391" s="31">
        <v>427.12</v>
      </c>
      <c r="I391" s="31">
        <v>1.17</v>
      </c>
      <c r="J391" s="31">
        <v>1.1200000000000001</v>
      </c>
      <c r="K391" s="34">
        <v>0.95899999999999996</v>
      </c>
      <c r="L391" s="31">
        <v>13.78</v>
      </c>
      <c r="M391" s="19">
        <f>H391*INDEX('Pliegos Tarifarios (Huechuraba)'!$B:$B,MATCH($B391,'Pliegos Tarifarios (Huechuraba)'!$A:$A,0))</f>
        <v>56278.612560000001</v>
      </c>
      <c r="N391" s="19">
        <f>I391*INDEX('Pliegos Tarifarios (Huechuraba)'!$C:$C,MATCH($B391,'Pliegos Tarifarios (Huechuraba)'!$A:$A,0))</f>
        <v>3978.9044100000001</v>
      </c>
      <c r="O391" s="19">
        <f>J391*INDEX('Pliegos Tarifarios (Huechuraba)'!$D:$D,MATCH($B391,'Pliegos Tarifarios (Huechuraba)'!$A:$A,0))</f>
        <v>16199.293600000003</v>
      </c>
      <c r="P391" s="19">
        <f>H391*INDEX('Pliegos Tarifarios (Huechuraba)'!$E:$E,MATCH($B391,'Pliegos Tarifarios (Huechuraba)'!$A:$A,0))</f>
        <v>5562.81088</v>
      </c>
      <c r="Q391" s="19" cm="1">
        <f t="array" ref="Q391">H391*_xlfn.IFS(H391&lt;=350,INDEX('Pliegos Tarifarios (Huechuraba)'!$F:$F,MATCH($B391,'Pliegos Tarifarios (Huechuraba)'!$A:$A,0)),H391&lt;=500,INDEX('Pliegos Tarifarios (Huechuraba)'!$G:$G,MATCH($B391,'Pliegos Tarifarios (Huechuraba)'!$A:$A,0)),H391&lt;=1000,INDEX('Pliegos Tarifarios (Huechuraba)'!$H:$H,MATCH($B391,'Pliegos Tarifarios (Huechuraba)'!$A:$A,0)),H391&lt;=5000,INDEX('Pliegos Tarifarios (Huechuraba)'!$I:$I,MATCH($B391,'Pliegos Tarifarios (Huechuraba)'!$A:$A,0)),H391&gt;5000,INDEX('Pliegos Tarifarios (Huechuraba)'!$J:$J,MATCH($B391,'Pliegos Tarifarios (Huechuraba)'!$A:$A,0)))/1.19</f>
        <v>601.55724369747907</v>
      </c>
      <c r="R391" s="19">
        <f>INDEX('Pliegos Tarifarios (Huechuraba)'!$K:$K,MATCH($B391,'Pliegos Tarifarios (Huechuraba)'!$A:$A,0))</f>
        <v>723.17600000000004</v>
      </c>
      <c r="S391" s="36">
        <f t="shared" si="18"/>
        <v>83344.354693697489</v>
      </c>
      <c r="T391" s="36">
        <f t="shared" si="19"/>
        <v>15835.427391802523</v>
      </c>
      <c r="U391" s="19">
        <v>0</v>
      </c>
      <c r="V391" s="36">
        <f t="shared" si="20"/>
        <v>99179.782085500017</v>
      </c>
    </row>
    <row r="392" spans="1:22" ht="23.4" thickBot="1" x14ac:dyDescent="0.35">
      <c r="A392" s="30" t="s">
        <v>150</v>
      </c>
      <c r="B392" s="31">
        <v>8</v>
      </c>
      <c r="C392" s="32" t="s">
        <v>15</v>
      </c>
      <c r="D392" s="31" t="s">
        <v>57</v>
      </c>
      <c r="E392" s="31" t="s">
        <v>58</v>
      </c>
      <c r="F392" s="32" t="s">
        <v>59</v>
      </c>
      <c r="G392" s="31" t="s">
        <v>33</v>
      </c>
      <c r="H392" s="31">
        <v>284.75</v>
      </c>
      <c r="I392" s="31">
        <v>0.77</v>
      </c>
      <c r="J392" s="31">
        <v>0.75</v>
      </c>
      <c r="K392" s="34">
        <v>0.97199999999999998</v>
      </c>
      <c r="L392" s="31">
        <v>9.19</v>
      </c>
      <c r="M392" s="19">
        <f>H392*INDEX('Pliegos Tarifarios (Huechuraba)'!$B:$B,MATCH($B392,'Pliegos Tarifarios (Huechuraba)'!$A:$A,0))</f>
        <v>37519.51425</v>
      </c>
      <c r="N392" s="19">
        <f>I392*INDEX('Pliegos Tarifarios (Huechuraba)'!$C:$C,MATCH($B392,'Pliegos Tarifarios (Huechuraba)'!$A:$A,0))</f>
        <v>2618.59521</v>
      </c>
      <c r="O392" s="19">
        <f>J392*INDEX('Pliegos Tarifarios (Huechuraba)'!$D:$D,MATCH($B392,'Pliegos Tarifarios (Huechuraba)'!$A:$A,0))</f>
        <v>10847.741250000001</v>
      </c>
      <c r="P392" s="19">
        <f>H392*INDEX('Pliegos Tarifarios (Huechuraba)'!$E:$E,MATCH($B392,'Pliegos Tarifarios (Huechuraba)'!$A:$A,0))</f>
        <v>3708.5839999999998</v>
      </c>
      <c r="Q392" s="19" cm="1">
        <f t="array" ref="Q392">H392*_xlfn.IFS(H392&lt;=350,INDEX('Pliegos Tarifarios (Huechuraba)'!$F:$F,MATCH($B392,'Pliegos Tarifarios (Huechuraba)'!$A:$A,0)),H392&lt;=500,INDEX('Pliegos Tarifarios (Huechuraba)'!$G:$G,MATCH($B392,'Pliegos Tarifarios (Huechuraba)'!$A:$A,0)),H392&lt;=1000,INDEX('Pliegos Tarifarios (Huechuraba)'!$H:$H,MATCH($B392,'Pliegos Tarifarios (Huechuraba)'!$A:$A,0)),H392&lt;=5000,INDEX('Pliegos Tarifarios (Huechuraba)'!$I:$I,MATCH($B392,'Pliegos Tarifarios (Huechuraba)'!$A:$A,0)),H392&gt;5000,INDEX('Pliegos Tarifarios (Huechuraba)'!$J:$J,MATCH($B392,'Pliegos Tarifarios (Huechuraba)'!$A:$A,0)))/1.19</f>
        <v>187.6</v>
      </c>
      <c r="R392" s="19">
        <f>INDEX('Pliegos Tarifarios (Huechuraba)'!$K:$K,MATCH($B392,'Pliegos Tarifarios (Huechuraba)'!$A:$A,0))</f>
        <v>723.17600000000004</v>
      </c>
      <c r="S392" s="36">
        <f t="shared" si="18"/>
        <v>55605.210709999999</v>
      </c>
      <c r="T392" s="36">
        <f t="shared" si="19"/>
        <v>10564.9900349</v>
      </c>
      <c r="U392" s="19">
        <v>0</v>
      </c>
      <c r="V392" s="36">
        <f t="shared" si="20"/>
        <v>66170.200744899994</v>
      </c>
    </row>
    <row r="393" spans="1:22" ht="23.4" thickBot="1" x14ac:dyDescent="0.35">
      <c r="A393" s="30" t="s">
        <v>150</v>
      </c>
      <c r="B393" s="31">
        <v>8</v>
      </c>
      <c r="C393" s="32" t="s">
        <v>15</v>
      </c>
      <c r="D393" s="31" t="s">
        <v>60</v>
      </c>
      <c r="E393" s="31" t="s">
        <v>61</v>
      </c>
      <c r="F393" s="32" t="s">
        <v>62</v>
      </c>
      <c r="G393" s="31" t="s">
        <v>33</v>
      </c>
      <c r="H393" s="31">
        <v>284.58</v>
      </c>
      <c r="I393" s="31">
        <v>0.77</v>
      </c>
      <c r="J393" s="31">
        <v>0.76</v>
      </c>
      <c r="K393" s="34">
        <v>0.97899999999999998</v>
      </c>
      <c r="L393" s="31">
        <v>9.18</v>
      </c>
      <c r="M393" s="19">
        <f>H393*INDEX('Pliegos Tarifarios (Huechuraba)'!$B:$B,MATCH($B393,'Pliegos Tarifarios (Huechuraba)'!$A:$A,0))</f>
        <v>37497.114540000002</v>
      </c>
      <c r="N393" s="19">
        <f>I393*INDEX('Pliegos Tarifarios (Huechuraba)'!$C:$C,MATCH($B393,'Pliegos Tarifarios (Huechuraba)'!$A:$A,0))</f>
        <v>2618.59521</v>
      </c>
      <c r="O393" s="19">
        <f>J393*INDEX('Pliegos Tarifarios (Huechuraba)'!$D:$D,MATCH($B393,'Pliegos Tarifarios (Huechuraba)'!$A:$A,0))</f>
        <v>10992.3778</v>
      </c>
      <c r="P393" s="19">
        <f>H393*INDEX('Pliegos Tarifarios (Huechuraba)'!$E:$E,MATCH($B393,'Pliegos Tarifarios (Huechuraba)'!$A:$A,0))</f>
        <v>3706.3699199999996</v>
      </c>
      <c r="Q393" s="19" cm="1">
        <f t="array" ref="Q393">H393*_xlfn.IFS(H393&lt;=350,INDEX('Pliegos Tarifarios (Huechuraba)'!$F:$F,MATCH($B393,'Pliegos Tarifarios (Huechuraba)'!$A:$A,0)),H393&lt;=500,INDEX('Pliegos Tarifarios (Huechuraba)'!$G:$G,MATCH($B393,'Pliegos Tarifarios (Huechuraba)'!$A:$A,0)),H393&lt;=1000,INDEX('Pliegos Tarifarios (Huechuraba)'!$H:$H,MATCH($B393,'Pliegos Tarifarios (Huechuraba)'!$A:$A,0)),H393&lt;=5000,INDEX('Pliegos Tarifarios (Huechuraba)'!$I:$I,MATCH($B393,'Pliegos Tarifarios (Huechuraba)'!$A:$A,0)),H393&gt;5000,INDEX('Pliegos Tarifarios (Huechuraba)'!$J:$J,MATCH($B393,'Pliegos Tarifarios (Huechuraba)'!$A:$A,0)))/1.19</f>
        <v>187.488</v>
      </c>
      <c r="R393" s="19">
        <f>INDEX('Pliegos Tarifarios (Huechuraba)'!$K:$K,MATCH($B393,'Pliegos Tarifarios (Huechuraba)'!$A:$A,0))</f>
        <v>723.17600000000004</v>
      </c>
      <c r="S393" s="36">
        <f t="shared" si="18"/>
        <v>55725.121469999998</v>
      </c>
      <c r="T393" s="36">
        <f t="shared" si="19"/>
        <v>10587.773079299999</v>
      </c>
      <c r="U393" s="19">
        <v>0</v>
      </c>
      <c r="V393" s="36">
        <f t="shared" si="20"/>
        <v>66312.894549299992</v>
      </c>
    </row>
    <row r="394" spans="1:22" ht="23.4" thickBot="1" x14ac:dyDescent="0.35">
      <c r="A394" s="30" t="s">
        <v>150</v>
      </c>
      <c r="B394" s="31">
        <v>8</v>
      </c>
      <c r="C394" s="32" t="s">
        <v>15</v>
      </c>
      <c r="D394" s="31" t="s">
        <v>63</v>
      </c>
      <c r="E394" s="31" t="s">
        <v>64</v>
      </c>
      <c r="F394" s="32" t="s">
        <v>65</v>
      </c>
      <c r="G394" s="31" t="s">
        <v>33</v>
      </c>
      <c r="H394" s="31">
        <v>284.79000000000002</v>
      </c>
      <c r="I394" s="31">
        <v>0.75</v>
      </c>
      <c r="J394" s="31">
        <v>0.75</v>
      </c>
      <c r="K394" s="34">
        <v>1</v>
      </c>
      <c r="L394" s="31">
        <v>9.19</v>
      </c>
      <c r="M394" s="19">
        <f>H394*INDEX('Pliegos Tarifarios (Huechuraba)'!$B:$B,MATCH($B394,'Pliegos Tarifarios (Huechuraba)'!$A:$A,0))</f>
        <v>37524.784770000006</v>
      </c>
      <c r="N394" s="19">
        <f>I394*INDEX('Pliegos Tarifarios (Huechuraba)'!$C:$C,MATCH($B394,'Pliegos Tarifarios (Huechuraba)'!$A:$A,0))</f>
        <v>2550.5797499999999</v>
      </c>
      <c r="O394" s="19">
        <f>J394*INDEX('Pliegos Tarifarios (Huechuraba)'!$D:$D,MATCH($B394,'Pliegos Tarifarios (Huechuraba)'!$A:$A,0))</f>
        <v>10847.741250000001</v>
      </c>
      <c r="P394" s="19">
        <f>H394*INDEX('Pliegos Tarifarios (Huechuraba)'!$E:$E,MATCH($B394,'Pliegos Tarifarios (Huechuraba)'!$A:$A,0))</f>
        <v>3709.1049600000001</v>
      </c>
      <c r="Q394" s="19" cm="1">
        <f t="array" ref="Q394">H394*_xlfn.IFS(H394&lt;=350,INDEX('Pliegos Tarifarios (Huechuraba)'!$F:$F,MATCH($B394,'Pliegos Tarifarios (Huechuraba)'!$A:$A,0)),H394&lt;=500,INDEX('Pliegos Tarifarios (Huechuraba)'!$G:$G,MATCH($B394,'Pliegos Tarifarios (Huechuraba)'!$A:$A,0)),H394&lt;=1000,INDEX('Pliegos Tarifarios (Huechuraba)'!$H:$H,MATCH($B394,'Pliegos Tarifarios (Huechuraba)'!$A:$A,0)),H394&lt;=5000,INDEX('Pliegos Tarifarios (Huechuraba)'!$I:$I,MATCH($B394,'Pliegos Tarifarios (Huechuraba)'!$A:$A,0)),H394&gt;5000,INDEX('Pliegos Tarifarios (Huechuraba)'!$J:$J,MATCH($B394,'Pliegos Tarifarios (Huechuraba)'!$A:$A,0)))/1.19</f>
        <v>187.62635294117652</v>
      </c>
      <c r="R394" s="19">
        <f>INDEX('Pliegos Tarifarios (Huechuraba)'!$K:$K,MATCH($B394,'Pliegos Tarifarios (Huechuraba)'!$A:$A,0))</f>
        <v>723.17600000000004</v>
      </c>
      <c r="S394" s="36">
        <f t="shared" si="18"/>
        <v>55543.013082941172</v>
      </c>
      <c r="T394" s="36">
        <f t="shared" si="19"/>
        <v>10553.172485758823</v>
      </c>
      <c r="U394" s="19">
        <v>0</v>
      </c>
      <c r="V394" s="36">
        <f t="shared" si="20"/>
        <v>66096.185568699992</v>
      </c>
    </row>
    <row r="395" spans="1:22" ht="23.4" thickBot="1" x14ac:dyDescent="0.35">
      <c r="A395" s="30" t="s">
        <v>150</v>
      </c>
      <c r="B395" s="31">
        <v>8</v>
      </c>
      <c r="C395" s="32" t="s">
        <v>15</v>
      </c>
      <c r="D395" s="31" t="s">
        <v>66</v>
      </c>
      <c r="E395" s="31" t="s">
        <v>37</v>
      </c>
      <c r="F395" s="32" t="s">
        <v>67</v>
      </c>
      <c r="G395" s="31" t="s">
        <v>33</v>
      </c>
      <c r="H395" s="31">
        <v>569.73</v>
      </c>
      <c r="I395" s="31">
        <v>1.54</v>
      </c>
      <c r="J395" s="31">
        <v>1.54</v>
      </c>
      <c r="K395" s="34">
        <v>1</v>
      </c>
      <c r="L395" s="31">
        <v>18.38</v>
      </c>
      <c r="M395" s="19">
        <f>H395*INDEX('Pliegos Tarifarios (Huechuraba)'!$B:$B,MATCH($B395,'Pliegos Tarifarios (Huechuraba)'!$A:$A,0))</f>
        <v>75069.333989999999</v>
      </c>
      <c r="N395" s="19">
        <f>I395*INDEX('Pliegos Tarifarios (Huechuraba)'!$C:$C,MATCH($B395,'Pliegos Tarifarios (Huechuraba)'!$A:$A,0))</f>
        <v>5237.1904199999999</v>
      </c>
      <c r="O395" s="19">
        <f>J395*INDEX('Pliegos Tarifarios (Huechuraba)'!$D:$D,MATCH($B395,'Pliegos Tarifarios (Huechuraba)'!$A:$A,0))</f>
        <v>22274.028700000003</v>
      </c>
      <c r="P395" s="19">
        <f>H395*INDEX('Pliegos Tarifarios (Huechuraba)'!$E:$E,MATCH($B395,'Pliegos Tarifarios (Huechuraba)'!$A:$A,0))</f>
        <v>7420.1635200000001</v>
      </c>
      <c r="Q395" s="19" cm="1">
        <f t="array" ref="Q395">H395*_xlfn.IFS(H395&lt;=350,INDEX('Pliegos Tarifarios (Huechuraba)'!$F:$F,MATCH($B395,'Pliegos Tarifarios (Huechuraba)'!$A:$A,0)),H395&lt;=500,INDEX('Pliegos Tarifarios (Huechuraba)'!$G:$G,MATCH($B395,'Pliegos Tarifarios (Huechuraba)'!$A:$A,0)),H395&lt;=1000,INDEX('Pliegos Tarifarios (Huechuraba)'!$H:$H,MATCH($B395,'Pliegos Tarifarios (Huechuraba)'!$A:$A,0)),H395&lt;=5000,INDEX('Pliegos Tarifarios (Huechuraba)'!$I:$I,MATCH($B395,'Pliegos Tarifarios (Huechuraba)'!$A:$A,0)),H395&gt;5000,INDEX('Pliegos Tarifarios (Huechuraba)'!$J:$J,MATCH($B395,'Pliegos Tarifarios (Huechuraba)'!$A:$A,0)))/1.19</f>
        <v>1336.2322941176474</v>
      </c>
      <c r="R395" s="19">
        <f>INDEX('Pliegos Tarifarios (Huechuraba)'!$K:$K,MATCH($B395,'Pliegos Tarifarios (Huechuraba)'!$A:$A,0))</f>
        <v>723.17600000000004</v>
      </c>
      <c r="S395" s="36">
        <f t="shared" si="18"/>
        <v>112060.12492411767</v>
      </c>
      <c r="T395" s="36">
        <f t="shared" si="19"/>
        <v>21291.423735582357</v>
      </c>
      <c r="U395" s="19">
        <v>0</v>
      </c>
      <c r="V395" s="36">
        <f t="shared" si="20"/>
        <v>133351.54865970003</v>
      </c>
    </row>
    <row r="396" spans="1:22" ht="23.4" thickBot="1" x14ac:dyDescent="0.35">
      <c r="A396" s="30" t="s">
        <v>150</v>
      </c>
      <c r="B396" s="31">
        <v>8</v>
      </c>
      <c r="C396" s="32" t="s">
        <v>15</v>
      </c>
      <c r="D396" s="31" t="s">
        <v>68</v>
      </c>
      <c r="E396" s="31" t="s">
        <v>37</v>
      </c>
      <c r="F396" s="32" t="s">
        <v>69</v>
      </c>
      <c r="G396" s="31" t="s">
        <v>33</v>
      </c>
      <c r="H396" s="31">
        <v>568.91999999999996</v>
      </c>
      <c r="I396" s="31">
        <v>1.52</v>
      </c>
      <c r="J396" s="31">
        <v>1.52</v>
      </c>
      <c r="K396" s="34">
        <v>1</v>
      </c>
      <c r="L396" s="31">
        <v>18.350000000000001</v>
      </c>
      <c r="M396" s="19">
        <f>H396*INDEX('Pliegos Tarifarios (Huechuraba)'!$B:$B,MATCH($B396,'Pliegos Tarifarios (Huechuraba)'!$A:$A,0))</f>
        <v>74962.605960000001</v>
      </c>
      <c r="N396" s="19">
        <f>I396*INDEX('Pliegos Tarifarios (Huechuraba)'!$C:$C,MATCH($B396,'Pliegos Tarifarios (Huechuraba)'!$A:$A,0))</f>
        <v>5169.1749600000003</v>
      </c>
      <c r="O396" s="19">
        <f>J396*INDEX('Pliegos Tarifarios (Huechuraba)'!$D:$D,MATCH($B396,'Pliegos Tarifarios (Huechuraba)'!$A:$A,0))</f>
        <v>21984.7556</v>
      </c>
      <c r="P396" s="19">
        <f>H396*INDEX('Pliegos Tarifarios (Huechuraba)'!$E:$E,MATCH($B396,'Pliegos Tarifarios (Huechuraba)'!$A:$A,0))</f>
        <v>7409.6140799999994</v>
      </c>
      <c r="Q396" s="19" cm="1">
        <f t="array" ref="Q396">H396*_xlfn.IFS(H396&lt;=350,INDEX('Pliegos Tarifarios (Huechuraba)'!$F:$F,MATCH($B396,'Pliegos Tarifarios (Huechuraba)'!$A:$A,0)),H396&lt;=500,INDEX('Pliegos Tarifarios (Huechuraba)'!$G:$G,MATCH($B396,'Pliegos Tarifarios (Huechuraba)'!$A:$A,0)),H396&lt;=1000,INDEX('Pliegos Tarifarios (Huechuraba)'!$H:$H,MATCH($B396,'Pliegos Tarifarios (Huechuraba)'!$A:$A,0)),H396&lt;=5000,INDEX('Pliegos Tarifarios (Huechuraba)'!$I:$I,MATCH($B396,'Pliegos Tarifarios (Huechuraba)'!$A:$A,0)),H396&gt;5000,INDEX('Pliegos Tarifarios (Huechuraba)'!$J:$J,MATCH($B396,'Pliegos Tarifarios (Huechuraba)'!$A:$A,0)))/1.19</f>
        <v>1334.3325378151262</v>
      </c>
      <c r="R396" s="19">
        <f>INDEX('Pliegos Tarifarios (Huechuraba)'!$K:$K,MATCH($B396,'Pliegos Tarifarios (Huechuraba)'!$A:$A,0))</f>
        <v>723.17600000000004</v>
      </c>
      <c r="S396" s="36">
        <f t="shared" si="18"/>
        <v>111583.65913781514</v>
      </c>
      <c r="T396" s="36">
        <f t="shared" si="19"/>
        <v>21200.895236184875</v>
      </c>
      <c r="U396" s="19">
        <v>0</v>
      </c>
      <c r="V396" s="36">
        <f t="shared" si="20"/>
        <v>132784.554374</v>
      </c>
    </row>
    <row r="397" spans="1:22" ht="23.4" thickBot="1" x14ac:dyDescent="0.35">
      <c r="A397" s="30" t="s">
        <v>150</v>
      </c>
      <c r="B397" s="31">
        <v>8</v>
      </c>
      <c r="C397" s="32" t="s">
        <v>15</v>
      </c>
      <c r="D397" s="31" t="s">
        <v>70</v>
      </c>
      <c r="E397" s="31" t="s">
        <v>37</v>
      </c>
      <c r="F397" s="32" t="s">
        <v>71</v>
      </c>
      <c r="G397" s="31" t="s">
        <v>33</v>
      </c>
      <c r="H397" s="31">
        <v>570.29</v>
      </c>
      <c r="I397" s="31">
        <v>1.57</v>
      </c>
      <c r="J397" s="31">
        <v>1.48</v>
      </c>
      <c r="K397" s="34">
        <v>0.94099999999999995</v>
      </c>
      <c r="L397" s="31">
        <v>18.399999999999999</v>
      </c>
      <c r="M397" s="19">
        <f>H397*INDEX('Pliegos Tarifarios (Huechuraba)'!$B:$B,MATCH($B397,'Pliegos Tarifarios (Huechuraba)'!$A:$A,0))</f>
        <v>75143.121270000003</v>
      </c>
      <c r="N397" s="19">
        <f>I397*INDEX('Pliegos Tarifarios (Huechuraba)'!$C:$C,MATCH($B397,'Pliegos Tarifarios (Huechuraba)'!$A:$A,0))</f>
        <v>5339.2136100000007</v>
      </c>
      <c r="O397" s="19">
        <f>J397*INDEX('Pliegos Tarifarios (Huechuraba)'!$D:$D,MATCH($B397,'Pliegos Tarifarios (Huechuraba)'!$A:$A,0))</f>
        <v>21406.2094</v>
      </c>
      <c r="P397" s="19">
        <f>H397*INDEX('Pliegos Tarifarios (Huechuraba)'!$E:$E,MATCH($B397,'Pliegos Tarifarios (Huechuraba)'!$A:$A,0))</f>
        <v>7427.4569599999986</v>
      </c>
      <c r="Q397" s="19" cm="1">
        <f t="array" ref="Q397">H397*_xlfn.IFS(H397&lt;=350,INDEX('Pliegos Tarifarios (Huechuraba)'!$F:$F,MATCH($B397,'Pliegos Tarifarios (Huechuraba)'!$A:$A,0)),H397&lt;=500,INDEX('Pliegos Tarifarios (Huechuraba)'!$G:$G,MATCH($B397,'Pliegos Tarifarios (Huechuraba)'!$A:$A,0)),H397&lt;=1000,INDEX('Pliegos Tarifarios (Huechuraba)'!$H:$H,MATCH($B397,'Pliegos Tarifarios (Huechuraba)'!$A:$A,0)),H397&lt;=5000,INDEX('Pliegos Tarifarios (Huechuraba)'!$I:$I,MATCH($B397,'Pliegos Tarifarios (Huechuraba)'!$A:$A,0)),H397&gt;5000,INDEX('Pliegos Tarifarios (Huechuraba)'!$J:$J,MATCH($B397,'Pliegos Tarifarios (Huechuraba)'!$A:$A,0)))/1.19</f>
        <v>1337.5457058823531</v>
      </c>
      <c r="R397" s="19">
        <f>INDEX('Pliegos Tarifarios (Huechuraba)'!$K:$K,MATCH($B397,'Pliegos Tarifarios (Huechuraba)'!$A:$A,0))</f>
        <v>723.17600000000004</v>
      </c>
      <c r="S397" s="36">
        <f t="shared" si="18"/>
        <v>111376.72294588236</v>
      </c>
      <c r="T397" s="36">
        <f t="shared" si="19"/>
        <v>21161.577359717649</v>
      </c>
      <c r="U397" s="19">
        <v>0</v>
      </c>
      <c r="V397" s="36">
        <f t="shared" si="20"/>
        <v>132538.30030560002</v>
      </c>
    </row>
    <row r="398" spans="1:22" ht="23.4" thickBot="1" x14ac:dyDescent="0.35">
      <c r="A398" s="30" t="s">
        <v>150</v>
      </c>
      <c r="B398" s="31">
        <v>8</v>
      </c>
      <c r="C398" s="32" t="s">
        <v>15</v>
      </c>
      <c r="D398" s="31" t="s">
        <v>72</v>
      </c>
      <c r="E398" s="31" t="s">
        <v>73</v>
      </c>
      <c r="F398" s="32" t="s">
        <v>74</v>
      </c>
      <c r="G398" s="31" t="s">
        <v>33</v>
      </c>
      <c r="H398" s="31">
        <v>713.28</v>
      </c>
      <c r="I398" s="31">
        <v>1.91</v>
      </c>
      <c r="J398" s="31">
        <v>1.9</v>
      </c>
      <c r="K398" s="34">
        <v>0.997</v>
      </c>
      <c r="L398" s="31">
        <v>23.01</v>
      </c>
      <c r="M398" s="19">
        <f>H398*INDEX('Pliegos Tarifarios (Huechuraba)'!$B:$B,MATCH($B398,'Pliegos Tarifarios (Huechuraba)'!$A:$A,0))</f>
        <v>93983.912639999995</v>
      </c>
      <c r="N398" s="19">
        <f>I398*INDEX('Pliegos Tarifarios (Huechuraba)'!$C:$C,MATCH($B398,'Pliegos Tarifarios (Huechuraba)'!$A:$A,0))</f>
        <v>6495.4764299999997</v>
      </c>
      <c r="O398" s="19">
        <f>J398*INDEX('Pliegos Tarifarios (Huechuraba)'!$D:$D,MATCH($B398,'Pliegos Tarifarios (Huechuraba)'!$A:$A,0))</f>
        <v>27480.944500000001</v>
      </c>
      <c r="P398" s="19">
        <f>H398*INDEX('Pliegos Tarifarios (Huechuraba)'!$E:$E,MATCH($B398,'Pliegos Tarifarios (Huechuraba)'!$A:$A,0))</f>
        <v>9289.7587199999998</v>
      </c>
      <c r="Q398" s="19" cm="1">
        <f t="array" ref="Q398">H398*_xlfn.IFS(H398&lt;=350,INDEX('Pliegos Tarifarios (Huechuraba)'!$F:$F,MATCH($B398,'Pliegos Tarifarios (Huechuraba)'!$A:$A,0)),H398&lt;=500,INDEX('Pliegos Tarifarios (Huechuraba)'!$G:$G,MATCH($B398,'Pliegos Tarifarios (Huechuraba)'!$A:$A,0)),H398&lt;=1000,INDEX('Pliegos Tarifarios (Huechuraba)'!$H:$H,MATCH($B398,'Pliegos Tarifarios (Huechuraba)'!$A:$A,0)),H398&lt;=5000,INDEX('Pliegos Tarifarios (Huechuraba)'!$I:$I,MATCH($B398,'Pliegos Tarifarios (Huechuraba)'!$A:$A,0)),H398&gt;5000,INDEX('Pliegos Tarifarios (Huechuraba)'!$J:$J,MATCH($B398,'Pliegos Tarifarios (Huechuraba)'!$A:$A,0)))/1.19</f>
        <v>1672.9113277310928</v>
      </c>
      <c r="R398" s="19">
        <f>INDEX('Pliegos Tarifarios (Huechuraba)'!$K:$K,MATCH($B398,'Pliegos Tarifarios (Huechuraba)'!$A:$A,0))</f>
        <v>723.17600000000004</v>
      </c>
      <c r="S398" s="36">
        <f t="shared" si="18"/>
        <v>139646.1796177311</v>
      </c>
      <c r="T398" s="36">
        <f t="shared" si="19"/>
        <v>26532.77412736891</v>
      </c>
      <c r="U398" s="19">
        <v>0</v>
      </c>
      <c r="V398" s="36">
        <f t="shared" si="20"/>
        <v>166178.95374510001</v>
      </c>
    </row>
    <row r="399" spans="1:22" ht="23.4" thickBot="1" x14ac:dyDescent="0.35">
      <c r="A399" s="30" t="s">
        <v>150</v>
      </c>
      <c r="B399" s="31">
        <v>8</v>
      </c>
      <c r="C399" s="32" t="s">
        <v>15</v>
      </c>
      <c r="D399" s="31" t="s">
        <v>75</v>
      </c>
      <c r="E399" s="31" t="s">
        <v>76</v>
      </c>
      <c r="F399" s="32" t="s">
        <v>77</v>
      </c>
      <c r="G399" s="31" t="s">
        <v>19</v>
      </c>
      <c r="H399" s="33">
        <v>1138.2</v>
      </c>
      <c r="I399" s="31">
        <v>3.11</v>
      </c>
      <c r="J399" s="31">
        <v>3.11</v>
      </c>
      <c r="K399" s="34">
        <v>1</v>
      </c>
      <c r="L399" s="31">
        <v>36.72</v>
      </c>
      <c r="M399" s="19">
        <f>H399*INDEX('Pliegos Tarifarios (Huechuraba)'!$B:$B,MATCH($B399,'Pliegos Tarifarios (Huechuraba)'!$A:$A,0))</f>
        <v>149972.64660000001</v>
      </c>
      <c r="N399" s="19">
        <f>I399*INDEX('Pliegos Tarifarios (Huechuraba)'!$C:$C,MATCH($B399,'Pliegos Tarifarios (Huechuraba)'!$A:$A,0))</f>
        <v>10576.40403</v>
      </c>
      <c r="O399" s="19">
        <f>J399*INDEX('Pliegos Tarifarios (Huechuraba)'!$D:$D,MATCH($B399,'Pliegos Tarifarios (Huechuraba)'!$A:$A,0))</f>
        <v>44981.967049999999</v>
      </c>
      <c r="P399" s="19">
        <f>H399*INDEX('Pliegos Tarifarios (Huechuraba)'!$E:$E,MATCH($B399,'Pliegos Tarifarios (Huechuraba)'!$A:$A,0))</f>
        <v>14823.916799999999</v>
      </c>
      <c r="Q399" s="19" cm="1">
        <f t="array" ref="Q399">H399*_xlfn.IFS(H399&lt;=350,INDEX('Pliegos Tarifarios (Huechuraba)'!$F:$F,MATCH($B399,'Pliegos Tarifarios (Huechuraba)'!$A:$A,0)),H399&lt;=500,INDEX('Pliegos Tarifarios (Huechuraba)'!$G:$G,MATCH($B399,'Pliegos Tarifarios (Huechuraba)'!$A:$A,0)),H399&lt;=1000,INDEX('Pliegos Tarifarios (Huechuraba)'!$H:$H,MATCH($B399,'Pliegos Tarifarios (Huechuraba)'!$A:$A,0)),H399&lt;=5000,INDEX('Pliegos Tarifarios (Huechuraba)'!$I:$I,MATCH($B399,'Pliegos Tarifarios (Huechuraba)'!$A:$A,0)),H399&gt;5000,INDEX('Pliegos Tarifarios (Huechuraba)'!$J:$J,MATCH($B399,'Pliegos Tarifarios (Huechuraba)'!$A:$A,0)))/1.19</f>
        <v>3415.5564705882352</v>
      </c>
      <c r="R399" s="19">
        <f>INDEX('Pliegos Tarifarios (Huechuraba)'!$K:$K,MATCH($B399,'Pliegos Tarifarios (Huechuraba)'!$A:$A,0))</f>
        <v>723.17600000000004</v>
      </c>
      <c r="S399" s="36">
        <f t="shared" si="18"/>
        <v>224493.66695058826</v>
      </c>
      <c r="T399" s="36">
        <f t="shared" si="19"/>
        <v>42653.796720611768</v>
      </c>
      <c r="U399" s="19">
        <v>0</v>
      </c>
      <c r="V399" s="36">
        <f t="shared" si="20"/>
        <v>267147.46367120004</v>
      </c>
    </row>
    <row r="400" spans="1:22" ht="23.4" thickBot="1" x14ac:dyDescent="0.35">
      <c r="A400" s="30" t="s">
        <v>150</v>
      </c>
      <c r="B400" s="31">
        <v>8</v>
      </c>
      <c r="C400" s="32" t="s">
        <v>15</v>
      </c>
      <c r="D400" s="31" t="s">
        <v>78</v>
      </c>
      <c r="E400" s="31" t="s">
        <v>76</v>
      </c>
      <c r="F400" s="32" t="s">
        <v>79</v>
      </c>
      <c r="G400" s="31" t="s">
        <v>19</v>
      </c>
      <c r="H400" s="31">
        <v>853.42</v>
      </c>
      <c r="I400" s="31">
        <v>2.3199999999999998</v>
      </c>
      <c r="J400" s="31">
        <v>2.29</v>
      </c>
      <c r="K400" s="34">
        <v>0.98899999999999999</v>
      </c>
      <c r="L400" s="31">
        <v>27.53</v>
      </c>
      <c r="M400" s="19">
        <f>H400*INDEX('Pliegos Tarifarios (Huechuraba)'!$B:$B,MATCH($B400,'Pliegos Tarifarios (Huechuraba)'!$A:$A,0))</f>
        <v>112449.17946</v>
      </c>
      <c r="N400" s="19">
        <f>I400*INDEX('Pliegos Tarifarios (Huechuraba)'!$C:$C,MATCH($B400,'Pliegos Tarifarios (Huechuraba)'!$A:$A,0))</f>
        <v>7889.7933599999997</v>
      </c>
      <c r="O400" s="19">
        <f>J400*INDEX('Pliegos Tarifarios (Huechuraba)'!$D:$D,MATCH($B400,'Pliegos Tarifarios (Huechuraba)'!$A:$A,0))</f>
        <v>33121.769950000002</v>
      </c>
      <c r="P400" s="19">
        <f>H400*INDEX('Pliegos Tarifarios (Huechuraba)'!$E:$E,MATCH($B400,'Pliegos Tarifarios (Huechuraba)'!$A:$A,0))</f>
        <v>11114.942079999999</v>
      </c>
      <c r="Q400" s="19" cm="1">
        <f t="array" ref="Q400">H400*_xlfn.IFS(H400&lt;=350,INDEX('Pliegos Tarifarios (Huechuraba)'!$F:$F,MATCH($B400,'Pliegos Tarifarios (Huechuraba)'!$A:$A,0)),H400&lt;=500,INDEX('Pliegos Tarifarios (Huechuraba)'!$G:$G,MATCH($B400,'Pliegos Tarifarios (Huechuraba)'!$A:$A,0)),H400&lt;=1000,INDEX('Pliegos Tarifarios (Huechuraba)'!$H:$H,MATCH($B400,'Pliegos Tarifarios (Huechuraba)'!$A:$A,0)),H400&lt;=5000,INDEX('Pliegos Tarifarios (Huechuraba)'!$I:$I,MATCH($B400,'Pliegos Tarifarios (Huechuraba)'!$A:$A,0)),H400&gt;5000,INDEX('Pliegos Tarifarios (Huechuraba)'!$J:$J,MATCH($B400,'Pliegos Tarifarios (Huechuraba)'!$A:$A,0)))/1.19</f>
        <v>2001.5926218487398</v>
      </c>
      <c r="R400" s="19">
        <f>INDEX('Pliegos Tarifarios (Huechuraba)'!$K:$K,MATCH($B400,'Pliegos Tarifarios (Huechuraba)'!$A:$A,0))</f>
        <v>723.17600000000004</v>
      </c>
      <c r="S400" s="36">
        <f t="shared" si="18"/>
        <v>167300.45347184877</v>
      </c>
      <c r="T400" s="36">
        <f t="shared" si="19"/>
        <v>31787.086159651266</v>
      </c>
      <c r="U400" s="19">
        <v>0</v>
      </c>
      <c r="V400" s="36">
        <f t="shared" si="20"/>
        <v>199087.53963150003</v>
      </c>
    </row>
    <row r="401" spans="1:22" ht="23.4" thickBot="1" x14ac:dyDescent="0.35">
      <c r="A401" s="30" t="s">
        <v>150</v>
      </c>
      <c r="B401" s="31">
        <v>8</v>
      </c>
      <c r="C401" s="32" t="s">
        <v>15</v>
      </c>
      <c r="D401" s="31" t="s">
        <v>80</v>
      </c>
      <c r="E401" s="31" t="s">
        <v>81</v>
      </c>
      <c r="F401" s="32" t="s">
        <v>82</v>
      </c>
      <c r="G401" s="31" t="s">
        <v>19</v>
      </c>
      <c r="H401" s="31">
        <v>710.8</v>
      </c>
      <c r="I401" s="31">
        <v>1.93</v>
      </c>
      <c r="J401" s="31">
        <v>1.92</v>
      </c>
      <c r="K401" s="34">
        <v>0.998</v>
      </c>
      <c r="L401" s="31">
        <v>22.93</v>
      </c>
      <c r="M401" s="19">
        <f>H401*INDEX('Pliegos Tarifarios (Huechuraba)'!$B:$B,MATCH($B401,'Pliegos Tarifarios (Huechuraba)'!$A:$A,0))</f>
        <v>93657.140400000004</v>
      </c>
      <c r="N401" s="19">
        <f>I401*INDEX('Pliegos Tarifarios (Huechuraba)'!$C:$C,MATCH($B401,'Pliegos Tarifarios (Huechuraba)'!$A:$A,0))</f>
        <v>6563.4918900000002</v>
      </c>
      <c r="O401" s="19">
        <f>J401*INDEX('Pliegos Tarifarios (Huechuraba)'!$D:$D,MATCH($B401,'Pliegos Tarifarios (Huechuraba)'!$A:$A,0))</f>
        <v>27770.2176</v>
      </c>
      <c r="P401" s="19">
        <f>H401*INDEX('Pliegos Tarifarios (Huechuraba)'!$E:$E,MATCH($B401,'Pliegos Tarifarios (Huechuraba)'!$A:$A,0))</f>
        <v>9257.4591999999993</v>
      </c>
      <c r="Q401" s="19" cm="1">
        <f t="array" ref="Q401">H401*_xlfn.IFS(H401&lt;=350,INDEX('Pliegos Tarifarios (Huechuraba)'!$F:$F,MATCH($B401,'Pliegos Tarifarios (Huechuraba)'!$A:$A,0)),H401&lt;=500,INDEX('Pliegos Tarifarios (Huechuraba)'!$G:$G,MATCH($B401,'Pliegos Tarifarios (Huechuraba)'!$A:$A,0)),H401&lt;=1000,INDEX('Pliegos Tarifarios (Huechuraba)'!$H:$H,MATCH($B401,'Pliegos Tarifarios (Huechuraba)'!$A:$A,0)),H401&lt;=5000,INDEX('Pliegos Tarifarios (Huechuraba)'!$I:$I,MATCH($B401,'Pliegos Tarifarios (Huechuraba)'!$A:$A,0)),H401&gt;5000,INDEX('Pliegos Tarifarios (Huechuraba)'!$J:$J,MATCH($B401,'Pliegos Tarifarios (Huechuraba)'!$A:$A,0)))/1.19</f>
        <v>1667.0947899159667</v>
      </c>
      <c r="R401" s="19">
        <f>INDEX('Pliegos Tarifarios (Huechuraba)'!$K:$K,MATCH($B401,'Pliegos Tarifarios (Huechuraba)'!$A:$A,0))</f>
        <v>723.17600000000004</v>
      </c>
      <c r="S401" s="36">
        <f t="shared" si="18"/>
        <v>139638.57987991601</v>
      </c>
      <c r="T401" s="36">
        <f t="shared" si="19"/>
        <v>26531.330177184042</v>
      </c>
      <c r="U401" s="19">
        <v>0</v>
      </c>
      <c r="V401" s="36">
        <f t="shared" si="20"/>
        <v>166169.91005710006</v>
      </c>
    </row>
    <row r="402" spans="1:22" ht="23.4" thickBot="1" x14ac:dyDescent="0.35">
      <c r="A402" s="30" t="s">
        <v>150</v>
      </c>
      <c r="B402" s="31">
        <v>8</v>
      </c>
      <c r="C402" s="32" t="s">
        <v>15</v>
      </c>
      <c r="D402" s="31" t="s">
        <v>83</v>
      </c>
      <c r="E402" s="31" t="s">
        <v>81</v>
      </c>
      <c r="F402" s="32" t="s">
        <v>84</v>
      </c>
      <c r="G402" s="31" t="s">
        <v>19</v>
      </c>
      <c r="H402" s="31">
        <v>473.46</v>
      </c>
      <c r="I402" s="31">
        <v>1.26</v>
      </c>
      <c r="J402" s="31">
        <v>1.26</v>
      </c>
      <c r="K402" s="34">
        <v>1</v>
      </c>
      <c r="L402" s="31">
        <v>15.27</v>
      </c>
      <c r="M402" s="19">
        <f>H402*INDEX('Pliegos Tarifarios (Huechuraba)'!$B:$B,MATCH($B402,'Pliegos Tarifarios (Huechuraba)'!$A:$A,0))</f>
        <v>62384.509980000003</v>
      </c>
      <c r="N402" s="19">
        <f>I402*INDEX('Pliegos Tarifarios (Huechuraba)'!$C:$C,MATCH($B402,'Pliegos Tarifarios (Huechuraba)'!$A:$A,0))</f>
        <v>4284.9739799999998</v>
      </c>
      <c r="O402" s="19">
        <f>J402*INDEX('Pliegos Tarifarios (Huechuraba)'!$D:$D,MATCH($B402,'Pliegos Tarifarios (Huechuraba)'!$A:$A,0))</f>
        <v>18224.205300000001</v>
      </c>
      <c r="P402" s="19">
        <f>H402*INDEX('Pliegos Tarifarios (Huechuraba)'!$E:$E,MATCH($B402,'Pliegos Tarifarios (Huechuraba)'!$A:$A,0))</f>
        <v>6166.3430399999997</v>
      </c>
      <c r="Q402" s="19" cm="1">
        <f t="array" ref="Q402">H402*_xlfn.IFS(H402&lt;=350,INDEX('Pliegos Tarifarios (Huechuraba)'!$F:$F,MATCH($B402,'Pliegos Tarifarios (Huechuraba)'!$A:$A,0)),H402&lt;=500,INDEX('Pliegos Tarifarios (Huechuraba)'!$G:$G,MATCH($B402,'Pliegos Tarifarios (Huechuraba)'!$A:$A,0)),H402&lt;=1000,INDEX('Pliegos Tarifarios (Huechuraba)'!$H:$H,MATCH($B402,'Pliegos Tarifarios (Huechuraba)'!$A:$A,0)),H402&lt;=5000,INDEX('Pliegos Tarifarios (Huechuraba)'!$I:$I,MATCH($B402,'Pliegos Tarifarios (Huechuraba)'!$A:$A,0)),H402&gt;5000,INDEX('Pliegos Tarifarios (Huechuraba)'!$J:$J,MATCH($B402,'Pliegos Tarifarios (Huechuraba)'!$A:$A,0)))/1.19</f>
        <v>666.82265546218491</v>
      </c>
      <c r="R402" s="19">
        <f>INDEX('Pliegos Tarifarios (Huechuraba)'!$K:$K,MATCH($B402,'Pliegos Tarifarios (Huechuraba)'!$A:$A,0))</f>
        <v>723.17600000000004</v>
      </c>
      <c r="S402" s="36">
        <f t="shared" si="18"/>
        <v>92450.030955462178</v>
      </c>
      <c r="T402" s="36">
        <f t="shared" si="19"/>
        <v>17565.505881537814</v>
      </c>
      <c r="U402" s="19">
        <v>0</v>
      </c>
      <c r="V402" s="36">
        <f t="shared" si="20"/>
        <v>110015.53683699999</v>
      </c>
    </row>
    <row r="403" spans="1:22" ht="23.4" thickBot="1" x14ac:dyDescent="0.35">
      <c r="A403" s="30" t="s">
        <v>150</v>
      </c>
      <c r="B403" s="31">
        <v>8</v>
      </c>
      <c r="C403" s="32" t="s">
        <v>15</v>
      </c>
      <c r="D403" s="31" t="s">
        <v>85</v>
      </c>
      <c r="E403" s="31" t="s">
        <v>81</v>
      </c>
      <c r="F403" s="32" t="s">
        <v>86</v>
      </c>
      <c r="G403" s="31" t="s">
        <v>19</v>
      </c>
      <c r="H403" s="31">
        <v>569.41999999999996</v>
      </c>
      <c r="I403" s="31">
        <v>1.54</v>
      </c>
      <c r="J403" s="31">
        <v>1.5</v>
      </c>
      <c r="K403" s="34">
        <v>0.97599999999999998</v>
      </c>
      <c r="L403" s="31">
        <v>18.37</v>
      </c>
      <c r="M403" s="19">
        <f>H403*INDEX('Pliegos Tarifarios (Huechuraba)'!$B:$B,MATCH($B403,'Pliegos Tarifarios (Huechuraba)'!$A:$A,0))</f>
        <v>75028.487460000004</v>
      </c>
      <c r="N403" s="19">
        <f>I403*INDEX('Pliegos Tarifarios (Huechuraba)'!$C:$C,MATCH($B403,'Pliegos Tarifarios (Huechuraba)'!$A:$A,0))</f>
        <v>5237.1904199999999</v>
      </c>
      <c r="O403" s="19">
        <f>J403*INDEX('Pliegos Tarifarios (Huechuraba)'!$D:$D,MATCH($B403,'Pliegos Tarifarios (Huechuraba)'!$A:$A,0))</f>
        <v>21695.482500000002</v>
      </c>
      <c r="P403" s="19">
        <f>H403*INDEX('Pliegos Tarifarios (Huechuraba)'!$E:$E,MATCH($B403,'Pliegos Tarifarios (Huechuraba)'!$A:$A,0))</f>
        <v>7416.1260799999991</v>
      </c>
      <c r="Q403" s="19" cm="1">
        <f t="array" ref="Q403">H403*_xlfn.IFS(H403&lt;=350,INDEX('Pliegos Tarifarios (Huechuraba)'!$F:$F,MATCH($B403,'Pliegos Tarifarios (Huechuraba)'!$A:$A,0)),H403&lt;=500,INDEX('Pliegos Tarifarios (Huechuraba)'!$G:$G,MATCH($B403,'Pliegos Tarifarios (Huechuraba)'!$A:$A,0)),H403&lt;=1000,INDEX('Pliegos Tarifarios (Huechuraba)'!$H:$H,MATCH($B403,'Pliegos Tarifarios (Huechuraba)'!$A:$A,0)),H403&lt;=5000,INDEX('Pliegos Tarifarios (Huechuraba)'!$I:$I,MATCH($B403,'Pliegos Tarifarios (Huechuraba)'!$A:$A,0)),H403&gt;5000,INDEX('Pliegos Tarifarios (Huechuraba)'!$J:$J,MATCH($B403,'Pliegos Tarifarios (Huechuraba)'!$A:$A,0)))/1.19</f>
        <v>1335.5052268907564</v>
      </c>
      <c r="R403" s="19">
        <f>INDEX('Pliegos Tarifarios (Huechuraba)'!$K:$K,MATCH($B403,'Pliegos Tarifarios (Huechuraba)'!$A:$A,0))</f>
        <v>723.17600000000004</v>
      </c>
      <c r="S403" s="36">
        <f t="shared" si="18"/>
        <v>111435.96768689077</v>
      </c>
      <c r="T403" s="36">
        <f t="shared" si="19"/>
        <v>21172.833860509247</v>
      </c>
      <c r="U403" s="19">
        <v>0</v>
      </c>
      <c r="V403" s="36">
        <f t="shared" si="20"/>
        <v>132608.80154740001</v>
      </c>
    </row>
    <row r="404" spans="1:22" ht="23.4" thickBot="1" x14ac:dyDescent="0.35">
      <c r="A404" s="30" t="s">
        <v>150</v>
      </c>
      <c r="B404" s="31">
        <v>8</v>
      </c>
      <c r="C404" s="32" t="s">
        <v>15</v>
      </c>
      <c r="D404" s="31" t="s">
        <v>87</v>
      </c>
      <c r="E404" s="31" t="s">
        <v>81</v>
      </c>
      <c r="F404" s="32" t="s">
        <v>88</v>
      </c>
      <c r="G404" s="31" t="s">
        <v>19</v>
      </c>
      <c r="H404" s="31">
        <v>569.29</v>
      </c>
      <c r="I404" s="31">
        <v>1.52</v>
      </c>
      <c r="J404" s="31">
        <v>1.52</v>
      </c>
      <c r="K404" s="34">
        <v>1</v>
      </c>
      <c r="L404" s="31">
        <v>18.36</v>
      </c>
      <c r="M404" s="19">
        <f>H404*INDEX('Pliegos Tarifarios (Huechuraba)'!$B:$B,MATCH($B404,'Pliegos Tarifarios (Huechuraba)'!$A:$A,0))</f>
        <v>75011.358269999997</v>
      </c>
      <c r="N404" s="19">
        <f>I404*INDEX('Pliegos Tarifarios (Huechuraba)'!$C:$C,MATCH($B404,'Pliegos Tarifarios (Huechuraba)'!$A:$A,0))</f>
        <v>5169.1749600000003</v>
      </c>
      <c r="O404" s="19">
        <f>J404*INDEX('Pliegos Tarifarios (Huechuraba)'!$D:$D,MATCH($B404,'Pliegos Tarifarios (Huechuraba)'!$A:$A,0))</f>
        <v>21984.7556</v>
      </c>
      <c r="P404" s="19">
        <f>H404*INDEX('Pliegos Tarifarios (Huechuraba)'!$E:$E,MATCH($B404,'Pliegos Tarifarios (Huechuraba)'!$A:$A,0))</f>
        <v>7414.4329599999992</v>
      </c>
      <c r="Q404" s="19" cm="1">
        <f t="array" ref="Q404">H404*_xlfn.IFS(H404&lt;=350,INDEX('Pliegos Tarifarios (Huechuraba)'!$F:$F,MATCH($B404,'Pliegos Tarifarios (Huechuraba)'!$A:$A,0)),H404&lt;=500,INDEX('Pliegos Tarifarios (Huechuraba)'!$G:$G,MATCH($B404,'Pliegos Tarifarios (Huechuraba)'!$A:$A,0)),H404&lt;=1000,INDEX('Pliegos Tarifarios (Huechuraba)'!$H:$H,MATCH($B404,'Pliegos Tarifarios (Huechuraba)'!$A:$A,0)),H404&lt;=5000,INDEX('Pliegos Tarifarios (Huechuraba)'!$I:$I,MATCH($B404,'Pliegos Tarifarios (Huechuraba)'!$A:$A,0)),H404&gt;5000,INDEX('Pliegos Tarifarios (Huechuraba)'!$J:$J,MATCH($B404,'Pliegos Tarifarios (Huechuraba)'!$A:$A,0)))/1.19</f>
        <v>1335.2003277310926</v>
      </c>
      <c r="R404" s="19">
        <f>INDEX('Pliegos Tarifarios (Huechuraba)'!$K:$K,MATCH($B404,'Pliegos Tarifarios (Huechuraba)'!$A:$A,0))</f>
        <v>723.17600000000004</v>
      </c>
      <c r="S404" s="36">
        <f t="shared" si="18"/>
        <v>111638.0981177311</v>
      </c>
      <c r="T404" s="36">
        <f t="shared" si="19"/>
        <v>21211.238642368909</v>
      </c>
      <c r="U404" s="19">
        <v>0</v>
      </c>
      <c r="V404" s="36">
        <f t="shared" si="20"/>
        <v>132849.33676010001</v>
      </c>
    </row>
    <row r="405" spans="1:22" ht="23.4" thickBot="1" x14ac:dyDescent="0.35">
      <c r="A405" s="30" t="s">
        <v>150</v>
      </c>
      <c r="B405" s="31">
        <v>8</v>
      </c>
      <c r="C405" s="32" t="s">
        <v>15</v>
      </c>
      <c r="D405" s="31" t="s">
        <v>89</v>
      </c>
      <c r="E405" s="31" t="s">
        <v>81</v>
      </c>
      <c r="F405" s="32" t="s">
        <v>90</v>
      </c>
      <c r="G405" s="31" t="s">
        <v>19</v>
      </c>
      <c r="H405" s="31">
        <v>569.99</v>
      </c>
      <c r="I405" s="31">
        <v>1.5</v>
      </c>
      <c r="J405" s="31">
        <v>1.5</v>
      </c>
      <c r="K405" s="34">
        <v>0.995</v>
      </c>
      <c r="L405" s="31">
        <v>18.39</v>
      </c>
      <c r="M405" s="19">
        <f>H405*INDEX('Pliegos Tarifarios (Huechuraba)'!$B:$B,MATCH($B405,'Pliegos Tarifarios (Huechuraba)'!$A:$A,0))</f>
        <v>75103.592369999998</v>
      </c>
      <c r="N405" s="19">
        <f>I405*INDEX('Pliegos Tarifarios (Huechuraba)'!$C:$C,MATCH($B405,'Pliegos Tarifarios (Huechuraba)'!$A:$A,0))</f>
        <v>5101.1594999999998</v>
      </c>
      <c r="O405" s="19">
        <f>J405*INDEX('Pliegos Tarifarios (Huechuraba)'!$D:$D,MATCH($B405,'Pliegos Tarifarios (Huechuraba)'!$A:$A,0))</f>
        <v>21695.482500000002</v>
      </c>
      <c r="P405" s="19">
        <f>H405*INDEX('Pliegos Tarifarios (Huechuraba)'!$E:$E,MATCH($B405,'Pliegos Tarifarios (Huechuraba)'!$A:$A,0))</f>
        <v>7423.5497599999999</v>
      </c>
      <c r="Q405" s="19" cm="1">
        <f t="array" ref="Q405">H405*_xlfn.IFS(H405&lt;=350,INDEX('Pliegos Tarifarios (Huechuraba)'!$F:$F,MATCH($B405,'Pliegos Tarifarios (Huechuraba)'!$A:$A,0)),H405&lt;=500,INDEX('Pliegos Tarifarios (Huechuraba)'!$G:$G,MATCH($B405,'Pliegos Tarifarios (Huechuraba)'!$A:$A,0)),H405&lt;=1000,INDEX('Pliegos Tarifarios (Huechuraba)'!$H:$H,MATCH($B405,'Pliegos Tarifarios (Huechuraba)'!$A:$A,0)),H405&lt;=5000,INDEX('Pliegos Tarifarios (Huechuraba)'!$I:$I,MATCH($B405,'Pliegos Tarifarios (Huechuraba)'!$A:$A,0)),H405&gt;5000,INDEX('Pliegos Tarifarios (Huechuraba)'!$J:$J,MATCH($B405,'Pliegos Tarifarios (Huechuraba)'!$A:$A,0)))/1.19</f>
        <v>1336.8420924369752</v>
      </c>
      <c r="R405" s="19">
        <f>INDEX('Pliegos Tarifarios (Huechuraba)'!$K:$K,MATCH($B405,'Pliegos Tarifarios (Huechuraba)'!$A:$A,0))</f>
        <v>723.17600000000004</v>
      </c>
      <c r="S405" s="36">
        <f t="shared" si="18"/>
        <v>111383.80222243696</v>
      </c>
      <c r="T405" s="36">
        <f t="shared" si="19"/>
        <v>21162.922422263022</v>
      </c>
      <c r="U405" s="19">
        <v>0</v>
      </c>
      <c r="V405" s="36">
        <f t="shared" si="20"/>
        <v>132546.72464469998</v>
      </c>
    </row>
    <row r="406" spans="1:22" ht="23.4" thickBot="1" x14ac:dyDescent="0.35">
      <c r="A406" s="30" t="s">
        <v>150</v>
      </c>
      <c r="B406" s="31">
        <v>8</v>
      </c>
      <c r="C406" s="32" t="s">
        <v>15</v>
      </c>
      <c r="D406" s="31" t="s">
        <v>91</v>
      </c>
      <c r="E406" s="31" t="s">
        <v>81</v>
      </c>
      <c r="F406" s="32" t="s">
        <v>92</v>
      </c>
      <c r="G406" s="31" t="s">
        <v>19</v>
      </c>
      <c r="H406" s="31">
        <v>710.47</v>
      </c>
      <c r="I406" s="31">
        <v>1.89</v>
      </c>
      <c r="J406" s="31">
        <v>1.89</v>
      </c>
      <c r="K406" s="34">
        <v>1</v>
      </c>
      <c r="L406" s="31">
        <v>22.92</v>
      </c>
      <c r="M406" s="19">
        <f>H406*INDEX('Pliegos Tarifarios (Huechuraba)'!$B:$B,MATCH($B406,'Pliegos Tarifarios (Huechuraba)'!$A:$A,0))</f>
        <v>93613.658610000013</v>
      </c>
      <c r="N406" s="19">
        <f>I406*INDEX('Pliegos Tarifarios (Huechuraba)'!$C:$C,MATCH($B406,'Pliegos Tarifarios (Huechuraba)'!$A:$A,0))</f>
        <v>6427.4609700000001</v>
      </c>
      <c r="O406" s="19">
        <f>J406*INDEX('Pliegos Tarifarios (Huechuraba)'!$D:$D,MATCH($B406,'Pliegos Tarifarios (Huechuraba)'!$A:$A,0))</f>
        <v>27336.307949999999</v>
      </c>
      <c r="P406" s="19">
        <f>H406*INDEX('Pliegos Tarifarios (Huechuraba)'!$E:$E,MATCH($B406,'Pliegos Tarifarios (Huechuraba)'!$A:$A,0))</f>
        <v>9253.1612800000003</v>
      </c>
      <c r="Q406" s="19" cm="1">
        <f t="array" ref="Q406">H406*_xlfn.IFS(H406&lt;=350,INDEX('Pliegos Tarifarios (Huechuraba)'!$F:$F,MATCH($B406,'Pliegos Tarifarios (Huechuraba)'!$A:$A,0)),H406&lt;=500,INDEX('Pliegos Tarifarios (Huechuraba)'!$G:$G,MATCH($B406,'Pliegos Tarifarios (Huechuraba)'!$A:$A,0)),H406&lt;=1000,INDEX('Pliegos Tarifarios (Huechuraba)'!$H:$H,MATCH($B406,'Pliegos Tarifarios (Huechuraba)'!$A:$A,0)),H406&lt;=5000,INDEX('Pliegos Tarifarios (Huechuraba)'!$I:$I,MATCH($B406,'Pliegos Tarifarios (Huechuraba)'!$A:$A,0)),H406&gt;5000,INDEX('Pliegos Tarifarios (Huechuraba)'!$J:$J,MATCH($B406,'Pliegos Tarifarios (Huechuraba)'!$A:$A,0)))/1.19</f>
        <v>1666.3208151260508</v>
      </c>
      <c r="R406" s="19">
        <f>INDEX('Pliegos Tarifarios (Huechuraba)'!$K:$K,MATCH($B406,'Pliegos Tarifarios (Huechuraba)'!$A:$A,0))</f>
        <v>723.17600000000004</v>
      </c>
      <c r="S406" s="36">
        <f t="shared" si="18"/>
        <v>139020.08562512608</v>
      </c>
      <c r="T406" s="36">
        <f t="shared" si="19"/>
        <v>26413.816268773957</v>
      </c>
      <c r="U406" s="19">
        <v>0</v>
      </c>
      <c r="V406" s="36">
        <f t="shared" si="20"/>
        <v>165433.90189390004</v>
      </c>
    </row>
    <row r="407" spans="1:22" ht="23.4" thickBot="1" x14ac:dyDescent="0.35">
      <c r="A407" s="30" t="s">
        <v>150</v>
      </c>
      <c r="B407" s="31">
        <v>8</v>
      </c>
      <c r="C407" s="32" t="s">
        <v>15</v>
      </c>
      <c r="D407" s="31" t="s">
        <v>93</v>
      </c>
      <c r="E407" s="31" t="s">
        <v>94</v>
      </c>
      <c r="F407" s="32" t="s">
        <v>95</v>
      </c>
      <c r="G407" s="31" t="s">
        <v>19</v>
      </c>
      <c r="H407" s="31">
        <v>568.9</v>
      </c>
      <c r="I407" s="31">
        <v>1.53</v>
      </c>
      <c r="J407" s="31">
        <v>1.5</v>
      </c>
      <c r="K407" s="34">
        <v>0.97599999999999998</v>
      </c>
      <c r="L407" s="31">
        <v>18.350000000000001</v>
      </c>
      <c r="M407" s="19">
        <f>H407*INDEX('Pliegos Tarifarios (Huechuraba)'!$B:$B,MATCH($B407,'Pliegos Tarifarios (Huechuraba)'!$A:$A,0))</f>
        <v>74959.970700000005</v>
      </c>
      <c r="N407" s="19">
        <f>I407*INDEX('Pliegos Tarifarios (Huechuraba)'!$C:$C,MATCH($B407,'Pliegos Tarifarios (Huechuraba)'!$A:$A,0))</f>
        <v>5203.1826900000005</v>
      </c>
      <c r="O407" s="19">
        <f>J407*INDEX('Pliegos Tarifarios (Huechuraba)'!$D:$D,MATCH($B407,'Pliegos Tarifarios (Huechuraba)'!$A:$A,0))</f>
        <v>21695.482500000002</v>
      </c>
      <c r="P407" s="19">
        <f>H407*INDEX('Pliegos Tarifarios (Huechuraba)'!$E:$E,MATCH($B407,'Pliegos Tarifarios (Huechuraba)'!$A:$A,0))</f>
        <v>7409.3535999999995</v>
      </c>
      <c r="Q407" s="19" cm="1">
        <f t="array" ref="Q407">H407*_xlfn.IFS(H407&lt;=350,INDEX('Pliegos Tarifarios (Huechuraba)'!$F:$F,MATCH($B407,'Pliegos Tarifarios (Huechuraba)'!$A:$A,0)),H407&lt;=500,INDEX('Pliegos Tarifarios (Huechuraba)'!$G:$G,MATCH($B407,'Pliegos Tarifarios (Huechuraba)'!$A:$A,0)),H407&lt;=1000,INDEX('Pliegos Tarifarios (Huechuraba)'!$H:$H,MATCH($B407,'Pliegos Tarifarios (Huechuraba)'!$A:$A,0)),H407&lt;=5000,INDEX('Pliegos Tarifarios (Huechuraba)'!$I:$I,MATCH($B407,'Pliegos Tarifarios (Huechuraba)'!$A:$A,0)),H407&gt;5000,INDEX('Pliegos Tarifarios (Huechuraba)'!$J:$J,MATCH($B407,'Pliegos Tarifarios (Huechuraba)'!$A:$A,0)))/1.19</f>
        <v>1334.2856302521011</v>
      </c>
      <c r="R407" s="19">
        <f>INDEX('Pliegos Tarifarios (Huechuraba)'!$K:$K,MATCH($B407,'Pliegos Tarifarios (Huechuraba)'!$A:$A,0))</f>
        <v>723.17600000000004</v>
      </c>
      <c r="S407" s="36">
        <f t="shared" si="18"/>
        <v>111325.45112025211</v>
      </c>
      <c r="T407" s="36">
        <f t="shared" si="19"/>
        <v>21151.8357128479</v>
      </c>
      <c r="U407" s="19">
        <v>0</v>
      </c>
      <c r="V407" s="36">
        <f t="shared" si="20"/>
        <v>132477.28683310002</v>
      </c>
    </row>
    <row r="408" spans="1:22" ht="23.4" thickBot="1" x14ac:dyDescent="0.35">
      <c r="A408" s="30" t="s">
        <v>150</v>
      </c>
      <c r="B408" s="31">
        <v>8</v>
      </c>
      <c r="C408" s="32" t="s">
        <v>15</v>
      </c>
      <c r="D408" s="31" t="s">
        <v>96</v>
      </c>
      <c r="E408" s="31" t="s">
        <v>97</v>
      </c>
      <c r="F408" s="32" t="s">
        <v>98</v>
      </c>
      <c r="G408" s="31" t="s">
        <v>19</v>
      </c>
      <c r="H408" s="31">
        <v>854.03</v>
      </c>
      <c r="I408" s="31">
        <v>2.33</v>
      </c>
      <c r="J408" s="31">
        <v>2.31</v>
      </c>
      <c r="K408" s="34">
        <v>0.98899999999999999</v>
      </c>
      <c r="L408" s="31">
        <v>27.55</v>
      </c>
      <c r="M408" s="19">
        <f>H408*INDEX('Pliegos Tarifarios (Huechuraba)'!$B:$B,MATCH($B408,'Pliegos Tarifarios (Huechuraba)'!$A:$A,0))</f>
        <v>112529.55489</v>
      </c>
      <c r="N408" s="19">
        <f>I408*INDEX('Pliegos Tarifarios (Huechuraba)'!$C:$C,MATCH($B408,'Pliegos Tarifarios (Huechuraba)'!$A:$A,0))</f>
        <v>7923.8010900000008</v>
      </c>
      <c r="O408" s="19">
        <f>J408*INDEX('Pliegos Tarifarios (Huechuraba)'!$D:$D,MATCH($B408,'Pliegos Tarifarios (Huechuraba)'!$A:$A,0))</f>
        <v>33411.04305</v>
      </c>
      <c r="P408" s="19">
        <f>H408*INDEX('Pliegos Tarifarios (Huechuraba)'!$E:$E,MATCH($B408,'Pliegos Tarifarios (Huechuraba)'!$A:$A,0))</f>
        <v>11122.886719999999</v>
      </c>
      <c r="Q408" s="19" cm="1">
        <f t="array" ref="Q408">H408*_xlfn.IFS(H408&lt;=350,INDEX('Pliegos Tarifarios (Huechuraba)'!$F:$F,MATCH($B408,'Pliegos Tarifarios (Huechuraba)'!$A:$A,0)),H408&lt;=500,INDEX('Pliegos Tarifarios (Huechuraba)'!$G:$G,MATCH($B408,'Pliegos Tarifarios (Huechuraba)'!$A:$A,0)),H408&lt;=1000,INDEX('Pliegos Tarifarios (Huechuraba)'!$H:$H,MATCH($B408,'Pliegos Tarifarios (Huechuraba)'!$A:$A,0)),H408&lt;=5000,INDEX('Pliegos Tarifarios (Huechuraba)'!$I:$I,MATCH($B408,'Pliegos Tarifarios (Huechuraba)'!$A:$A,0)),H408&gt;5000,INDEX('Pliegos Tarifarios (Huechuraba)'!$J:$J,MATCH($B408,'Pliegos Tarifarios (Huechuraba)'!$A:$A,0)))/1.19</f>
        <v>2003.0233025210089</v>
      </c>
      <c r="R408" s="19">
        <f>INDEX('Pliegos Tarifarios (Huechuraba)'!$K:$K,MATCH($B408,'Pliegos Tarifarios (Huechuraba)'!$A:$A,0))</f>
        <v>723.17600000000004</v>
      </c>
      <c r="S408" s="36">
        <f t="shared" si="18"/>
        <v>167713.48505252102</v>
      </c>
      <c r="T408" s="36">
        <f t="shared" si="19"/>
        <v>31865.562159978996</v>
      </c>
      <c r="U408" s="19">
        <v>0</v>
      </c>
      <c r="V408" s="36">
        <f t="shared" si="20"/>
        <v>199579.04721250001</v>
      </c>
    </row>
    <row r="409" spans="1:22" ht="23.4" thickBot="1" x14ac:dyDescent="0.35">
      <c r="A409" s="30" t="s">
        <v>150</v>
      </c>
      <c r="B409" s="31">
        <v>8</v>
      </c>
      <c r="C409" s="32" t="s">
        <v>15</v>
      </c>
      <c r="D409" s="31" t="s">
        <v>99</v>
      </c>
      <c r="E409" s="31" t="s">
        <v>94</v>
      </c>
      <c r="F409" s="32" t="s">
        <v>100</v>
      </c>
      <c r="G409" s="31" t="s">
        <v>19</v>
      </c>
      <c r="H409" s="31">
        <v>853.01</v>
      </c>
      <c r="I409" s="31">
        <v>2.42</v>
      </c>
      <c r="J409" s="31">
        <v>2.31</v>
      </c>
      <c r="K409" s="34">
        <v>0.95199999999999996</v>
      </c>
      <c r="L409" s="31">
        <v>27.52</v>
      </c>
      <c r="M409" s="19">
        <f>H409*INDEX('Pliegos Tarifarios (Huechuraba)'!$B:$B,MATCH($B409,'Pliegos Tarifarios (Huechuraba)'!$A:$A,0))</f>
        <v>112395.15663</v>
      </c>
      <c r="N409" s="19">
        <f>I409*INDEX('Pliegos Tarifarios (Huechuraba)'!$C:$C,MATCH($B409,'Pliegos Tarifarios (Huechuraba)'!$A:$A,0))</f>
        <v>8229.8706600000005</v>
      </c>
      <c r="O409" s="19">
        <f>J409*INDEX('Pliegos Tarifarios (Huechuraba)'!$D:$D,MATCH($B409,'Pliegos Tarifarios (Huechuraba)'!$A:$A,0))</f>
        <v>33411.04305</v>
      </c>
      <c r="P409" s="19">
        <f>H409*INDEX('Pliegos Tarifarios (Huechuraba)'!$E:$E,MATCH($B409,'Pliegos Tarifarios (Huechuraba)'!$A:$A,0))</f>
        <v>11109.602239999998</v>
      </c>
      <c r="Q409" s="19" cm="1">
        <f t="array" ref="Q409">H409*_xlfn.IFS(H409&lt;=350,INDEX('Pliegos Tarifarios (Huechuraba)'!$F:$F,MATCH($B409,'Pliegos Tarifarios (Huechuraba)'!$A:$A,0)),H409&lt;=500,INDEX('Pliegos Tarifarios (Huechuraba)'!$G:$G,MATCH($B409,'Pliegos Tarifarios (Huechuraba)'!$A:$A,0)),H409&lt;=1000,INDEX('Pliegos Tarifarios (Huechuraba)'!$H:$H,MATCH($B409,'Pliegos Tarifarios (Huechuraba)'!$A:$A,0)),H409&lt;=5000,INDEX('Pliegos Tarifarios (Huechuraba)'!$I:$I,MATCH($B409,'Pliegos Tarifarios (Huechuraba)'!$A:$A,0)),H409&gt;5000,INDEX('Pliegos Tarifarios (Huechuraba)'!$J:$J,MATCH($B409,'Pliegos Tarifarios (Huechuraba)'!$A:$A,0)))/1.19</f>
        <v>2000.631016806723</v>
      </c>
      <c r="R409" s="19">
        <f>INDEX('Pliegos Tarifarios (Huechuraba)'!$K:$K,MATCH($B409,'Pliegos Tarifarios (Huechuraba)'!$A:$A,0))</f>
        <v>723.17600000000004</v>
      </c>
      <c r="S409" s="36">
        <f t="shared" si="18"/>
        <v>167869.47959680675</v>
      </c>
      <c r="T409" s="36">
        <f t="shared" si="19"/>
        <v>31895.201123393283</v>
      </c>
      <c r="U409" s="19">
        <v>0</v>
      </c>
      <c r="V409" s="36">
        <f t="shared" si="20"/>
        <v>199764.68072020003</v>
      </c>
    </row>
    <row r="410" spans="1:22" ht="23.4" thickBot="1" x14ac:dyDescent="0.35">
      <c r="A410" s="30" t="s">
        <v>150</v>
      </c>
      <c r="B410" s="31">
        <v>8</v>
      </c>
      <c r="C410" s="32" t="s">
        <v>15</v>
      </c>
      <c r="D410" s="31" t="s">
        <v>101</v>
      </c>
      <c r="E410" s="31" t="s">
        <v>102</v>
      </c>
      <c r="F410" s="32" t="s">
        <v>103</v>
      </c>
      <c r="G410" s="31" t="s">
        <v>19</v>
      </c>
      <c r="H410" s="33">
        <v>2279.34</v>
      </c>
      <c r="I410" s="31">
        <v>6.08</v>
      </c>
      <c r="J410" s="31">
        <v>6.08</v>
      </c>
      <c r="K410" s="34">
        <v>1</v>
      </c>
      <c r="L410" s="31">
        <v>73.53</v>
      </c>
      <c r="M410" s="19">
        <f>H410*INDEX('Pliegos Tarifarios (Huechuraba)'!$B:$B,MATCH($B410,'Pliegos Tarifarios (Huechuraba)'!$A:$A,0))</f>
        <v>300332.67642000003</v>
      </c>
      <c r="N410" s="19">
        <f>I410*INDEX('Pliegos Tarifarios (Huechuraba)'!$C:$C,MATCH($B410,'Pliegos Tarifarios (Huechuraba)'!$A:$A,0))</f>
        <v>20676.699840000001</v>
      </c>
      <c r="O410" s="19">
        <f>J410*INDEX('Pliegos Tarifarios (Huechuraba)'!$D:$D,MATCH($B410,'Pliegos Tarifarios (Huechuraba)'!$A:$A,0))</f>
        <v>87939.022400000002</v>
      </c>
      <c r="P410" s="19">
        <f>H410*INDEX('Pliegos Tarifarios (Huechuraba)'!$E:$E,MATCH($B410,'Pliegos Tarifarios (Huechuraba)'!$A:$A,0))</f>
        <v>29686.124159999999</v>
      </c>
      <c r="Q410" s="19" cm="1">
        <f t="array" ref="Q410">H410*_xlfn.IFS(H410&lt;=350,INDEX('Pliegos Tarifarios (Huechuraba)'!$F:$F,MATCH($B410,'Pliegos Tarifarios (Huechuraba)'!$A:$A,0)),H410&lt;=500,INDEX('Pliegos Tarifarios (Huechuraba)'!$G:$G,MATCH($B410,'Pliegos Tarifarios (Huechuraba)'!$A:$A,0)),H410&lt;=1000,INDEX('Pliegos Tarifarios (Huechuraba)'!$H:$H,MATCH($B410,'Pliegos Tarifarios (Huechuraba)'!$A:$A,0)),H410&lt;=5000,INDEX('Pliegos Tarifarios (Huechuraba)'!$I:$I,MATCH($B410,'Pliegos Tarifarios (Huechuraba)'!$A:$A,0)),H410&gt;5000,INDEX('Pliegos Tarifarios (Huechuraba)'!$J:$J,MATCH($B410,'Pliegos Tarifarios (Huechuraba)'!$A:$A,0)))/1.19</f>
        <v>6839.9354117647063</v>
      </c>
      <c r="R410" s="19">
        <f>INDEX('Pliegos Tarifarios (Huechuraba)'!$K:$K,MATCH($B410,'Pliegos Tarifarios (Huechuraba)'!$A:$A,0))</f>
        <v>723.17600000000004</v>
      </c>
      <c r="S410" s="36">
        <f t="shared" si="18"/>
        <v>446197.63423176476</v>
      </c>
      <c r="T410" s="36">
        <f t="shared" si="19"/>
        <v>84777.550504035302</v>
      </c>
      <c r="U410" s="19">
        <v>0</v>
      </c>
      <c r="V410" s="36">
        <f t="shared" si="20"/>
        <v>530975.18473580002</v>
      </c>
    </row>
    <row r="411" spans="1:22" ht="23.4" thickBot="1" x14ac:dyDescent="0.35">
      <c r="A411" s="30" t="s">
        <v>150</v>
      </c>
      <c r="B411" s="31">
        <v>8</v>
      </c>
      <c r="C411" s="32" t="s">
        <v>15</v>
      </c>
      <c r="D411" s="31" t="s">
        <v>104</v>
      </c>
      <c r="E411" s="31" t="s">
        <v>105</v>
      </c>
      <c r="F411" s="32" t="s">
        <v>106</v>
      </c>
      <c r="G411" s="31" t="s">
        <v>19</v>
      </c>
      <c r="H411" s="33">
        <v>1705.25</v>
      </c>
      <c r="I411" s="31">
        <v>4.66</v>
      </c>
      <c r="J411" s="31">
        <v>4.66</v>
      </c>
      <c r="K411" s="34">
        <v>1</v>
      </c>
      <c r="L411" s="31">
        <v>55.01</v>
      </c>
      <c r="M411" s="19">
        <f>H411*INDEX('Pliegos Tarifarios (Huechuraba)'!$B:$B,MATCH($B411,'Pliegos Tarifarios (Huechuraba)'!$A:$A,0))</f>
        <v>224688.85575000002</v>
      </c>
      <c r="N411" s="19">
        <f>I411*INDEX('Pliegos Tarifarios (Huechuraba)'!$C:$C,MATCH($B411,'Pliegos Tarifarios (Huechuraba)'!$A:$A,0))</f>
        <v>15847.602180000002</v>
      </c>
      <c r="O411" s="19">
        <f>J411*INDEX('Pliegos Tarifarios (Huechuraba)'!$D:$D,MATCH($B411,'Pliegos Tarifarios (Huechuraba)'!$A:$A,0))</f>
        <v>67400.632300000012</v>
      </c>
      <c r="P411" s="19">
        <f>H411*INDEX('Pliegos Tarifarios (Huechuraba)'!$E:$E,MATCH($B411,'Pliegos Tarifarios (Huechuraba)'!$A:$A,0))</f>
        <v>22209.175999999999</v>
      </c>
      <c r="Q411" s="19" cm="1">
        <f t="array" ref="Q411">H411*_xlfn.IFS(H411&lt;=350,INDEX('Pliegos Tarifarios (Huechuraba)'!$F:$F,MATCH($B411,'Pliegos Tarifarios (Huechuraba)'!$A:$A,0)),H411&lt;=500,INDEX('Pliegos Tarifarios (Huechuraba)'!$G:$G,MATCH($B411,'Pliegos Tarifarios (Huechuraba)'!$A:$A,0)),H411&lt;=1000,INDEX('Pliegos Tarifarios (Huechuraba)'!$H:$H,MATCH($B411,'Pliegos Tarifarios (Huechuraba)'!$A:$A,0)),H411&lt;=5000,INDEX('Pliegos Tarifarios (Huechuraba)'!$I:$I,MATCH($B411,'Pliegos Tarifarios (Huechuraba)'!$A:$A,0)),H411&gt;5000,INDEX('Pliegos Tarifarios (Huechuraba)'!$J:$J,MATCH($B411,'Pliegos Tarifarios (Huechuraba)'!$A:$A,0)))/1.19</f>
        <v>5117.1829831932773</v>
      </c>
      <c r="R411" s="19">
        <f>INDEX('Pliegos Tarifarios (Huechuraba)'!$K:$K,MATCH($B411,'Pliegos Tarifarios (Huechuraba)'!$A:$A,0))</f>
        <v>723.17600000000004</v>
      </c>
      <c r="S411" s="36">
        <f t="shared" si="18"/>
        <v>335986.62521319324</v>
      </c>
      <c r="T411" s="36">
        <f t="shared" si="19"/>
        <v>63837.458790506716</v>
      </c>
      <c r="U411" s="19">
        <v>0</v>
      </c>
      <c r="V411" s="36">
        <f t="shared" si="20"/>
        <v>399824.08400369994</v>
      </c>
    </row>
    <row r="412" spans="1:22" ht="23.4" thickBot="1" x14ac:dyDescent="0.35">
      <c r="A412" s="30" t="s">
        <v>150</v>
      </c>
      <c r="B412" s="31">
        <v>8</v>
      </c>
      <c r="C412" s="32" t="s">
        <v>15</v>
      </c>
      <c r="D412" s="31" t="s">
        <v>107</v>
      </c>
      <c r="E412" s="31" t="s">
        <v>108</v>
      </c>
      <c r="F412" s="32" t="s">
        <v>109</v>
      </c>
      <c r="G412" s="31" t="s">
        <v>33</v>
      </c>
      <c r="H412" s="31">
        <v>569.83000000000004</v>
      </c>
      <c r="I412" s="31">
        <v>1.56</v>
      </c>
      <c r="J412" s="31">
        <v>1.51</v>
      </c>
      <c r="K412" s="34">
        <v>0.96799999999999997</v>
      </c>
      <c r="L412" s="31">
        <v>18.38</v>
      </c>
      <c r="M412" s="19">
        <f>H412*INDEX('Pliegos Tarifarios (Huechuraba)'!$B:$B,MATCH($B412,'Pliegos Tarifarios (Huechuraba)'!$A:$A,0))</f>
        <v>75082.510290000006</v>
      </c>
      <c r="N412" s="19">
        <f>I412*INDEX('Pliegos Tarifarios (Huechuraba)'!$C:$C,MATCH($B412,'Pliegos Tarifarios (Huechuraba)'!$A:$A,0))</f>
        <v>5305.2058800000004</v>
      </c>
      <c r="O412" s="19">
        <f>J412*INDEX('Pliegos Tarifarios (Huechuraba)'!$D:$D,MATCH($B412,'Pliegos Tarifarios (Huechuraba)'!$A:$A,0))</f>
        <v>21840.119050000001</v>
      </c>
      <c r="P412" s="19">
        <f>H412*INDEX('Pliegos Tarifarios (Huechuraba)'!$E:$E,MATCH($B412,'Pliegos Tarifarios (Huechuraba)'!$A:$A,0))</f>
        <v>7421.4659199999996</v>
      </c>
      <c r="Q412" s="19" cm="1">
        <f t="array" ref="Q412">H412*_xlfn.IFS(H412&lt;=350,INDEX('Pliegos Tarifarios (Huechuraba)'!$F:$F,MATCH($B412,'Pliegos Tarifarios (Huechuraba)'!$A:$A,0)),H412&lt;=500,INDEX('Pliegos Tarifarios (Huechuraba)'!$G:$G,MATCH($B412,'Pliegos Tarifarios (Huechuraba)'!$A:$A,0)),H412&lt;=1000,INDEX('Pliegos Tarifarios (Huechuraba)'!$H:$H,MATCH($B412,'Pliegos Tarifarios (Huechuraba)'!$A:$A,0)),H412&lt;=5000,INDEX('Pliegos Tarifarios (Huechuraba)'!$I:$I,MATCH($B412,'Pliegos Tarifarios (Huechuraba)'!$A:$A,0)),H412&gt;5000,INDEX('Pliegos Tarifarios (Huechuraba)'!$J:$J,MATCH($B412,'Pliegos Tarifarios (Huechuraba)'!$A:$A,0)))/1.19</f>
        <v>1336.4668319327734</v>
      </c>
      <c r="R412" s="19">
        <f>INDEX('Pliegos Tarifarios (Huechuraba)'!$K:$K,MATCH($B412,'Pliegos Tarifarios (Huechuraba)'!$A:$A,0))</f>
        <v>723.17600000000004</v>
      </c>
      <c r="S412" s="36">
        <f t="shared" si="18"/>
        <v>111708.94397193279</v>
      </c>
      <c r="T412" s="36">
        <f t="shared" si="19"/>
        <v>21224.699354667231</v>
      </c>
      <c r="U412" s="19">
        <v>0</v>
      </c>
      <c r="V412" s="36">
        <f t="shared" si="20"/>
        <v>132933.64332660002</v>
      </c>
    </row>
    <row r="413" spans="1:22" ht="23.4" thickBot="1" x14ac:dyDescent="0.35">
      <c r="A413" s="30" t="s">
        <v>150</v>
      </c>
      <c r="B413" s="31">
        <v>8</v>
      </c>
      <c r="C413" s="32" t="s">
        <v>15</v>
      </c>
      <c r="D413" s="31" t="s">
        <v>110</v>
      </c>
      <c r="E413" s="31" t="s">
        <v>108</v>
      </c>
      <c r="F413" s="32" t="s">
        <v>111</v>
      </c>
      <c r="G413" s="31" t="s">
        <v>33</v>
      </c>
      <c r="H413" s="33">
        <v>1044.6600000000001</v>
      </c>
      <c r="I413" s="31">
        <v>2.78</v>
      </c>
      <c r="J413" s="31">
        <v>2.73</v>
      </c>
      <c r="K413" s="34">
        <v>0.98399999999999999</v>
      </c>
      <c r="L413" s="31">
        <v>33.700000000000003</v>
      </c>
      <c r="M413" s="19">
        <f>H413*INDEX('Pliegos Tarifarios (Huechuraba)'!$B:$B,MATCH($B413,'Pliegos Tarifarios (Huechuraba)'!$A:$A,0))</f>
        <v>137647.53558000003</v>
      </c>
      <c r="N413" s="19">
        <f>I413*INDEX('Pliegos Tarifarios (Huechuraba)'!$C:$C,MATCH($B413,'Pliegos Tarifarios (Huechuraba)'!$A:$A,0))</f>
        <v>9454.1489399999991</v>
      </c>
      <c r="O413" s="19">
        <f>J413*INDEX('Pliegos Tarifarios (Huechuraba)'!$D:$D,MATCH($B413,'Pliegos Tarifarios (Huechuraba)'!$A:$A,0))</f>
        <v>39485.778149999998</v>
      </c>
      <c r="P413" s="19">
        <f>H413*INDEX('Pliegos Tarifarios (Huechuraba)'!$E:$E,MATCH($B413,'Pliegos Tarifarios (Huechuraba)'!$A:$A,0))</f>
        <v>13605.65184</v>
      </c>
      <c r="Q413" s="19" cm="1">
        <f t="array" ref="Q413">H413*_xlfn.IFS(H413&lt;=350,INDEX('Pliegos Tarifarios (Huechuraba)'!$F:$F,MATCH($B413,'Pliegos Tarifarios (Huechuraba)'!$A:$A,0)),H413&lt;=500,INDEX('Pliegos Tarifarios (Huechuraba)'!$G:$G,MATCH($B413,'Pliegos Tarifarios (Huechuraba)'!$A:$A,0)),H413&lt;=1000,INDEX('Pliegos Tarifarios (Huechuraba)'!$H:$H,MATCH($B413,'Pliegos Tarifarios (Huechuraba)'!$A:$A,0)),H413&lt;=5000,INDEX('Pliegos Tarifarios (Huechuraba)'!$I:$I,MATCH($B413,'Pliegos Tarifarios (Huechuraba)'!$A:$A,0)),H413&gt;5000,INDEX('Pliegos Tarifarios (Huechuraba)'!$J:$J,MATCH($B413,'Pliegos Tarifarios (Huechuraba)'!$A:$A,0)))/1.19</f>
        <v>3134.8578655462188</v>
      </c>
      <c r="R413" s="19">
        <f>INDEX('Pliegos Tarifarios (Huechuraba)'!$K:$K,MATCH($B413,'Pliegos Tarifarios (Huechuraba)'!$A:$A,0))</f>
        <v>723.17600000000004</v>
      </c>
      <c r="S413" s="36">
        <f t="shared" si="18"/>
        <v>204051.14837554624</v>
      </c>
      <c r="T413" s="36">
        <f t="shared" si="19"/>
        <v>38769.718191353786</v>
      </c>
      <c r="U413" s="19">
        <v>0</v>
      </c>
      <c r="V413" s="36">
        <f t="shared" si="20"/>
        <v>242820.86656690002</v>
      </c>
    </row>
    <row r="414" spans="1:22" ht="23.4" thickBot="1" x14ac:dyDescent="0.35">
      <c r="A414" s="30" t="s">
        <v>150</v>
      </c>
      <c r="B414" s="31">
        <v>8</v>
      </c>
      <c r="C414" s="32" t="s">
        <v>15</v>
      </c>
      <c r="D414" s="31" t="s">
        <v>112</v>
      </c>
      <c r="E414" s="31" t="s">
        <v>113</v>
      </c>
      <c r="F414" s="32" t="s">
        <v>114</v>
      </c>
      <c r="G414" s="31" t="s">
        <v>33</v>
      </c>
      <c r="H414" s="31">
        <v>379.5</v>
      </c>
      <c r="I414" s="31">
        <v>1.01</v>
      </c>
      <c r="J414" s="31">
        <v>1</v>
      </c>
      <c r="K414" s="34">
        <v>0.99</v>
      </c>
      <c r="L414" s="31">
        <v>12.24</v>
      </c>
      <c r="M414" s="19">
        <f>H414*INDEX('Pliegos Tarifarios (Huechuraba)'!$B:$B,MATCH($B414,'Pliegos Tarifarios (Huechuraba)'!$A:$A,0))</f>
        <v>50004.058499999999</v>
      </c>
      <c r="N414" s="19">
        <f>I414*INDEX('Pliegos Tarifarios (Huechuraba)'!$C:$C,MATCH($B414,'Pliegos Tarifarios (Huechuraba)'!$A:$A,0))</f>
        <v>3434.7807299999999</v>
      </c>
      <c r="O414" s="19">
        <f>J414*INDEX('Pliegos Tarifarios (Huechuraba)'!$D:$D,MATCH($B414,'Pliegos Tarifarios (Huechuraba)'!$A:$A,0))</f>
        <v>14463.655000000001</v>
      </c>
      <c r="P414" s="19">
        <f>H414*INDEX('Pliegos Tarifarios (Huechuraba)'!$E:$E,MATCH($B414,'Pliegos Tarifarios (Huechuraba)'!$A:$A,0))</f>
        <v>4942.6079999999993</v>
      </c>
      <c r="Q414" s="19" cm="1">
        <f t="array" ref="Q414">H414*_xlfn.IFS(H414&lt;=350,INDEX('Pliegos Tarifarios (Huechuraba)'!$F:$F,MATCH($B414,'Pliegos Tarifarios (Huechuraba)'!$A:$A,0)),H414&lt;=500,INDEX('Pliegos Tarifarios (Huechuraba)'!$G:$G,MATCH($B414,'Pliegos Tarifarios (Huechuraba)'!$A:$A,0)),H414&lt;=1000,INDEX('Pliegos Tarifarios (Huechuraba)'!$H:$H,MATCH($B414,'Pliegos Tarifarios (Huechuraba)'!$A:$A,0)),H414&lt;=5000,INDEX('Pliegos Tarifarios (Huechuraba)'!$I:$I,MATCH($B414,'Pliegos Tarifarios (Huechuraba)'!$A:$A,0)),H414&gt;5000,INDEX('Pliegos Tarifarios (Huechuraba)'!$J:$J,MATCH($B414,'Pliegos Tarifarios (Huechuraba)'!$A:$A,0)))/1.19</f>
        <v>534.48907563025216</v>
      </c>
      <c r="R414" s="19">
        <f>INDEX('Pliegos Tarifarios (Huechuraba)'!$K:$K,MATCH($B414,'Pliegos Tarifarios (Huechuraba)'!$A:$A,0))</f>
        <v>723.17600000000004</v>
      </c>
      <c r="S414" s="36">
        <f t="shared" si="18"/>
        <v>74102.767305630245</v>
      </c>
      <c r="T414" s="36">
        <f t="shared" si="19"/>
        <v>14079.525788069746</v>
      </c>
      <c r="U414" s="19">
        <v>0</v>
      </c>
      <c r="V414" s="36">
        <f t="shared" si="20"/>
        <v>88182.293093699991</v>
      </c>
    </row>
    <row r="415" spans="1:22" ht="23.4" thickBot="1" x14ac:dyDescent="0.35">
      <c r="A415" s="30" t="s">
        <v>150</v>
      </c>
      <c r="B415" s="31">
        <v>8</v>
      </c>
      <c r="C415" s="32" t="s">
        <v>15</v>
      </c>
      <c r="D415" s="31" t="s">
        <v>115</v>
      </c>
      <c r="E415" s="31" t="s">
        <v>116</v>
      </c>
      <c r="F415" s="32" t="s">
        <v>117</v>
      </c>
      <c r="G415" s="31" t="s">
        <v>33</v>
      </c>
      <c r="H415" s="31">
        <v>427.49</v>
      </c>
      <c r="I415" s="31">
        <v>1.1599999999999999</v>
      </c>
      <c r="J415" s="31">
        <v>1.1599999999999999</v>
      </c>
      <c r="K415" s="34">
        <v>0.998</v>
      </c>
      <c r="L415" s="31">
        <v>13.79</v>
      </c>
      <c r="M415" s="19">
        <f>H415*INDEX('Pliegos Tarifarios (Huechuraba)'!$B:$B,MATCH($B415,'Pliegos Tarifarios (Huechuraba)'!$A:$A,0))</f>
        <v>56327.364870000005</v>
      </c>
      <c r="N415" s="19">
        <f>I415*INDEX('Pliegos Tarifarios (Huechuraba)'!$C:$C,MATCH($B415,'Pliegos Tarifarios (Huechuraba)'!$A:$A,0))</f>
        <v>3944.8966799999998</v>
      </c>
      <c r="O415" s="19">
        <f>J415*INDEX('Pliegos Tarifarios (Huechuraba)'!$D:$D,MATCH($B415,'Pliegos Tarifarios (Huechuraba)'!$A:$A,0))</f>
        <v>16777.839799999998</v>
      </c>
      <c r="P415" s="19">
        <f>H415*INDEX('Pliegos Tarifarios (Huechuraba)'!$E:$E,MATCH($B415,'Pliegos Tarifarios (Huechuraba)'!$A:$A,0))</f>
        <v>5567.6297599999998</v>
      </c>
      <c r="Q415" s="19" cm="1">
        <f t="array" ref="Q415">H415*_xlfn.IFS(H415&lt;=350,INDEX('Pliegos Tarifarios (Huechuraba)'!$F:$F,MATCH($B415,'Pliegos Tarifarios (Huechuraba)'!$A:$A,0)),H415&lt;=500,INDEX('Pliegos Tarifarios (Huechuraba)'!$G:$G,MATCH($B415,'Pliegos Tarifarios (Huechuraba)'!$A:$A,0)),H415&lt;=1000,INDEX('Pliegos Tarifarios (Huechuraba)'!$H:$H,MATCH($B415,'Pliegos Tarifarios (Huechuraba)'!$A:$A,0)),H415&lt;=5000,INDEX('Pliegos Tarifarios (Huechuraba)'!$I:$I,MATCH($B415,'Pliegos Tarifarios (Huechuraba)'!$A:$A,0)),H415&gt;5000,INDEX('Pliegos Tarifarios (Huechuraba)'!$J:$J,MATCH($B415,'Pliegos Tarifarios (Huechuraba)'!$A:$A,0)))/1.19</f>
        <v>602.07835294117649</v>
      </c>
      <c r="R415" s="19">
        <f>INDEX('Pliegos Tarifarios (Huechuraba)'!$K:$K,MATCH($B415,'Pliegos Tarifarios (Huechuraba)'!$A:$A,0))</f>
        <v>723.17600000000004</v>
      </c>
      <c r="S415" s="36">
        <f t="shared" si="18"/>
        <v>83942.985462941171</v>
      </c>
      <c r="T415" s="36">
        <f t="shared" si="19"/>
        <v>15949.167237958824</v>
      </c>
      <c r="U415" s="19">
        <v>0</v>
      </c>
      <c r="V415" s="36">
        <f t="shared" si="20"/>
        <v>99892.152700899998</v>
      </c>
    </row>
    <row r="416" spans="1:22" ht="23.4" thickBot="1" x14ac:dyDescent="0.35">
      <c r="A416" s="30" t="s">
        <v>150</v>
      </c>
      <c r="B416" s="31">
        <v>8</v>
      </c>
      <c r="C416" s="32" t="s">
        <v>15</v>
      </c>
      <c r="D416" s="31" t="s">
        <v>118</v>
      </c>
      <c r="E416" s="31" t="s">
        <v>119</v>
      </c>
      <c r="F416" s="32" t="s">
        <v>120</v>
      </c>
      <c r="G416" s="31" t="s">
        <v>33</v>
      </c>
      <c r="H416" s="31">
        <v>71.12</v>
      </c>
      <c r="I416" s="31">
        <v>0.19</v>
      </c>
      <c r="J416" s="31">
        <v>0.19</v>
      </c>
      <c r="K416" s="34">
        <v>0.98799999999999999</v>
      </c>
      <c r="L416" s="31">
        <v>2.29</v>
      </c>
      <c r="M416" s="19">
        <f>H416*INDEX('Pliegos Tarifarios (Huechuraba)'!$B:$B,MATCH($B416,'Pliegos Tarifarios (Huechuraba)'!$A:$A,0))</f>
        <v>9370.9845600000008</v>
      </c>
      <c r="N416" s="19">
        <f>I416*INDEX('Pliegos Tarifarios (Huechuraba)'!$C:$C,MATCH($B416,'Pliegos Tarifarios (Huechuraba)'!$A:$A,0))</f>
        <v>646.14687000000004</v>
      </c>
      <c r="O416" s="19">
        <f>J416*INDEX('Pliegos Tarifarios (Huechuraba)'!$D:$D,MATCH($B416,'Pliegos Tarifarios (Huechuraba)'!$A:$A,0))</f>
        <v>2748.0944500000001</v>
      </c>
      <c r="P416" s="19">
        <f>H416*INDEX('Pliegos Tarifarios (Huechuraba)'!$E:$E,MATCH($B416,'Pliegos Tarifarios (Huechuraba)'!$A:$A,0))</f>
        <v>926.26688000000001</v>
      </c>
      <c r="Q416" s="19" cm="1">
        <f t="array" ref="Q416">H416*_xlfn.IFS(H416&lt;=350,INDEX('Pliegos Tarifarios (Huechuraba)'!$F:$F,MATCH($B416,'Pliegos Tarifarios (Huechuraba)'!$A:$A,0)),H416&lt;=500,INDEX('Pliegos Tarifarios (Huechuraba)'!$G:$G,MATCH($B416,'Pliegos Tarifarios (Huechuraba)'!$A:$A,0)),H416&lt;=1000,INDEX('Pliegos Tarifarios (Huechuraba)'!$H:$H,MATCH($B416,'Pliegos Tarifarios (Huechuraba)'!$A:$A,0)),H416&lt;=5000,INDEX('Pliegos Tarifarios (Huechuraba)'!$I:$I,MATCH($B416,'Pliegos Tarifarios (Huechuraba)'!$A:$A,0)),H416&gt;5000,INDEX('Pliegos Tarifarios (Huechuraba)'!$J:$J,MATCH($B416,'Pliegos Tarifarios (Huechuraba)'!$A:$A,0)))/1.19</f>
        <v>46.855529411764714</v>
      </c>
      <c r="R416" s="19">
        <f>INDEX('Pliegos Tarifarios (Huechuraba)'!$K:$K,MATCH($B416,'Pliegos Tarifarios (Huechuraba)'!$A:$A,0))</f>
        <v>723.17600000000004</v>
      </c>
      <c r="S416" s="36">
        <f t="shared" si="18"/>
        <v>14461.524289411765</v>
      </c>
      <c r="T416" s="36">
        <f t="shared" si="19"/>
        <v>2747.6896149882355</v>
      </c>
      <c r="U416" s="19">
        <v>0</v>
      </c>
      <c r="V416" s="36">
        <f t="shared" si="20"/>
        <v>17209.2139044</v>
      </c>
    </row>
    <row r="417" spans="1:22" ht="23.4" thickBot="1" x14ac:dyDescent="0.35">
      <c r="A417" s="30" t="s">
        <v>150</v>
      </c>
      <c r="B417" s="31">
        <v>8</v>
      </c>
      <c r="C417" s="32" t="s">
        <v>15</v>
      </c>
      <c r="D417" s="31" t="s">
        <v>121</v>
      </c>
      <c r="E417" s="31" t="s">
        <v>119</v>
      </c>
      <c r="F417" s="32" t="s">
        <v>122</v>
      </c>
      <c r="G417" s="31" t="s">
        <v>33</v>
      </c>
      <c r="H417" s="31">
        <v>71.16</v>
      </c>
      <c r="I417" s="31">
        <v>0.19</v>
      </c>
      <c r="J417" s="31">
        <v>0.19</v>
      </c>
      <c r="K417" s="34">
        <v>0.98499999999999999</v>
      </c>
      <c r="L417" s="31">
        <v>2.2999999999999998</v>
      </c>
      <c r="M417" s="19">
        <f>H417*INDEX('Pliegos Tarifarios (Huechuraba)'!$B:$B,MATCH($B417,'Pliegos Tarifarios (Huechuraba)'!$A:$A,0))</f>
        <v>9376.2550800000008</v>
      </c>
      <c r="N417" s="19">
        <f>I417*INDEX('Pliegos Tarifarios (Huechuraba)'!$C:$C,MATCH($B417,'Pliegos Tarifarios (Huechuraba)'!$A:$A,0))</f>
        <v>646.14687000000004</v>
      </c>
      <c r="O417" s="19">
        <f>J417*INDEX('Pliegos Tarifarios (Huechuraba)'!$D:$D,MATCH($B417,'Pliegos Tarifarios (Huechuraba)'!$A:$A,0))</f>
        <v>2748.0944500000001</v>
      </c>
      <c r="P417" s="19">
        <f>H417*INDEX('Pliegos Tarifarios (Huechuraba)'!$E:$E,MATCH($B417,'Pliegos Tarifarios (Huechuraba)'!$A:$A,0))</f>
        <v>926.78783999999985</v>
      </c>
      <c r="Q417" s="19" cm="1">
        <f t="array" ref="Q417">H417*_xlfn.IFS(H417&lt;=350,INDEX('Pliegos Tarifarios (Huechuraba)'!$F:$F,MATCH($B417,'Pliegos Tarifarios (Huechuraba)'!$A:$A,0)),H417&lt;=500,INDEX('Pliegos Tarifarios (Huechuraba)'!$G:$G,MATCH($B417,'Pliegos Tarifarios (Huechuraba)'!$A:$A,0)),H417&lt;=1000,INDEX('Pliegos Tarifarios (Huechuraba)'!$H:$H,MATCH($B417,'Pliegos Tarifarios (Huechuraba)'!$A:$A,0)),H417&lt;=5000,INDEX('Pliegos Tarifarios (Huechuraba)'!$I:$I,MATCH($B417,'Pliegos Tarifarios (Huechuraba)'!$A:$A,0)),H417&gt;5000,INDEX('Pliegos Tarifarios (Huechuraba)'!$J:$J,MATCH($B417,'Pliegos Tarifarios (Huechuraba)'!$A:$A,0)))/1.19</f>
        <v>46.881882352941176</v>
      </c>
      <c r="R417" s="19">
        <f>INDEX('Pliegos Tarifarios (Huechuraba)'!$K:$K,MATCH($B417,'Pliegos Tarifarios (Huechuraba)'!$A:$A,0))</f>
        <v>723.17600000000004</v>
      </c>
      <c r="S417" s="36">
        <f t="shared" si="18"/>
        <v>14467.342122352942</v>
      </c>
      <c r="T417" s="36">
        <f t="shared" si="19"/>
        <v>2748.795003247059</v>
      </c>
      <c r="U417" s="19">
        <v>0</v>
      </c>
      <c r="V417" s="36">
        <f t="shared" si="20"/>
        <v>17216.137125600002</v>
      </c>
    </row>
    <row r="418" spans="1:22" ht="23.4" thickBot="1" x14ac:dyDescent="0.35">
      <c r="A418" s="30" t="s">
        <v>150</v>
      </c>
      <c r="B418" s="31">
        <v>8</v>
      </c>
      <c r="C418" s="32" t="s">
        <v>15</v>
      </c>
      <c r="D418" s="31" t="s">
        <v>123</v>
      </c>
      <c r="E418" s="31" t="s">
        <v>124</v>
      </c>
      <c r="F418" s="32" t="s">
        <v>125</v>
      </c>
      <c r="G418" s="31" t="s">
        <v>33</v>
      </c>
      <c r="H418" s="31">
        <v>70.94</v>
      </c>
      <c r="I418" s="31">
        <v>0.19</v>
      </c>
      <c r="J418" s="31">
        <v>0.19</v>
      </c>
      <c r="K418" s="34">
        <v>0.98</v>
      </c>
      <c r="L418" s="31">
        <v>2.29</v>
      </c>
      <c r="M418" s="19">
        <f>H418*INDEX('Pliegos Tarifarios (Huechuraba)'!$B:$B,MATCH($B418,'Pliegos Tarifarios (Huechuraba)'!$A:$A,0))</f>
        <v>9347.2672199999997</v>
      </c>
      <c r="N418" s="19">
        <f>I418*INDEX('Pliegos Tarifarios (Huechuraba)'!$C:$C,MATCH($B418,'Pliegos Tarifarios (Huechuraba)'!$A:$A,0))</f>
        <v>646.14687000000004</v>
      </c>
      <c r="O418" s="19">
        <f>J418*INDEX('Pliegos Tarifarios (Huechuraba)'!$D:$D,MATCH($B418,'Pliegos Tarifarios (Huechuraba)'!$A:$A,0))</f>
        <v>2748.0944500000001</v>
      </c>
      <c r="P418" s="19">
        <f>H418*INDEX('Pliegos Tarifarios (Huechuraba)'!$E:$E,MATCH($B418,'Pliegos Tarifarios (Huechuraba)'!$A:$A,0))</f>
        <v>923.92255999999986</v>
      </c>
      <c r="Q418" s="19" cm="1">
        <f t="array" ref="Q418">H418*_xlfn.IFS(H418&lt;=350,INDEX('Pliegos Tarifarios (Huechuraba)'!$F:$F,MATCH($B418,'Pliegos Tarifarios (Huechuraba)'!$A:$A,0)),H418&lt;=500,INDEX('Pliegos Tarifarios (Huechuraba)'!$G:$G,MATCH($B418,'Pliegos Tarifarios (Huechuraba)'!$A:$A,0)),H418&lt;=1000,INDEX('Pliegos Tarifarios (Huechuraba)'!$H:$H,MATCH($B418,'Pliegos Tarifarios (Huechuraba)'!$A:$A,0)),H418&lt;=5000,INDEX('Pliegos Tarifarios (Huechuraba)'!$I:$I,MATCH($B418,'Pliegos Tarifarios (Huechuraba)'!$A:$A,0)),H418&gt;5000,INDEX('Pliegos Tarifarios (Huechuraba)'!$J:$J,MATCH($B418,'Pliegos Tarifarios (Huechuraba)'!$A:$A,0)))/1.19</f>
        <v>46.736941176470587</v>
      </c>
      <c r="R418" s="19">
        <f>INDEX('Pliegos Tarifarios (Huechuraba)'!$K:$K,MATCH($B418,'Pliegos Tarifarios (Huechuraba)'!$A:$A,0))</f>
        <v>723.17600000000004</v>
      </c>
      <c r="S418" s="36">
        <f t="shared" si="18"/>
        <v>14435.34404117647</v>
      </c>
      <c r="T418" s="36">
        <f t="shared" si="19"/>
        <v>2742.715367823529</v>
      </c>
      <c r="U418" s="19">
        <v>0</v>
      </c>
      <c r="V418" s="36">
        <f t="shared" si="20"/>
        <v>17178.059408999998</v>
      </c>
    </row>
    <row r="419" spans="1:22" ht="23.4" thickBot="1" x14ac:dyDescent="0.35">
      <c r="A419" s="30" t="s">
        <v>150</v>
      </c>
      <c r="B419" s="31">
        <v>8</v>
      </c>
      <c r="C419" s="32" t="s">
        <v>15</v>
      </c>
      <c r="D419" s="31" t="s">
        <v>126</v>
      </c>
      <c r="E419" s="31" t="s">
        <v>124</v>
      </c>
      <c r="F419" s="32" t="s">
        <v>127</v>
      </c>
      <c r="G419" s="31" t="s">
        <v>33</v>
      </c>
      <c r="H419" s="31">
        <v>118.76</v>
      </c>
      <c r="I419" s="31">
        <v>0.32</v>
      </c>
      <c r="J419" s="31">
        <v>0.31</v>
      </c>
      <c r="K419" s="34">
        <v>0.97399999999999998</v>
      </c>
      <c r="L419" s="31">
        <v>3.83</v>
      </c>
      <c r="M419" s="19">
        <f>H419*INDEX('Pliegos Tarifarios (Huechuraba)'!$B:$B,MATCH($B419,'Pliegos Tarifarios (Huechuraba)'!$A:$A,0))</f>
        <v>15648.173880000002</v>
      </c>
      <c r="N419" s="19">
        <f>I419*INDEX('Pliegos Tarifarios (Huechuraba)'!$C:$C,MATCH($B419,'Pliegos Tarifarios (Huechuraba)'!$A:$A,0))</f>
        <v>1088.2473600000001</v>
      </c>
      <c r="O419" s="19">
        <f>J419*INDEX('Pliegos Tarifarios (Huechuraba)'!$D:$D,MATCH($B419,'Pliegos Tarifarios (Huechuraba)'!$A:$A,0))</f>
        <v>4483.7330499999998</v>
      </c>
      <c r="P419" s="19">
        <f>H419*INDEX('Pliegos Tarifarios (Huechuraba)'!$E:$E,MATCH($B419,'Pliegos Tarifarios (Huechuraba)'!$A:$A,0))</f>
        <v>1546.7302399999999</v>
      </c>
      <c r="Q419" s="19" cm="1">
        <f t="array" ref="Q419">H419*_xlfn.IFS(H419&lt;=350,INDEX('Pliegos Tarifarios (Huechuraba)'!$F:$F,MATCH($B419,'Pliegos Tarifarios (Huechuraba)'!$A:$A,0)),H419&lt;=500,INDEX('Pliegos Tarifarios (Huechuraba)'!$G:$G,MATCH($B419,'Pliegos Tarifarios (Huechuraba)'!$A:$A,0)),H419&lt;=1000,INDEX('Pliegos Tarifarios (Huechuraba)'!$H:$H,MATCH($B419,'Pliegos Tarifarios (Huechuraba)'!$A:$A,0)),H419&lt;=5000,INDEX('Pliegos Tarifarios (Huechuraba)'!$I:$I,MATCH($B419,'Pliegos Tarifarios (Huechuraba)'!$A:$A,0)),H419&gt;5000,INDEX('Pliegos Tarifarios (Huechuraba)'!$J:$J,MATCH($B419,'Pliegos Tarifarios (Huechuraba)'!$A:$A,0)))/1.19</f>
        <v>78.24188235294119</v>
      </c>
      <c r="R419" s="19">
        <f>INDEX('Pliegos Tarifarios (Huechuraba)'!$K:$K,MATCH($B419,'Pliegos Tarifarios (Huechuraba)'!$A:$A,0))</f>
        <v>723.17600000000004</v>
      </c>
      <c r="S419" s="36">
        <f t="shared" si="18"/>
        <v>23568.302412352943</v>
      </c>
      <c r="T419" s="36">
        <f t="shared" si="19"/>
        <v>4477.9774583470589</v>
      </c>
      <c r="U419" s="19">
        <v>0</v>
      </c>
      <c r="V419" s="36">
        <f t="shared" si="20"/>
        <v>28046.279870700004</v>
      </c>
    </row>
    <row r="420" spans="1:22" ht="23.4" thickBot="1" x14ac:dyDescent="0.35">
      <c r="A420" s="30" t="s">
        <v>150</v>
      </c>
      <c r="B420" s="31">
        <v>8</v>
      </c>
      <c r="C420" s="32" t="s">
        <v>15</v>
      </c>
      <c r="D420" s="31" t="s">
        <v>128</v>
      </c>
      <c r="E420" s="31" t="s">
        <v>124</v>
      </c>
      <c r="F420" s="32" t="s">
        <v>129</v>
      </c>
      <c r="G420" s="31" t="s">
        <v>33</v>
      </c>
      <c r="H420" s="31">
        <v>71.23</v>
      </c>
      <c r="I420" s="31">
        <v>0.19</v>
      </c>
      <c r="J420" s="31">
        <v>0.19</v>
      </c>
      <c r="K420" s="34">
        <v>0.97799999999999998</v>
      </c>
      <c r="L420" s="31">
        <v>2.2999999999999998</v>
      </c>
      <c r="M420" s="19">
        <f>H420*INDEX('Pliegos Tarifarios (Huechuraba)'!$B:$B,MATCH($B420,'Pliegos Tarifarios (Huechuraba)'!$A:$A,0))</f>
        <v>9385.4784900000013</v>
      </c>
      <c r="N420" s="19">
        <f>I420*INDEX('Pliegos Tarifarios (Huechuraba)'!$C:$C,MATCH($B420,'Pliegos Tarifarios (Huechuraba)'!$A:$A,0))</f>
        <v>646.14687000000004</v>
      </c>
      <c r="O420" s="19">
        <f>J420*INDEX('Pliegos Tarifarios (Huechuraba)'!$D:$D,MATCH($B420,'Pliegos Tarifarios (Huechuraba)'!$A:$A,0))</f>
        <v>2748.0944500000001</v>
      </c>
      <c r="P420" s="19">
        <f>H420*INDEX('Pliegos Tarifarios (Huechuraba)'!$E:$E,MATCH($B420,'Pliegos Tarifarios (Huechuraba)'!$A:$A,0))</f>
        <v>927.69952000000001</v>
      </c>
      <c r="Q420" s="19" cm="1">
        <f t="array" ref="Q420">H420*_xlfn.IFS(H420&lt;=350,INDEX('Pliegos Tarifarios (Huechuraba)'!$F:$F,MATCH($B420,'Pliegos Tarifarios (Huechuraba)'!$A:$A,0)),H420&lt;=500,INDEX('Pliegos Tarifarios (Huechuraba)'!$G:$G,MATCH($B420,'Pliegos Tarifarios (Huechuraba)'!$A:$A,0)),H420&lt;=1000,INDEX('Pliegos Tarifarios (Huechuraba)'!$H:$H,MATCH($B420,'Pliegos Tarifarios (Huechuraba)'!$A:$A,0)),H420&lt;=5000,INDEX('Pliegos Tarifarios (Huechuraba)'!$I:$I,MATCH($B420,'Pliegos Tarifarios (Huechuraba)'!$A:$A,0)),H420&gt;5000,INDEX('Pliegos Tarifarios (Huechuraba)'!$J:$J,MATCH($B420,'Pliegos Tarifarios (Huechuraba)'!$A:$A,0)))/1.19</f>
        <v>46.928000000000004</v>
      </c>
      <c r="R420" s="19">
        <f>INDEX('Pliegos Tarifarios (Huechuraba)'!$K:$K,MATCH($B420,'Pliegos Tarifarios (Huechuraba)'!$A:$A,0))</f>
        <v>723.17600000000004</v>
      </c>
      <c r="S420" s="36">
        <f t="shared" si="18"/>
        <v>14477.523330000002</v>
      </c>
      <c r="T420" s="36">
        <f t="shared" si="19"/>
        <v>2750.7294327000004</v>
      </c>
      <c r="U420" s="19">
        <v>0</v>
      </c>
      <c r="V420" s="36">
        <f t="shared" si="20"/>
        <v>17228.252762700002</v>
      </c>
    </row>
    <row r="421" spans="1:22" ht="23.4" thickBot="1" x14ac:dyDescent="0.35">
      <c r="A421" s="30" t="s">
        <v>150</v>
      </c>
      <c r="B421" s="31">
        <v>8</v>
      </c>
      <c r="C421" s="32" t="s">
        <v>15</v>
      </c>
      <c r="D421" s="31" t="s">
        <v>130</v>
      </c>
      <c r="E421" s="31" t="s">
        <v>124</v>
      </c>
      <c r="F421" s="32" t="s">
        <v>131</v>
      </c>
      <c r="G421" s="31" t="s">
        <v>33</v>
      </c>
      <c r="H421" s="31">
        <v>71.22</v>
      </c>
      <c r="I421" s="31">
        <v>0.19</v>
      </c>
      <c r="J421" s="31">
        <v>0.19</v>
      </c>
      <c r="K421" s="34">
        <v>0.99399999999999999</v>
      </c>
      <c r="L421" s="31">
        <v>2.2999999999999998</v>
      </c>
      <c r="M421" s="19">
        <f>H421*INDEX('Pliegos Tarifarios (Huechuraba)'!$B:$B,MATCH($B421,'Pliegos Tarifarios (Huechuraba)'!$A:$A,0))</f>
        <v>9384.16086</v>
      </c>
      <c r="N421" s="19">
        <f>I421*INDEX('Pliegos Tarifarios (Huechuraba)'!$C:$C,MATCH($B421,'Pliegos Tarifarios (Huechuraba)'!$A:$A,0))</f>
        <v>646.14687000000004</v>
      </c>
      <c r="O421" s="19">
        <f>J421*INDEX('Pliegos Tarifarios (Huechuraba)'!$D:$D,MATCH($B421,'Pliegos Tarifarios (Huechuraba)'!$A:$A,0))</f>
        <v>2748.0944500000001</v>
      </c>
      <c r="P421" s="19">
        <f>H421*INDEX('Pliegos Tarifarios (Huechuraba)'!$E:$E,MATCH($B421,'Pliegos Tarifarios (Huechuraba)'!$A:$A,0))</f>
        <v>927.56927999999994</v>
      </c>
      <c r="Q421" s="19" cm="1">
        <f t="array" ref="Q421">H421*_xlfn.IFS(H421&lt;=350,INDEX('Pliegos Tarifarios (Huechuraba)'!$F:$F,MATCH($B421,'Pliegos Tarifarios (Huechuraba)'!$A:$A,0)),H421&lt;=500,INDEX('Pliegos Tarifarios (Huechuraba)'!$G:$G,MATCH($B421,'Pliegos Tarifarios (Huechuraba)'!$A:$A,0)),H421&lt;=1000,INDEX('Pliegos Tarifarios (Huechuraba)'!$H:$H,MATCH($B421,'Pliegos Tarifarios (Huechuraba)'!$A:$A,0)),H421&lt;=5000,INDEX('Pliegos Tarifarios (Huechuraba)'!$I:$I,MATCH($B421,'Pliegos Tarifarios (Huechuraba)'!$A:$A,0)),H421&gt;5000,INDEX('Pliegos Tarifarios (Huechuraba)'!$J:$J,MATCH($B421,'Pliegos Tarifarios (Huechuraba)'!$A:$A,0)))/1.19</f>
        <v>46.921411764705887</v>
      </c>
      <c r="R421" s="19">
        <f>INDEX('Pliegos Tarifarios (Huechuraba)'!$K:$K,MATCH($B421,'Pliegos Tarifarios (Huechuraba)'!$A:$A,0))</f>
        <v>723.17600000000004</v>
      </c>
      <c r="S421" s="36">
        <f t="shared" si="18"/>
        <v>14476.068871764706</v>
      </c>
      <c r="T421" s="36">
        <f t="shared" si="19"/>
        <v>2750.4530856352944</v>
      </c>
      <c r="U421" s="19">
        <v>0</v>
      </c>
      <c r="V421" s="36">
        <f t="shared" si="20"/>
        <v>17226.5219574</v>
      </c>
    </row>
    <row r="422" spans="1:22" ht="23.4" thickBot="1" x14ac:dyDescent="0.35">
      <c r="A422" s="30" t="s">
        <v>150</v>
      </c>
      <c r="B422" s="31">
        <v>8</v>
      </c>
      <c r="C422" s="32" t="s">
        <v>15</v>
      </c>
      <c r="D422" s="31" t="s">
        <v>132</v>
      </c>
      <c r="E422" s="31" t="s">
        <v>124</v>
      </c>
      <c r="F422" s="32" t="s">
        <v>133</v>
      </c>
      <c r="G422" s="31" t="s">
        <v>33</v>
      </c>
      <c r="H422" s="31">
        <v>71.13</v>
      </c>
      <c r="I422" s="31">
        <v>0.2</v>
      </c>
      <c r="J422" s="31">
        <v>0.19</v>
      </c>
      <c r="K422" s="34">
        <v>0.92</v>
      </c>
      <c r="L422" s="31">
        <v>2.29</v>
      </c>
      <c r="M422" s="19">
        <f>H422*INDEX('Pliegos Tarifarios (Huechuraba)'!$B:$B,MATCH($B422,'Pliegos Tarifarios (Huechuraba)'!$A:$A,0))</f>
        <v>9372.3021900000003</v>
      </c>
      <c r="N422" s="19">
        <f>I422*INDEX('Pliegos Tarifarios (Huechuraba)'!$C:$C,MATCH($B422,'Pliegos Tarifarios (Huechuraba)'!$A:$A,0))</f>
        <v>680.15460000000007</v>
      </c>
      <c r="O422" s="19">
        <f>J422*INDEX('Pliegos Tarifarios (Huechuraba)'!$D:$D,MATCH($B422,'Pliegos Tarifarios (Huechuraba)'!$A:$A,0))</f>
        <v>2748.0944500000001</v>
      </c>
      <c r="P422" s="19">
        <f>H422*INDEX('Pliegos Tarifarios (Huechuraba)'!$E:$E,MATCH($B422,'Pliegos Tarifarios (Huechuraba)'!$A:$A,0))</f>
        <v>926.39711999999986</v>
      </c>
      <c r="Q422" s="19" cm="1">
        <f t="array" ref="Q422">H422*_xlfn.IFS(H422&lt;=350,INDEX('Pliegos Tarifarios (Huechuraba)'!$F:$F,MATCH($B422,'Pliegos Tarifarios (Huechuraba)'!$A:$A,0)),H422&lt;=500,INDEX('Pliegos Tarifarios (Huechuraba)'!$G:$G,MATCH($B422,'Pliegos Tarifarios (Huechuraba)'!$A:$A,0)),H422&lt;=1000,INDEX('Pliegos Tarifarios (Huechuraba)'!$H:$H,MATCH($B422,'Pliegos Tarifarios (Huechuraba)'!$A:$A,0)),H422&lt;=5000,INDEX('Pliegos Tarifarios (Huechuraba)'!$I:$I,MATCH($B422,'Pliegos Tarifarios (Huechuraba)'!$A:$A,0)),H422&gt;5000,INDEX('Pliegos Tarifarios (Huechuraba)'!$J:$J,MATCH($B422,'Pliegos Tarifarios (Huechuraba)'!$A:$A,0)))/1.19</f>
        <v>46.862117647058824</v>
      </c>
      <c r="R422" s="19">
        <f>INDEX('Pliegos Tarifarios (Huechuraba)'!$K:$K,MATCH($B422,'Pliegos Tarifarios (Huechuraba)'!$A:$A,0))</f>
        <v>723.17600000000004</v>
      </c>
      <c r="S422" s="36">
        <f t="shared" si="18"/>
        <v>14496.986477647059</v>
      </c>
      <c r="T422" s="36">
        <f t="shared" si="19"/>
        <v>2754.4274307529413</v>
      </c>
      <c r="U422" s="19">
        <v>0</v>
      </c>
      <c r="V422" s="36">
        <f t="shared" si="20"/>
        <v>17251.413908399998</v>
      </c>
    </row>
    <row r="423" spans="1:22" ht="23.4" thickBot="1" x14ac:dyDescent="0.35">
      <c r="A423" s="30" t="s">
        <v>150</v>
      </c>
      <c r="B423" s="31">
        <v>8</v>
      </c>
      <c r="C423" s="32" t="s">
        <v>15</v>
      </c>
      <c r="D423" s="31" t="s">
        <v>134</v>
      </c>
      <c r="E423" s="31" t="s">
        <v>124</v>
      </c>
      <c r="F423" s="32" t="s">
        <v>135</v>
      </c>
      <c r="G423" s="31" t="s">
        <v>33</v>
      </c>
      <c r="H423" s="31">
        <v>142.22</v>
      </c>
      <c r="I423" s="31">
        <v>0.38</v>
      </c>
      <c r="J423" s="31">
        <v>0.38</v>
      </c>
      <c r="K423" s="34">
        <v>0.999</v>
      </c>
      <c r="L423" s="31">
        <v>4.59</v>
      </c>
      <c r="M423" s="19">
        <f>H423*INDEX('Pliegos Tarifarios (Huechuraba)'!$B:$B,MATCH($B423,'Pliegos Tarifarios (Huechuraba)'!$A:$A,0))</f>
        <v>18739.333859999999</v>
      </c>
      <c r="N423" s="19">
        <f>I423*INDEX('Pliegos Tarifarios (Huechuraba)'!$C:$C,MATCH($B423,'Pliegos Tarifarios (Huechuraba)'!$A:$A,0))</f>
        <v>1292.2937400000001</v>
      </c>
      <c r="O423" s="19">
        <f>J423*INDEX('Pliegos Tarifarios (Huechuraba)'!$D:$D,MATCH($B423,'Pliegos Tarifarios (Huechuraba)'!$A:$A,0))</f>
        <v>5496.1889000000001</v>
      </c>
      <c r="P423" s="19">
        <f>H423*INDEX('Pliegos Tarifarios (Huechuraba)'!$E:$E,MATCH($B423,'Pliegos Tarifarios (Huechuraba)'!$A:$A,0))</f>
        <v>1852.2732799999999</v>
      </c>
      <c r="Q423" s="19" cm="1">
        <f t="array" ref="Q423">H423*_xlfn.IFS(H423&lt;=350,INDEX('Pliegos Tarifarios (Huechuraba)'!$F:$F,MATCH($B423,'Pliegos Tarifarios (Huechuraba)'!$A:$A,0)),H423&lt;=500,INDEX('Pliegos Tarifarios (Huechuraba)'!$G:$G,MATCH($B423,'Pliegos Tarifarios (Huechuraba)'!$A:$A,0)),H423&lt;=1000,INDEX('Pliegos Tarifarios (Huechuraba)'!$H:$H,MATCH($B423,'Pliegos Tarifarios (Huechuraba)'!$A:$A,0)),H423&lt;=5000,INDEX('Pliegos Tarifarios (Huechuraba)'!$I:$I,MATCH($B423,'Pliegos Tarifarios (Huechuraba)'!$A:$A,0)),H423&gt;5000,INDEX('Pliegos Tarifarios (Huechuraba)'!$J:$J,MATCH($B423,'Pliegos Tarifarios (Huechuraba)'!$A:$A,0)))/1.19</f>
        <v>93.697882352941193</v>
      </c>
      <c r="R423" s="19">
        <f>INDEX('Pliegos Tarifarios (Huechuraba)'!$K:$K,MATCH($B423,'Pliegos Tarifarios (Huechuraba)'!$A:$A,0))</f>
        <v>723.17600000000004</v>
      </c>
      <c r="S423" s="36">
        <f t="shared" si="18"/>
        <v>28196.963662352944</v>
      </c>
      <c r="T423" s="36">
        <f t="shared" si="19"/>
        <v>5357.4230958470598</v>
      </c>
      <c r="U423" s="19">
        <v>0</v>
      </c>
      <c r="V423" s="36">
        <f t="shared" si="20"/>
        <v>33554.386758200002</v>
      </c>
    </row>
    <row r="424" spans="1:22" ht="23.4" thickBot="1" x14ac:dyDescent="0.35">
      <c r="A424" s="30" t="s">
        <v>150</v>
      </c>
      <c r="B424" s="31">
        <v>8</v>
      </c>
      <c r="C424" s="32" t="s">
        <v>15</v>
      </c>
      <c r="D424" s="31" t="s">
        <v>136</v>
      </c>
      <c r="E424" s="31" t="s">
        <v>124</v>
      </c>
      <c r="F424" s="32" t="s">
        <v>137</v>
      </c>
      <c r="G424" s="31" t="s">
        <v>33</v>
      </c>
      <c r="H424" s="31">
        <v>142.56</v>
      </c>
      <c r="I424" s="31">
        <v>0.38</v>
      </c>
      <c r="J424" s="31">
        <v>0.38</v>
      </c>
      <c r="K424" s="34">
        <v>0.99099999999999999</v>
      </c>
      <c r="L424" s="31">
        <v>4.5999999999999996</v>
      </c>
      <c r="M424" s="19">
        <f>H424*INDEX('Pliegos Tarifarios (Huechuraba)'!$B:$B,MATCH($B424,'Pliegos Tarifarios (Huechuraba)'!$A:$A,0))</f>
        <v>18784.133280000002</v>
      </c>
      <c r="N424" s="19">
        <f>I424*INDEX('Pliegos Tarifarios (Huechuraba)'!$C:$C,MATCH($B424,'Pliegos Tarifarios (Huechuraba)'!$A:$A,0))</f>
        <v>1292.2937400000001</v>
      </c>
      <c r="O424" s="19">
        <f>J424*INDEX('Pliegos Tarifarios (Huechuraba)'!$D:$D,MATCH($B424,'Pliegos Tarifarios (Huechuraba)'!$A:$A,0))</f>
        <v>5496.1889000000001</v>
      </c>
      <c r="P424" s="19">
        <f>H424*INDEX('Pliegos Tarifarios (Huechuraba)'!$E:$E,MATCH($B424,'Pliegos Tarifarios (Huechuraba)'!$A:$A,0))</f>
        <v>1856.7014399999998</v>
      </c>
      <c r="Q424" s="19" cm="1">
        <f t="array" ref="Q424">H424*_xlfn.IFS(H424&lt;=350,INDEX('Pliegos Tarifarios (Huechuraba)'!$F:$F,MATCH($B424,'Pliegos Tarifarios (Huechuraba)'!$A:$A,0)),H424&lt;=500,INDEX('Pliegos Tarifarios (Huechuraba)'!$G:$G,MATCH($B424,'Pliegos Tarifarios (Huechuraba)'!$A:$A,0)),H424&lt;=1000,INDEX('Pliegos Tarifarios (Huechuraba)'!$H:$H,MATCH($B424,'Pliegos Tarifarios (Huechuraba)'!$A:$A,0)),H424&lt;=5000,INDEX('Pliegos Tarifarios (Huechuraba)'!$I:$I,MATCH($B424,'Pliegos Tarifarios (Huechuraba)'!$A:$A,0)),H424&gt;5000,INDEX('Pliegos Tarifarios (Huechuraba)'!$J:$J,MATCH($B424,'Pliegos Tarifarios (Huechuraba)'!$A:$A,0)))/1.19</f>
        <v>93.921882352941182</v>
      </c>
      <c r="R424" s="19">
        <f>INDEX('Pliegos Tarifarios (Huechuraba)'!$K:$K,MATCH($B424,'Pliegos Tarifarios (Huechuraba)'!$A:$A,0))</f>
        <v>723.17600000000004</v>
      </c>
      <c r="S424" s="36">
        <f t="shared" si="18"/>
        <v>28246.415242352945</v>
      </c>
      <c r="T424" s="36">
        <f t="shared" si="19"/>
        <v>5366.8188960470598</v>
      </c>
      <c r="U424" s="19">
        <v>0</v>
      </c>
      <c r="V424" s="36">
        <f t="shared" si="20"/>
        <v>33613.234138400003</v>
      </c>
    </row>
    <row r="425" spans="1:22" ht="23.4" thickBot="1" x14ac:dyDescent="0.35">
      <c r="A425" s="30" t="s">
        <v>150</v>
      </c>
      <c r="B425" s="31">
        <v>8</v>
      </c>
      <c r="C425" s="32" t="s">
        <v>15</v>
      </c>
      <c r="D425" s="31" t="s">
        <v>138</v>
      </c>
      <c r="E425" s="31" t="s">
        <v>124</v>
      </c>
      <c r="F425" s="32" t="s">
        <v>139</v>
      </c>
      <c r="G425" s="31" t="s">
        <v>33</v>
      </c>
      <c r="H425" s="31">
        <v>142.47</v>
      </c>
      <c r="I425" s="31">
        <v>0.39</v>
      </c>
      <c r="J425" s="31">
        <v>0.37</v>
      </c>
      <c r="K425" s="34">
        <v>0.97</v>
      </c>
      <c r="L425" s="31">
        <v>4.5999999999999996</v>
      </c>
      <c r="M425" s="19">
        <f>H425*INDEX('Pliegos Tarifarios (Huechuraba)'!$B:$B,MATCH($B425,'Pliegos Tarifarios (Huechuraba)'!$A:$A,0))</f>
        <v>18772.27461</v>
      </c>
      <c r="N425" s="19">
        <f>I425*INDEX('Pliegos Tarifarios (Huechuraba)'!$C:$C,MATCH($B425,'Pliegos Tarifarios (Huechuraba)'!$A:$A,0))</f>
        <v>1326.3014700000001</v>
      </c>
      <c r="O425" s="19">
        <f>J425*INDEX('Pliegos Tarifarios (Huechuraba)'!$D:$D,MATCH($B425,'Pliegos Tarifarios (Huechuraba)'!$A:$A,0))</f>
        <v>5351.5523499999999</v>
      </c>
      <c r="P425" s="19">
        <f>H425*INDEX('Pliegos Tarifarios (Huechuraba)'!$E:$E,MATCH($B425,'Pliegos Tarifarios (Huechuraba)'!$A:$A,0))</f>
        <v>1855.52928</v>
      </c>
      <c r="Q425" s="19" cm="1">
        <f t="array" ref="Q425">H425*_xlfn.IFS(H425&lt;=350,INDEX('Pliegos Tarifarios (Huechuraba)'!$F:$F,MATCH($B425,'Pliegos Tarifarios (Huechuraba)'!$A:$A,0)),H425&lt;=500,INDEX('Pliegos Tarifarios (Huechuraba)'!$G:$G,MATCH($B425,'Pliegos Tarifarios (Huechuraba)'!$A:$A,0)),H425&lt;=1000,INDEX('Pliegos Tarifarios (Huechuraba)'!$H:$H,MATCH($B425,'Pliegos Tarifarios (Huechuraba)'!$A:$A,0)),H425&lt;=5000,INDEX('Pliegos Tarifarios (Huechuraba)'!$I:$I,MATCH($B425,'Pliegos Tarifarios (Huechuraba)'!$A:$A,0)),H425&gt;5000,INDEX('Pliegos Tarifarios (Huechuraba)'!$J:$J,MATCH($B425,'Pliegos Tarifarios (Huechuraba)'!$A:$A,0)))/1.19</f>
        <v>93.862588235294126</v>
      </c>
      <c r="R425" s="19">
        <f>INDEX('Pliegos Tarifarios (Huechuraba)'!$K:$K,MATCH($B425,'Pliegos Tarifarios (Huechuraba)'!$A:$A,0))</f>
        <v>723.17600000000004</v>
      </c>
      <c r="S425" s="36">
        <f t="shared" si="18"/>
        <v>28122.696298235289</v>
      </c>
      <c r="T425" s="36">
        <f t="shared" si="19"/>
        <v>5343.3122966647052</v>
      </c>
      <c r="U425" s="19">
        <v>0</v>
      </c>
      <c r="V425" s="36">
        <f t="shared" si="20"/>
        <v>33466.008594899991</v>
      </c>
    </row>
    <row r="426" spans="1:22" ht="23.4" thickBot="1" x14ac:dyDescent="0.35">
      <c r="A426" s="30" t="s">
        <v>150</v>
      </c>
      <c r="B426" s="31">
        <v>8</v>
      </c>
      <c r="C426" s="32" t="s">
        <v>15</v>
      </c>
      <c r="D426" s="31" t="s">
        <v>140</v>
      </c>
      <c r="E426" s="31" t="s">
        <v>124</v>
      </c>
      <c r="F426" s="32" t="s">
        <v>141</v>
      </c>
      <c r="G426" s="31" t="s">
        <v>33</v>
      </c>
      <c r="H426" s="31">
        <v>71.19</v>
      </c>
      <c r="I426" s="31">
        <v>0.19</v>
      </c>
      <c r="J426" s="31">
        <v>0.19</v>
      </c>
      <c r="K426" s="34">
        <v>1</v>
      </c>
      <c r="L426" s="31">
        <v>2.2999999999999998</v>
      </c>
      <c r="M426" s="19">
        <f>H426*INDEX('Pliegos Tarifarios (Huechuraba)'!$B:$B,MATCH($B426,'Pliegos Tarifarios (Huechuraba)'!$A:$A,0))</f>
        <v>9380.2079699999995</v>
      </c>
      <c r="N426" s="19">
        <f>I426*INDEX('Pliegos Tarifarios (Huechuraba)'!$C:$C,MATCH($B426,'Pliegos Tarifarios (Huechuraba)'!$A:$A,0))</f>
        <v>646.14687000000004</v>
      </c>
      <c r="O426" s="19">
        <f>J426*INDEX('Pliegos Tarifarios (Huechuraba)'!$D:$D,MATCH($B426,'Pliegos Tarifarios (Huechuraba)'!$A:$A,0))</f>
        <v>2748.0944500000001</v>
      </c>
      <c r="P426" s="19">
        <f>H426*INDEX('Pliegos Tarifarios (Huechuraba)'!$E:$E,MATCH($B426,'Pliegos Tarifarios (Huechuraba)'!$A:$A,0))</f>
        <v>927.17855999999995</v>
      </c>
      <c r="Q426" s="19" cm="1">
        <f t="array" ref="Q426">H426*_xlfn.IFS(H426&lt;=350,INDEX('Pliegos Tarifarios (Huechuraba)'!$F:$F,MATCH($B426,'Pliegos Tarifarios (Huechuraba)'!$A:$A,0)),H426&lt;=500,INDEX('Pliegos Tarifarios (Huechuraba)'!$G:$G,MATCH($B426,'Pliegos Tarifarios (Huechuraba)'!$A:$A,0)),H426&lt;=1000,INDEX('Pliegos Tarifarios (Huechuraba)'!$H:$H,MATCH($B426,'Pliegos Tarifarios (Huechuraba)'!$A:$A,0)),H426&lt;=5000,INDEX('Pliegos Tarifarios (Huechuraba)'!$I:$I,MATCH($B426,'Pliegos Tarifarios (Huechuraba)'!$A:$A,0)),H426&gt;5000,INDEX('Pliegos Tarifarios (Huechuraba)'!$J:$J,MATCH($B426,'Pliegos Tarifarios (Huechuraba)'!$A:$A,0)))/1.19</f>
        <v>46.901647058823535</v>
      </c>
      <c r="R426" s="19">
        <f>INDEX('Pliegos Tarifarios (Huechuraba)'!$K:$K,MATCH($B426,'Pliegos Tarifarios (Huechuraba)'!$A:$A,0))</f>
        <v>723.17600000000004</v>
      </c>
      <c r="S426" s="36">
        <f t="shared" si="18"/>
        <v>14471.705497058823</v>
      </c>
      <c r="T426" s="36">
        <f t="shared" si="19"/>
        <v>2749.6240444411765</v>
      </c>
      <c r="U426" s="19">
        <v>0</v>
      </c>
      <c r="V426" s="36">
        <f t="shared" si="20"/>
        <v>17221.329541499999</v>
      </c>
    </row>
    <row r="427" spans="1:22" ht="23.4" thickBot="1" x14ac:dyDescent="0.35">
      <c r="A427" s="30" t="s">
        <v>150</v>
      </c>
      <c r="B427" s="31">
        <v>8</v>
      </c>
      <c r="C427" s="32" t="s">
        <v>15</v>
      </c>
      <c r="D427" s="31" t="s">
        <v>142</v>
      </c>
      <c r="E427" s="31" t="s">
        <v>124</v>
      </c>
      <c r="F427" s="32" t="s">
        <v>143</v>
      </c>
      <c r="G427" s="31" t="s">
        <v>33</v>
      </c>
      <c r="H427" s="31">
        <v>142.54</v>
      </c>
      <c r="I427" s="31">
        <v>0.39</v>
      </c>
      <c r="J427" s="31">
        <v>0.38</v>
      </c>
      <c r="K427" s="34">
        <v>0.97499999999999998</v>
      </c>
      <c r="L427" s="31">
        <v>4.5999999999999996</v>
      </c>
      <c r="M427" s="19">
        <f>H427*INDEX('Pliegos Tarifarios (Huechuraba)'!$B:$B,MATCH($B427,'Pliegos Tarifarios (Huechuraba)'!$A:$A,0))</f>
        <v>18781.498019999999</v>
      </c>
      <c r="N427" s="19">
        <f>I427*INDEX('Pliegos Tarifarios (Huechuraba)'!$C:$C,MATCH($B427,'Pliegos Tarifarios (Huechuraba)'!$A:$A,0))</f>
        <v>1326.3014700000001</v>
      </c>
      <c r="O427" s="19">
        <f>J427*INDEX('Pliegos Tarifarios (Huechuraba)'!$D:$D,MATCH($B427,'Pliegos Tarifarios (Huechuraba)'!$A:$A,0))</f>
        <v>5496.1889000000001</v>
      </c>
      <c r="P427" s="19">
        <f>H427*INDEX('Pliegos Tarifarios (Huechuraba)'!$E:$E,MATCH($B427,'Pliegos Tarifarios (Huechuraba)'!$A:$A,0))</f>
        <v>1856.4409599999997</v>
      </c>
      <c r="Q427" s="19" cm="1">
        <f t="array" ref="Q427">H427*_xlfn.IFS(H427&lt;=350,INDEX('Pliegos Tarifarios (Huechuraba)'!$F:$F,MATCH($B427,'Pliegos Tarifarios (Huechuraba)'!$A:$A,0)),H427&lt;=500,INDEX('Pliegos Tarifarios (Huechuraba)'!$G:$G,MATCH($B427,'Pliegos Tarifarios (Huechuraba)'!$A:$A,0)),H427&lt;=1000,INDEX('Pliegos Tarifarios (Huechuraba)'!$H:$H,MATCH($B427,'Pliegos Tarifarios (Huechuraba)'!$A:$A,0)),H427&lt;=5000,INDEX('Pliegos Tarifarios (Huechuraba)'!$I:$I,MATCH($B427,'Pliegos Tarifarios (Huechuraba)'!$A:$A,0)),H427&gt;5000,INDEX('Pliegos Tarifarios (Huechuraba)'!$J:$J,MATCH($B427,'Pliegos Tarifarios (Huechuraba)'!$A:$A,0)))/1.19</f>
        <v>93.908705882352933</v>
      </c>
      <c r="R427" s="19">
        <f>INDEX('Pliegos Tarifarios (Huechuraba)'!$K:$K,MATCH($B427,'Pliegos Tarifarios (Huechuraba)'!$A:$A,0))</f>
        <v>723.17600000000004</v>
      </c>
      <c r="S427" s="36">
        <f t="shared" si="18"/>
        <v>28277.514055882351</v>
      </c>
      <c r="T427" s="36">
        <f t="shared" si="19"/>
        <v>5372.7276706176472</v>
      </c>
      <c r="U427" s="19">
        <v>0</v>
      </c>
      <c r="V427" s="36">
        <f t="shared" si="20"/>
        <v>33650.241726499997</v>
      </c>
    </row>
    <row r="428" spans="1:22" ht="23.4" thickBot="1" x14ac:dyDescent="0.35">
      <c r="A428" s="25" t="s">
        <v>151</v>
      </c>
      <c r="B428" s="26">
        <v>9</v>
      </c>
      <c r="C428" s="27" t="s">
        <v>15</v>
      </c>
      <c r="D428" s="26" t="s">
        <v>16</v>
      </c>
      <c r="E428" s="26" t="s">
        <v>17</v>
      </c>
      <c r="F428" s="27" t="s">
        <v>18</v>
      </c>
      <c r="G428" s="26" t="s">
        <v>19</v>
      </c>
      <c r="H428" s="28">
        <v>6629.51</v>
      </c>
      <c r="I428" s="26">
        <v>18.71</v>
      </c>
      <c r="J428" s="26">
        <v>18.5</v>
      </c>
      <c r="K428" s="29">
        <v>0.98899999999999999</v>
      </c>
      <c r="L428" s="26">
        <v>213.86</v>
      </c>
      <c r="M428" s="19">
        <f>H428*INDEX('Pliegos Tarifarios (Huechuraba)'!$B:$B,MATCH($B428,'Pliegos Tarifarios (Huechuraba)'!$A:$A,0))</f>
        <v>873524.12613000011</v>
      </c>
      <c r="N428" s="19">
        <f>I428*INDEX('Pliegos Tarifarios (Huechuraba)'!$C:$C,MATCH($B428,'Pliegos Tarifarios (Huechuraba)'!$A:$A,0))</f>
        <v>64405.788489999999</v>
      </c>
      <c r="O428" s="19">
        <f>J428*INDEX('Pliegos Tarifarios (Huechuraba)'!$D:$D,MATCH($B428,'Pliegos Tarifarios (Huechuraba)'!$A:$A,0))</f>
        <v>268474.47899999999</v>
      </c>
      <c r="P428" s="19">
        <f>H428*INDEX('Pliegos Tarifarios (Huechuraba)'!$E:$E,MATCH($B428,'Pliegos Tarifarios (Huechuraba)'!$A:$A,0))</f>
        <v>86342.738239999991</v>
      </c>
      <c r="Q428" s="19" cm="1">
        <f t="array" ref="Q428">H428*_xlfn.IFS(H428&lt;=350,INDEX('Pliegos Tarifarios (Huechuraba)'!$F:$F,MATCH($B428,'Pliegos Tarifarios (Huechuraba)'!$A:$A,0)),H428&lt;=500,INDEX('Pliegos Tarifarios (Huechuraba)'!$G:$G,MATCH($B428,'Pliegos Tarifarios (Huechuraba)'!$A:$A,0)),H428&lt;=1000,INDEX('Pliegos Tarifarios (Huechuraba)'!$H:$H,MATCH($B428,'Pliegos Tarifarios (Huechuraba)'!$A:$A,0)),H428&lt;=5000,INDEX('Pliegos Tarifarios (Huechuraba)'!$I:$I,MATCH($B428,'Pliegos Tarifarios (Huechuraba)'!$A:$A,0)),H428&gt;5000,INDEX('Pliegos Tarifarios (Huechuraba)'!$J:$J,MATCH($B428,'Pliegos Tarifarios (Huechuraba)'!$A:$A,0)))/1.19</f>
        <v>21754.820630252103</v>
      </c>
      <c r="R428" s="19">
        <f>INDEX('Pliegos Tarifarios (Huechuraba)'!$K:$K,MATCH($B428,'Pliegos Tarifarios (Huechuraba)'!$A:$A,0))</f>
        <v>729.50400000000002</v>
      </c>
      <c r="S428" s="36">
        <f t="shared" si="18"/>
        <v>1315231.4564902522</v>
      </c>
      <c r="T428" s="36">
        <f t="shared" si="19"/>
        <v>249893.97673314792</v>
      </c>
      <c r="U428" s="19">
        <v>0</v>
      </c>
      <c r="V428" s="36">
        <f t="shared" si="20"/>
        <v>1565125.4332234</v>
      </c>
    </row>
    <row r="429" spans="1:22" ht="23.4" thickBot="1" x14ac:dyDescent="0.35">
      <c r="A429" s="25" t="s">
        <v>151</v>
      </c>
      <c r="B429" s="26">
        <v>9</v>
      </c>
      <c r="C429" s="27" t="s">
        <v>15</v>
      </c>
      <c r="D429" s="26" t="s">
        <v>20</v>
      </c>
      <c r="E429" s="26" t="s">
        <v>21</v>
      </c>
      <c r="F429" s="27" t="s">
        <v>22</v>
      </c>
      <c r="G429" s="26" t="s">
        <v>19</v>
      </c>
      <c r="H429" s="28">
        <v>3304.84</v>
      </c>
      <c r="I429" s="26">
        <v>9.3699999999999992</v>
      </c>
      <c r="J429" s="26">
        <v>9</v>
      </c>
      <c r="K429" s="29">
        <v>0.96099999999999997</v>
      </c>
      <c r="L429" s="26">
        <v>106.61</v>
      </c>
      <c r="M429" s="19">
        <f>H429*INDEX('Pliegos Tarifarios (Huechuraba)'!$B:$B,MATCH($B429,'Pliegos Tarifarios (Huechuraba)'!$A:$A,0))</f>
        <v>435455.63292000006</v>
      </c>
      <c r="N429" s="19">
        <f>I429*INDEX('Pliegos Tarifarios (Huechuraba)'!$C:$C,MATCH($B429,'Pliegos Tarifarios (Huechuraba)'!$A:$A,0))</f>
        <v>32254.529029999998</v>
      </c>
      <c r="O429" s="19">
        <f>J429*INDEX('Pliegos Tarifarios (Huechuraba)'!$D:$D,MATCH($B429,'Pliegos Tarifarios (Huechuraba)'!$A:$A,0))</f>
        <v>130609.20600000001</v>
      </c>
      <c r="P429" s="19">
        <f>H429*INDEX('Pliegos Tarifarios (Huechuraba)'!$E:$E,MATCH($B429,'Pliegos Tarifarios (Huechuraba)'!$A:$A,0))</f>
        <v>43042.23616</v>
      </c>
      <c r="Q429" s="19" cm="1">
        <f t="array" ref="Q429">H429*_xlfn.IFS(H429&lt;=350,INDEX('Pliegos Tarifarios (Huechuraba)'!$F:$F,MATCH($B429,'Pliegos Tarifarios (Huechuraba)'!$A:$A,0)),H429&lt;=500,INDEX('Pliegos Tarifarios (Huechuraba)'!$G:$G,MATCH($B429,'Pliegos Tarifarios (Huechuraba)'!$A:$A,0)),H429&lt;=1000,INDEX('Pliegos Tarifarios (Huechuraba)'!$H:$H,MATCH($B429,'Pliegos Tarifarios (Huechuraba)'!$A:$A,0)),H429&lt;=5000,INDEX('Pliegos Tarifarios (Huechuraba)'!$I:$I,MATCH($B429,'Pliegos Tarifarios (Huechuraba)'!$A:$A,0)),H429&gt;5000,INDEX('Pliegos Tarifarios (Huechuraba)'!$J:$J,MATCH($B429,'Pliegos Tarifarios (Huechuraba)'!$A:$A,0)))/1.19</f>
        <v>9917.2971764705871</v>
      </c>
      <c r="R429" s="19">
        <f>INDEX('Pliegos Tarifarios (Huechuraba)'!$K:$K,MATCH($B429,'Pliegos Tarifarios (Huechuraba)'!$A:$A,0))</f>
        <v>729.50400000000002</v>
      </c>
      <c r="S429" s="36">
        <f t="shared" si="18"/>
        <v>652008.40528647066</v>
      </c>
      <c r="T429" s="36">
        <f t="shared" si="19"/>
        <v>123881.59700442942</v>
      </c>
      <c r="U429" s="19">
        <v>0</v>
      </c>
      <c r="V429" s="36">
        <f t="shared" si="20"/>
        <v>775890.0022909001</v>
      </c>
    </row>
    <row r="430" spans="1:22" ht="23.4" thickBot="1" x14ac:dyDescent="0.35">
      <c r="A430" s="25" t="s">
        <v>151</v>
      </c>
      <c r="B430" s="26">
        <v>9</v>
      </c>
      <c r="C430" s="27" t="s">
        <v>15</v>
      </c>
      <c r="D430" s="26" t="s">
        <v>23</v>
      </c>
      <c r="E430" s="26" t="s">
        <v>21</v>
      </c>
      <c r="F430" s="27" t="s">
        <v>24</v>
      </c>
      <c r="G430" s="26" t="s">
        <v>19</v>
      </c>
      <c r="H430" s="28">
        <v>2643.88</v>
      </c>
      <c r="I430" s="26">
        <v>7.42</v>
      </c>
      <c r="J430" s="26">
        <v>7.19</v>
      </c>
      <c r="K430" s="29">
        <v>0.96799999999999997</v>
      </c>
      <c r="L430" s="26">
        <v>85.29</v>
      </c>
      <c r="M430" s="19">
        <f>H430*INDEX('Pliegos Tarifarios (Huechuraba)'!$B:$B,MATCH($B430,'Pliegos Tarifarios (Huechuraba)'!$A:$A,0))</f>
        <v>348365.56044000003</v>
      </c>
      <c r="N430" s="19">
        <f>I430*INDEX('Pliegos Tarifarios (Huechuraba)'!$C:$C,MATCH($B430,'Pliegos Tarifarios (Huechuraba)'!$A:$A,0))</f>
        <v>25542.006979999998</v>
      </c>
      <c r="O430" s="19">
        <f>J430*INDEX('Pliegos Tarifarios (Huechuraba)'!$D:$D,MATCH($B430,'Pliegos Tarifarios (Huechuraba)'!$A:$A,0))</f>
        <v>104342.24346000001</v>
      </c>
      <c r="P430" s="19">
        <f>H430*INDEX('Pliegos Tarifarios (Huechuraba)'!$E:$E,MATCH($B430,'Pliegos Tarifarios (Huechuraba)'!$A:$A,0))</f>
        <v>34433.893120000001</v>
      </c>
      <c r="Q430" s="19" cm="1">
        <f t="array" ref="Q430">H430*_xlfn.IFS(H430&lt;=350,INDEX('Pliegos Tarifarios (Huechuraba)'!$F:$F,MATCH($B430,'Pliegos Tarifarios (Huechuraba)'!$A:$A,0)),H430&lt;=500,INDEX('Pliegos Tarifarios (Huechuraba)'!$G:$G,MATCH($B430,'Pliegos Tarifarios (Huechuraba)'!$A:$A,0)),H430&lt;=1000,INDEX('Pliegos Tarifarios (Huechuraba)'!$H:$H,MATCH($B430,'Pliegos Tarifarios (Huechuraba)'!$A:$A,0)),H430&lt;=5000,INDEX('Pliegos Tarifarios (Huechuraba)'!$I:$I,MATCH($B430,'Pliegos Tarifarios (Huechuraba)'!$A:$A,0)),H430&gt;5000,INDEX('Pliegos Tarifarios (Huechuraba)'!$J:$J,MATCH($B430,'Pliegos Tarifarios (Huechuraba)'!$A:$A,0)))/1.19</f>
        <v>7933.8617478991591</v>
      </c>
      <c r="R430" s="19">
        <f>INDEX('Pliegos Tarifarios (Huechuraba)'!$K:$K,MATCH($B430,'Pliegos Tarifarios (Huechuraba)'!$A:$A,0))</f>
        <v>729.50400000000002</v>
      </c>
      <c r="S430" s="36">
        <f t="shared" si="18"/>
        <v>521347.06974789925</v>
      </c>
      <c r="T430" s="36">
        <f t="shared" si="19"/>
        <v>99055.943252100857</v>
      </c>
      <c r="U430" s="19">
        <v>0</v>
      </c>
      <c r="V430" s="36">
        <f t="shared" si="20"/>
        <v>620403.01300000015</v>
      </c>
    </row>
    <row r="431" spans="1:22" ht="23.4" thickBot="1" x14ac:dyDescent="0.35">
      <c r="A431" s="25" t="s">
        <v>151</v>
      </c>
      <c r="B431" s="26">
        <v>9</v>
      </c>
      <c r="C431" s="27" t="s">
        <v>15</v>
      </c>
      <c r="D431" s="26" t="s">
        <v>25</v>
      </c>
      <c r="E431" s="26" t="s">
        <v>21</v>
      </c>
      <c r="F431" s="27" t="s">
        <v>26</v>
      </c>
      <c r="G431" s="26" t="s">
        <v>19</v>
      </c>
      <c r="H431" s="28">
        <v>2204.96</v>
      </c>
      <c r="I431" s="26">
        <v>6.13</v>
      </c>
      <c r="J431" s="26">
        <v>6.09</v>
      </c>
      <c r="K431" s="29">
        <v>0.99299999999999999</v>
      </c>
      <c r="L431" s="26">
        <v>71.13</v>
      </c>
      <c r="M431" s="19">
        <f>H431*INDEX('Pliegos Tarifarios (Huechuraba)'!$B:$B,MATCH($B431,'Pliegos Tarifarios (Huechuraba)'!$A:$A,0))</f>
        <v>290532.14448000002</v>
      </c>
      <c r="N431" s="19">
        <f>I431*INDEX('Pliegos Tarifarios (Huechuraba)'!$C:$C,MATCH($B431,'Pliegos Tarifarios (Huechuraba)'!$A:$A,0))</f>
        <v>21101.41547</v>
      </c>
      <c r="O431" s="19">
        <f>J431*INDEX('Pliegos Tarifarios (Huechuraba)'!$D:$D,MATCH($B431,'Pliegos Tarifarios (Huechuraba)'!$A:$A,0))</f>
        <v>88378.896059999999</v>
      </c>
      <c r="P431" s="19">
        <f>H431*INDEX('Pliegos Tarifarios (Huechuraba)'!$E:$E,MATCH($B431,'Pliegos Tarifarios (Huechuraba)'!$A:$A,0))</f>
        <v>28717.39904</v>
      </c>
      <c r="Q431" s="19" cm="1">
        <f t="array" ref="Q431">H431*_xlfn.IFS(H431&lt;=350,INDEX('Pliegos Tarifarios (Huechuraba)'!$F:$F,MATCH($B431,'Pliegos Tarifarios (Huechuraba)'!$A:$A,0)),H431&lt;=500,INDEX('Pliegos Tarifarios (Huechuraba)'!$G:$G,MATCH($B431,'Pliegos Tarifarios (Huechuraba)'!$A:$A,0)),H431&lt;=1000,INDEX('Pliegos Tarifarios (Huechuraba)'!$H:$H,MATCH($B431,'Pliegos Tarifarios (Huechuraba)'!$A:$A,0)),H431&lt;=5000,INDEX('Pliegos Tarifarios (Huechuraba)'!$I:$I,MATCH($B431,'Pliegos Tarifarios (Huechuraba)'!$A:$A,0)),H431&gt;5000,INDEX('Pliegos Tarifarios (Huechuraba)'!$J:$J,MATCH($B431,'Pliegos Tarifarios (Huechuraba)'!$A:$A,0)))/1.19</f>
        <v>6616.732907563025</v>
      </c>
      <c r="R431" s="19">
        <f>INDEX('Pliegos Tarifarios (Huechuraba)'!$K:$K,MATCH($B431,'Pliegos Tarifarios (Huechuraba)'!$A:$A,0))</f>
        <v>729.50400000000002</v>
      </c>
      <c r="S431" s="36">
        <f t="shared" si="18"/>
        <v>436076.09195756307</v>
      </c>
      <c r="T431" s="36">
        <f t="shared" si="19"/>
        <v>82854.457471936985</v>
      </c>
      <c r="U431" s="19">
        <v>0</v>
      </c>
      <c r="V431" s="36">
        <f t="shared" si="20"/>
        <v>518930.54942950007</v>
      </c>
    </row>
    <row r="432" spans="1:22" ht="23.4" thickBot="1" x14ac:dyDescent="0.35">
      <c r="A432" s="25" t="s">
        <v>151</v>
      </c>
      <c r="B432" s="26">
        <v>9</v>
      </c>
      <c r="C432" s="27" t="s">
        <v>15</v>
      </c>
      <c r="D432" s="26" t="s">
        <v>27</v>
      </c>
      <c r="E432" s="26" t="s">
        <v>21</v>
      </c>
      <c r="F432" s="27" t="s">
        <v>28</v>
      </c>
      <c r="G432" s="26" t="s">
        <v>19</v>
      </c>
      <c r="H432" s="28">
        <v>2382.2600000000002</v>
      </c>
      <c r="I432" s="26">
        <v>6.6</v>
      </c>
      <c r="J432" s="26">
        <v>6.53</v>
      </c>
      <c r="K432" s="29">
        <v>0.99</v>
      </c>
      <c r="L432" s="26">
        <v>76.849999999999994</v>
      </c>
      <c r="M432" s="19">
        <f>H432*INDEX('Pliegos Tarifarios (Huechuraba)'!$B:$B,MATCH($B432,'Pliegos Tarifarios (Huechuraba)'!$A:$A,0))</f>
        <v>313893.72438000003</v>
      </c>
      <c r="N432" s="19">
        <f>I432*INDEX('Pliegos Tarifarios (Huechuraba)'!$C:$C,MATCH($B432,'Pliegos Tarifarios (Huechuraba)'!$A:$A,0))</f>
        <v>22719.305399999997</v>
      </c>
      <c r="O432" s="19">
        <f>J432*INDEX('Pliegos Tarifarios (Huechuraba)'!$D:$D,MATCH($B432,'Pliegos Tarifarios (Huechuraba)'!$A:$A,0))</f>
        <v>94764.235020000007</v>
      </c>
      <c r="P432" s="19">
        <f>H432*INDEX('Pliegos Tarifarios (Huechuraba)'!$E:$E,MATCH($B432,'Pliegos Tarifarios (Huechuraba)'!$A:$A,0))</f>
        <v>31026.554240000001</v>
      </c>
      <c r="Q432" s="19" cm="1">
        <f t="array" ref="Q432">H432*_xlfn.IFS(H432&lt;=350,INDEX('Pliegos Tarifarios (Huechuraba)'!$F:$F,MATCH($B432,'Pliegos Tarifarios (Huechuraba)'!$A:$A,0)),H432&lt;=500,INDEX('Pliegos Tarifarios (Huechuraba)'!$G:$G,MATCH($B432,'Pliegos Tarifarios (Huechuraba)'!$A:$A,0)),H432&lt;=1000,INDEX('Pliegos Tarifarios (Huechuraba)'!$H:$H,MATCH($B432,'Pliegos Tarifarios (Huechuraba)'!$A:$A,0)),H432&lt;=5000,INDEX('Pliegos Tarifarios (Huechuraba)'!$I:$I,MATCH($B432,'Pliegos Tarifarios (Huechuraba)'!$A:$A,0)),H432&gt;5000,INDEX('Pliegos Tarifarios (Huechuraba)'!$J:$J,MATCH($B432,'Pliegos Tarifarios (Huechuraba)'!$A:$A,0)))/1.19</f>
        <v>7148.7818991596641</v>
      </c>
      <c r="R432" s="19">
        <f>INDEX('Pliegos Tarifarios (Huechuraba)'!$K:$K,MATCH($B432,'Pliegos Tarifarios (Huechuraba)'!$A:$A,0))</f>
        <v>729.50400000000002</v>
      </c>
      <c r="S432" s="36">
        <f t="shared" si="18"/>
        <v>470282.10493915976</v>
      </c>
      <c r="T432" s="36">
        <f t="shared" si="19"/>
        <v>89353.599938440355</v>
      </c>
      <c r="U432" s="19">
        <v>0</v>
      </c>
      <c r="V432" s="36">
        <f t="shared" si="20"/>
        <v>559635.70487760007</v>
      </c>
    </row>
    <row r="433" spans="1:22" ht="23.4" thickBot="1" x14ac:dyDescent="0.35">
      <c r="A433" s="25" t="s">
        <v>151</v>
      </c>
      <c r="B433" s="26">
        <v>9</v>
      </c>
      <c r="C433" s="27" t="s">
        <v>15</v>
      </c>
      <c r="D433" s="26" t="s">
        <v>29</v>
      </c>
      <c r="E433" s="26" t="s">
        <v>21</v>
      </c>
      <c r="F433" s="27" t="s">
        <v>30</v>
      </c>
      <c r="G433" s="26" t="s">
        <v>19</v>
      </c>
      <c r="H433" s="28">
        <v>1586.42</v>
      </c>
      <c r="I433" s="26">
        <v>4.4400000000000004</v>
      </c>
      <c r="J433" s="26">
        <v>4.4400000000000004</v>
      </c>
      <c r="K433" s="29">
        <v>1</v>
      </c>
      <c r="L433" s="26">
        <v>51.17</v>
      </c>
      <c r="M433" s="19">
        <f>H433*INDEX('Pliegos Tarifarios (Huechuraba)'!$B:$B,MATCH($B433,'Pliegos Tarifarios (Huechuraba)'!$A:$A,0))</f>
        <v>209031.45846000002</v>
      </c>
      <c r="N433" s="19">
        <f>I433*INDEX('Pliegos Tarifarios (Huechuraba)'!$C:$C,MATCH($B433,'Pliegos Tarifarios (Huechuraba)'!$A:$A,0))</f>
        <v>15283.896360000001</v>
      </c>
      <c r="O433" s="19">
        <f>J433*INDEX('Pliegos Tarifarios (Huechuraba)'!$D:$D,MATCH($B433,'Pliegos Tarifarios (Huechuraba)'!$A:$A,0))</f>
        <v>64433.874960000008</v>
      </c>
      <c r="P433" s="19">
        <f>H433*INDEX('Pliegos Tarifarios (Huechuraba)'!$E:$E,MATCH($B433,'Pliegos Tarifarios (Huechuraba)'!$A:$A,0))</f>
        <v>20661.534080000001</v>
      </c>
      <c r="Q433" s="19" cm="1">
        <f t="array" ref="Q433">H433*_xlfn.IFS(H433&lt;=350,INDEX('Pliegos Tarifarios (Huechuraba)'!$F:$F,MATCH($B433,'Pliegos Tarifarios (Huechuraba)'!$A:$A,0)),H433&lt;=500,INDEX('Pliegos Tarifarios (Huechuraba)'!$G:$G,MATCH($B433,'Pliegos Tarifarios (Huechuraba)'!$A:$A,0)),H433&lt;=1000,INDEX('Pliegos Tarifarios (Huechuraba)'!$H:$H,MATCH($B433,'Pliegos Tarifarios (Huechuraba)'!$A:$A,0)),H433&lt;=5000,INDEX('Pliegos Tarifarios (Huechuraba)'!$I:$I,MATCH($B433,'Pliegos Tarifarios (Huechuraba)'!$A:$A,0)),H433&gt;5000,INDEX('Pliegos Tarifarios (Huechuraba)'!$J:$J,MATCH($B433,'Pliegos Tarifarios (Huechuraba)'!$A:$A,0)))/1.19</f>
        <v>4760.5931260504203</v>
      </c>
      <c r="R433" s="19">
        <f>INDEX('Pliegos Tarifarios (Huechuraba)'!$K:$K,MATCH($B433,'Pliegos Tarifarios (Huechuraba)'!$A:$A,0))</f>
        <v>729.50400000000002</v>
      </c>
      <c r="S433" s="36">
        <f t="shared" si="18"/>
        <v>314900.86098605051</v>
      </c>
      <c r="T433" s="36">
        <f t="shared" si="19"/>
        <v>59831.163587349598</v>
      </c>
      <c r="U433" s="19">
        <v>0</v>
      </c>
      <c r="V433" s="36">
        <f t="shared" si="20"/>
        <v>374732.02457340009</v>
      </c>
    </row>
    <row r="434" spans="1:22" ht="23.4" thickBot="1" x14ac:dyDescent="0.35">
      <c r="A434" s="25" t="s">
        <v>151</v>
      </c>
      <c r="B434" s="26">
        <v>9</v>
      </c>
      <c r="C434" s="27" t="s">
        <v>15</v>
      </c>
      <c r="D434" s="26" t="s">
        <v>31</v>
      </c>
      <c r="E434" s="26" t="s">
        <v>21</v>
      </c>
      <c r="F434" s="27" t="s">
        <v>32</v>
      </c>
      <c r="G434" s="26" t="s">
        <v>33</v>
      </c>
      <c r="H434" s="26">
        <v>528.71</v>
      </c>
      <c r="I434" s="26">
        <v>1.52</v>
      </c>
      <c r="J434" s="26">
        <v>1.45</v>
      </c>
      <c r="K434" s="29">
        <v>0.95399999999999996</v>
      </c>
      <c r="L434" s="26">
        <v>17.059999999999999</v>
      </c>
      <c r="M434" s="19">
        <f>H434*INDEX('Pliegos Tarifarios (Huechuraba)'!$B:$B,MATCH($B434,'Pliegos Tarifarios (Huechuraba)'!$A:$A,0))</f>
        <v>69664.415730000008</v>
      </c>
      <c r="N434" s="19">
        <f>I434*INDEX('Pliegos Tarifarios (Huechuraba)'!$C:$C,MATCH($B434,'Pliegos Tarifarios (Huechuraba)'!$A:$A,0))</f>
        <v>5232.3248800000001</v>
      </c>
      <c r="O434" s="19">
        <f>J434*INDEX('Pliegos Tarifarios (Huechuraba)'!$D:$D,MATCH($B434,'Pliegos Tarifarios (Huechuraba)'!$A:$A,0))</f>
        <v>21042.594300000001</v>
      </c>
      <c r="P434" s="19">
        <f>H434*INDEX('Pliegos Tarifarios (Huechuraba)'!$E:$E,MATCH($B434,'Pliegos Tarifarios (Huechuraba)'!$A:$A,0))</f>
        <v>6885.9190399999998</v>
      </c>
      <c r="Q434" s="19" cm="1">
        <f t="array" ref="Q434">H434*_xlfn.IFS(H434&lt;=350,INDEX('Pliegos Tarifarios (Huechuraba)'!$F:$F,MATCH($B434,'Pliegos Tarifarios (Huechuraba)'!$A:$A,0)),H434&lt;=500,INDEX('Pliegos Tarifarios (Huechuraba)'!$G:$G,MATCH($B434,'Pliegos Tarifarios (Huechuraba)'!$A:$A,0)),H434&lt;=1000,INDEX('Pliegos Tarifarios (Huechuraba)'!$H:$H,MATCH($B434,'Pliegos Tarifarios (Huechuraba)'!$A:$A,0)),H434&lt;=5000,INDEX('Pliegos Tarifarios (Huechuraba)'!$I:$I,MATCH($B434,'Pliegos Tarifarios (Huechuraba)'!$A:$A,0)),H434&gt;5000,INDEX('Pliegos Tarifarios (Huechuraba)'!$J:$J,MATCH($B434,'Pliegos Tarifarios (Huechuraba)'!$A:$A,0)))/1.19</f>
        <v>1240.0248823529414</v>
      </c>
      <c r="R434" s="19">
        <f>INDEX('Pliegos Tarifarios (Huechuraba)'!$K:$K,MATCH($B434,'Pliegos Tarifarios (Huechuraba)'!$A:$A,0))</f>
        <v>729.50400000000002</v>
      </c>
      <c r="S434" s="36">
        <f t="shared" si="18"/>
        <v>104794.78283235294</v>
      </c>
      <c r="T434" s="36">
        <f t="shared" si="19"/>
        <v>19911.008738147058</v>
      </c>
      <c r="U434" s="19">
        <v>0</v>
      </c>
      <c r="V434" s="36">
        <f t="shared" si="20"/>
        <v>124705.79157050001</v>
      </c>
    </row>
    <row r="435" spans="1:22" ht="23.4" thickBot="1" x14ac:dyDescent="0.35">
      <c r="A435" s="25" t="s">
        <v>151</v>
      </c>
      <c r="B435" s="26">
        <v>9</v>
      </c>
      <c r="C435" s="27" t="s">
        <v>15</v>
      </c>
      <c r="D435" s="26" t="s">
        <v>34</v>
      </c>
      <c r="E435" s="26" t="s">
        <v>21</v>
      </c>
      <c r="F435" s="27" t="s">
        <v>35</v>
      </c>
      <c r="G435" s="26" t="s">
        <v>19</v>
      </c>
      <c r="H435" s="28">
        <v>1586.5</v>
      </c>
      <c r="I435" s="26">
        <v>4.46</v>
      </c>
      <c r="J435" s="26">
        <v>4.24</v>
      </c>
      <c r="K435" s="29">
        <v>0.95</v>
      </c>
      <c r="L435" s="26">
        <v>51.18</v>
      </c>
      <c r="M435" s="19">
        <f>H435*INDEX('Pliegos Tarifarios (Huechuraba)'!$B:$B,MATCH($B435,'Pliegos Tarifarios (Huechuraba)'!$A:$A,0))</f>
        <v>209041.99950000001</v>
      </c>
      <c r="N435" s="19">
        <f>I435*INDEX('Pliegos Tarifarios (Huechuraba)'!$C:$C,MATCH($B435,'Pliegos Tarifarios (Huechuraba)'!$A:$A,0))</f>
        <v>15352.74274</v>
      </c>
      <c r="O435" s="19">
        <f>J435*INDEX('Pliegos Tarifarios (Huechuraba)'!$D:$D,MATCH($B435,'Pliegos Tarifarios (Huechuraba)'!$A:$A,0))</f>
        <v>61531.44816</v>
      </c>
      <c r="P435" s="19">
        <f>H435*INDEX('Pliegos Tarifarios (Huechuraba)'!$E:$E,MATCH($B435,'Pliegos Tarifarios (Huechuraba)'!$A:$A,0))</f>
        <v>20662.575999999997</v>
      </c>
      <c r="Q435" s="19" cm="1">
        <f t="array" ref="Q435">H435*_xlfn.IFS(H435&lt;=350,INDEX('Pliegos Tarifarios (Huechuraba)'!$F:$F,MATCH($B435,'Pliegos Tarifarios (Huechuraba)'!$A:$A,0)),H435&lt;=500,INDEX('Pliegos Tarifarios (Huechuraba)'!$G:$G,MATCH($B435,'Pliegos Tarifarios (Huechuraba)'!$A:$A,0)),H435&lt;=1000,INDEX('Pliegos Tarifarios (Huechuraba)'!$H:$H,MATCH($B435,'Pliegos Tarifarios (Huechuraba)'!$A:$A,0)),H435&lt;=5000,INDEX('Pliegos Tarifarios (Huechuraba)'!$I:$I,MATCH($B435,'Pliegos Tarifarios (Huechuraba)'!$A:$A,0)),H435&gt;5000,INDEX('Pliegos Tarifarios (Huechuraba)'!$J:$J,MATCH($B435,'Pliegos Tarifarios (Huechuraba)'!$A:$A,0)))/1.19</f>
        <v>4760.8331932773108</v>
      </c>
      <c r="R435" s="19">
        <f>INDEX('Pliegos Tarifarios (Huechuraba)'!$K:$K,MATCH($B435,'Pliegos Tarifarios (Huechuraba)'!$A:$A,0))</f>
        <v>729.50400000000002</v>
      </c>
      <c r="S435" s="36">
        <f t="shared" si="18"/>
        <v>312079.10359327728</v>
      </c>
      <c r="T435" s="36">
        <f t="shared" si="19"/>
        <v>59295.029682722685</v>
      </c>
      <c r="U435" s="19">
        <v>0</v>
      </c>
      <c r="V435" s="36">
        <f t="shared" si="20"/>
        <v>371374.13327599998</v>
      </c>
    </row>
    <row r="436" spans="1:22" ht="23.4" thickBot="1" x14ac:dyDescent="0.35">
      <c r="A436" s="25" t="s">
        <v>151</v>
      </c>
      <c r="B436" s="26">
        <v>9</v>
      </c>
      <c r="C436" s="27" t="s">
        <v>15</v>
      </c>
      <c r="D436" s="26" t="s">
        <v>36</v>
      </c>
      <c r="E436" s="26" t="s">
        <v>37</v>
      </c>
      <c r="F436" s="27" t="s">
        <v>38</v>
      </c>
      <c r="G436" s="26" t="s">
        <v>33</v>
      </c>
      <c r="H436" s="26">
        <v>659.89</v>
      </c>
      <c r="I436" s="26">
        <v>1.9</v>
      </c>
      <c r="J436" s="26">
        <v>1.82</v>
      </c>
      <c r="K436" s="29">
        <v>0.96</v>
      </c>
      <c r="L436" s="26">
        <v>21.29</v>
      </c>
      <c r="M436" s="19">
        <f>H436*INDEX('Pliegos Tarifarios (Huechuraba)'!$B:$B,MATCH($B436,'Pliegos Tarifarios (Huechuraba)'!$A:$A,0))</f>
        <v>86949.086070000005</v>
      </c>
      <c r="N436" s="19">
        <f>I436*INDEX('Pliegos Tarifarios (Huechuraba)'!$C:$C,MATCH($B436,'Pliegos Tarifarios (Huechuraba)'!$A:$A,0))</f>
        <v>6540.4060999999992</v>
      </c>
      <c r="O436" s="19">
        <f>J436*INDEX('Pliegos Tarifarios (Huechuraba)'!$D:$D,MATCH($B436,'Pliegos Tarifarios (Huechuraba)'!$A:$A,0))</f>
        <v>26412.083880000002</v>
      </c>
      <c r="P436" s="19">
        <f>H436*INDEX('Pliegos Tarifarios (Huechuraba)'!$E:$E,MATCH($B436,'Pliegos Tarifarios (Huechuraba)'!$A:$A,0))</f>
        <v>8594.4073599999992</v>
      </c>
      <c r="Q436" s="19" cm="1">
        <f t="array" ref="Q436">H436*_xlfn.IFS(H436&lt;=350,INDEX('Pliegos Tarifarios (Huechuraba)'!$F:$F,MATCH($B436,'Pliegos Tarifarios (Huechuraba)'!$A:$A,0)),H436&lt;=500,INDEX('Pliegos Tarifarios (Huechuraba)'!$G:$G,MATCH($B436,'Pliegos Tarifarios (Huechuraba)'!$A:$A,0)),H436&lt;=1000,INDEX('Pliegos Tarifarios (Huechuraba)'!$H:$H,MATCH($B436,'Pliegos Tarifarios (Huechuraba)'!$A:$A,0)),H436&lt;=5000,INDEX('Pliegos Tarifarios (Huechuraba)'!$I:$I,MATCH($B436,'Pliegos Tarifarios (Huechuraba)'!$A:$A,0)),H436&gt;5000,INDEX('Pliegos Tarifarios (Huechuraba)'!$J:$J,MATCH($B436,'Pliegos Tarifarios (Huechuraba)'!$A:$A,0)))/1.19</f>
        <v>1547.6915882352944</v>
      </c>
      <c r="R436" s="19">
        <f>INDEX('Pliegos Tarifarios (Huechuraba)'!$K:$K,MATCH($B436,'Pliegos Tarifarios (Huechuraba)'!$A:$A,0))</f>
        <v>729.50400000000002</v>
      </c>
      <c r="S436" s="36">
        <f t="shared" si="18"/>
        <v>130773.17899823529</v>
      </c>
      <c r="T436" s="36">
        <f t="shared" si="19"/>
        <v>24846.904009664708</v>
      </c>
      <c r="U436" s="19">
        <v>0</v>
      </c>
      <c r="V436" s="36">
        <f t="shared" si="20"/>
        <v>155620.08300789999</v>
      </c>
    </row>
    <row r="437" spans="1:22" ht="23.4" thickBot="1" x14ac:dyDescent="0.35">
      <c r="A437" s="25" t="s">
        <v>151</v>
      </c>
      <c r="B437" s="26">
        <v>9</v>
      </c>
      <c r="C437" s="27" t="s">
        <v>15</v>
      </c>
      <c r="D437" s="26" t="s">
        <v>39</v>
      </c>
      <c r="E437" s="26" t="s">
        <v>37</v>
      </c>
      <c r="F437" s="27" t="s">
        <v>40</v>
      </c>
      <c r="G437" s="26" t="s">
        <v>33</v>
      </c>
      <c r="H437" s="26">
        <v>528.42999999999995</v>
      </c>
      <c r="I437" s="26">
        <v>1.51</v>
      </c>
      <c r="J437" s="26">
        <v>1.5</v>
      </c>
      <c r="K437" s="29">
        <v>0.998</v>
      </c>
      <c r="L437" s="26">
        <v>17.05</v>
      </c>
      <c r="M437" s="19">
        <f>H437*INDEX('Pliegos Tarifarios (Huechuraba)'!$B:$B,MATCH($B437,'Pliegos Tarifarios (Huechuraba)'!$A:$A,0))</f>
        <v>69627.522089999999</v>
      </c>
      <c r="N437" s="19">
        <f>I437*INDEX('Pliegos Tarifarios (Huechuraba)'!$C:$C,MATCH($B437,'Pliegos Tarifarios (Huechuraba)'!$A:$A,0))</f>
        <v>5197.9016899999997</v>
      </c>
      <c r="O437" s="19">
        <f>J437*INDEX('Pliegos Tarifarios (Huechuraba)'!$D:$D,MATCH($B437,'Pliegos Tarifarios (Huechuraba)'!$A:$A,0))</f>
        <v>21768.201000000001</v>
      </c>
      <c r="P437" s="19">
        <f>H437*INDEX('Pliegos Tarifarios (Huechuraba)'!$E:$E,MATCH($B437,'Pliegos Tarifarios (Huechuraba)'!$A:$A,0))</f>
        <v>6882.2723199999991</v>
      </c>
      <c r="Q437" s="19" cm="1">
        <f t="array" ref="Q437">H437*_xlfn.IFS(H437&lt;=350,INDEX('Pliegos Tarifarios (Huechuraba)'!$F:$F,MATCH($B437,'Pliegos Tarifarios (Huechuraba)'!$A:$A,0)),H437&lt;=500,INDEX('Pliegos Tarifarios (Huechuraba)'!$G:$G,MATCH($B437,'Pliegos Tarifarios (Huechuraba)'!$A:$A,0)),H437&lt;=1000,INDEX('Pliegos Tarifarios (Huechuraba)'!$H:$H,MATCH($B437,'Pliegos Tarifarios (Huechuraba)'!$A:$A,0)),H437&lt;=5000,INDEX('Pliegos Tarifarios (Huechuraba)'!$I:$I,MATCH($B437,'Pliegos Tarifarios (Huechuraba)'!$A:$A,0)),H437&gt;5000,INDEX('Pliegos Tarifarios (Huechuraba)'!$J:$J,MATCH($B437,'Pliegos Tarifarios (Huechuraba)'!$A:$A,0)))/1.19</f>
        <v>1239.3681764705884</v>
      </c>
      <c r="R437" s="19">
        <f>INDEX('Pliegos Tarifarios (Huechuraba)'!$K:$K,MATCH($B437,'Pliegos Tarifarios (Huechuraba)'!$A:$A,0))</f>
        <v>729.50400000000002</v>
      </c>
      <c r="S437" s="36">
        <f t="shared" si="18"/>
        <v>105444.76927647059</v>
      </c>
      <c r="T437" s="36">
        <f t="shared" si="19"/>
        <v>20034.506162529411</v>
      </c>
      <c r="U437" s="19">
        <v>0</v>
      </c>
      <c r="V437" s="36">
        <f t="shared" si="20"/>
        <v>125479.27543899999</v>
      </c>
    </row>
    <row r="438" spans="1:22" ht="23.4" thickBot="1" x14ac:dyDescent="0.35">
      <c r="A438" s="25" t="s">
        <v>151</v>
      </c>
      <c r="B438" s="26">
        <v>9</v>
      </c>
      <c r="C438" s="27" t="s">
        <v>15</v>
      </c>
      <c r="D438" s="26" t="s">
        <v>41</v>
      </c>
      <c r="E438" s="26" t="s">
        <v>37</v>
      </c>
      <c r="F438" s="27" t="s">
        <v>42</v>
      </c>
      <c r="G438" s="26" t="s">
        <v>33</v>
      </c>
      <c r="H438" s="28">
        <v>1056.3</v>
      </c>
      <c r="I438" s="26">
        <v>2.98</v>
      </c>
      <c r="J438" s="26">
        <v>2.98</v>
      </c>
      <c r="K438" s="29">
        <v>1</v>
      </c>
      <c r="L438" s="26">
        <v>34.07</v>
      </c>
      <c r="M438" s="19">
        <f>H438*INDEX('Pliegos Tarifarios (Huechuraba)'!$B:$B,MATCH($B438,'Pliegos Tarifarios (Huechuraba)'!$A:$A,0))</f>
        <v>139181.25690000001</v>
      </c>
      <c r="N438" s="19">
        <f>I438*INDEX('Pliegos Tarifarios (Huechuraba)'!$C:$C,MATCH($B438,'Pliegos Tarifarios (Huechuraba)'!$A:$A,0))</f>
        <v>10258.110619999999</v>
      </c>
      <c r="O438" s="19">
        <f>J438*INDEX('Pliegos Tarifarios (Huechuraba)'!$D:$D,MATCH($B438,'Pliegos Tarifarios (Huechuraba)'!$A:$A,0))</f>
        <v>43246.159319999999</v>
      </c>
      <c r="P438" s="19">
        <f>H438*INDEX('Pliegos Tarifarios (Huechuraba)'!$E:$E,MATCH($B438,'Pliegos Tarifarios (Huechuraba)'!$A:$A,0))</f>
        <v>13757.251199999999</v>
      </c>
      <c r="Q438" s="19" cm="1">
        <f t="array" ref="Q438">H438*_xlfn.IFS(H438&lt;=350,INDEX('Pliegos Tarifarios (Huechuraba)'!$F:$F,MATCH($B438,'Pliegos Tarifarios (Huechuraba)'!$A:$A,0)),H438&lt;=500,INDEX('Pliegos Tarifarios (Huechuraba)'!$G:$G,MATCH($B438,'Pliegos Tarifarios (Huechuraba)'!$A:$A,0)),H438&lt;=1000,INDEX('Pliegos Tarifarios (Huechuraba)'!$H:$H,MATCH($B438,'Pliegos Tarifarios (Huechuraba)'!$A:$A,0)),H438&lt;=5000,INDEX('Pliegos Tarifarios (Huechuraba)'!$I:$I,MATCH($B438,'Pliegos Tarifarios (Huechuraba)'!$A:$A,0)),H438&gt;5000,INDEX('Pliegos Tarifarios (Huechuraba)'!$J:$J,MATCH($B438,'Pliegos Tarifarios (Huechuraba)'!$A:$A,0)))/1.19</f>
        <v>3169.7876470588235</v>
      </c>
      <c r="R438" s="19">
        <f>INDEX('Pliegos Tarifarios (Huechuraba)'!$K:$K,MATCH($B438,'Pliegos Tarifarios (Huechuraba)'!$A:$A,0))</f>
        <v>729.50400000000002</v>
      </c>
      <c r="S438" s="36">
        <f t="shared" si="18"/>
        <v>210342.06968705883</v>
      </c>
      <c r="T438" s="36">
        <f t="shared" si="19"/>
        <v>39964.993240541175</v>
      </c>
      <c r="U438" s="19">
        <v>0</v>
      </c>
      <c r="V438" s="36">
        <f t="shared" si="20"/>
        <v>250307.0629276</v>
      </c>
    </row>
    <row r="439" spans="1:22" ht="23.4" thickBot="1" x14ac:dyDescent="0.35">
      <c r="A439" s="25" t="s">
        <v>151</v>
      </c>
      <c r="B439" s="26">
        <v>9</v>
      </c>
      <c r="C439" s="27" t="s">
        <v>15</v>
      </c>
      <c r="D439" s="26" t="s">
        <v>43</v>
      </c>
      <c r="E439" s="26" t="s">
        <v>37</v>
      </c>
      <c r="F439" s="27" t="s">
        <v>44</v>
      </c>
      <c r="G439" s="26" t="s">
        <v>33</v>
      </c>
      <c r="H439" s="26">
        <v>396.98</v>
      </c>
      <c r="I439" s="26">
        <v>1.1599999999999999</v>
      </c>
      <c r="J439" s="26">
        <v>1.1299999999999999</v>
      </c>
      <c r="K439" s="29">
        <v>0.97499999999999998</v>
      </c>
      <c r="L439" s="26">
        <v>12.81</v>
      </c>
      <c r="M439" s="19">
        <f>H439*INDEX('Pliegos Tarifarios (Huechuraba)'!$B:$B,MATCH($B439,'Pliegos Tarifarios (Huechuraba)'!$A:$A,0))</f>
        <v>52307.275740000005</v>
      </c>
      <c r="N439" s="19">
        <f>I439*INDEX('Pliegos Tarifarios (Huechuraba)'!$C:$C,MATCH($B439,'Pliegos Tarifarios (Huechuraba)'!$A:$A,0))</f>
        <v>3993.0900399999996</v>
      </c>
      <c r="O439" s="19">
        <f>J439*INDEX('Pliegos Tarifarios (Huechuraba)'!$D:$D,MATCH($B439,'Pliegos Tarifarios (Huechuraba)'!$A:$A,0))</f>
        <v>16398.71142</v>
      </c>
      <c r="P439" s="19">
        <f>H439*INDEX('Pliegos Tarifarios (Huechuraba)'!$E:$E,MATCH($B439,'Pliegos Tarifarios (Huechuraba)'!$A:$A,0))</f>
        <v>5170.2675200000003</v>
      </c>
      <c r="Q439" s="19" cm="1">
        <f t="array" ref="Q439">H439*_xlfn.IFS(H439&lt;=350,INDEX('Pliegos Tarifarios (Huechuraba)'!$F:$F,MATCH($B439,'Pliegos Tarifarios (Huechuraba)'!$A:$A,0)),H439&lt;=500,INDEX('Pliegos Tarifarios (Huechuraba)'!$G:$G,MATCH($B439,'Pliegos Tarifarios (Huechuraba)'!$A:$A,0)),H439&lt;=1000,INDEX('Pliegos Tarifarios (Huechuraba)'!$H:$H,MATCH($B439,'Pliegos Tarifarios (Huechuraba)'!$A:$A,0)),H439&lt;=5000,INDEX('Pliegos Tarifarios (Huechuraba)'!$I:$I,MATCH($B439,'Pliegos Tarifarios (Huechuraba)'!$A:$A,0)),H439&gt;5000,INDEX('Pliegos Tarifarios (Huechuraba)'!$J:$J,MATCH($B439,'Pliegos Tarifarios (Huechuraba)'!$A:$A,0)))/1.19</f>
        <v>559.10796638655472</v>
      </c>
      <c r="R439" s="19">
        <f>INDEX('Pliegos Tarifarios (Huechuraba)'!$K:$K,MATCH($B439,'Pliegos Tarifarios (Huechuraba)'!$A:$A,0))</f>
        <v>729.50400000000002</v>
      </c>
      <c r="S439" s="36">
        <f t="shared" si="18"/>
        <v>79157.956686386548</v>
      </c>
      <c r="T439" s="36">
        <f t="shared" si="19"/>
        <v>15040.011770413445</v>
      </c>
      <c r="U439" s="19">
        <v>0</v>
      </c>
      <c r="V439" s="36">
        <f t="shared" si="20"/>
        <v>94197.968456799994</v>
      </c>
    </row>
    <row r="440" spans="1:22" ht="23.4" thickBot="1" x14ac:dyDescent="0.35">
      <c r="A440" s="25" t="s">
        <v>151</v>
      </c>
      <c r="B440" s="26">
        <v>9</v>
      </c>
      <c r="C440" s="27" t="s">
        <v>15</v>
      </c>
      <c r="D440" s="26" t="s">
        <v>45</v>
      </c>
      <c r="E440" s="26" t="s">
        <v>37</v>
      </c>
      <c r="F440" s="27" t="s">
        <v>46</v>
      </c>
      <c r="G440" s="26" t="s">
        <v>33</v>
      </c>
      <c r="H440" s="26">
        <v>396.91</v>
      </c>
      <c r="I440" s="26">
        <v>1.0900000000000001</v>
      </c>
      <c r="J440" s="26">
        <v>1.08</v>
      </c>
      <c r="K440" s="29">
        <v>0.98899999999999999</v>
      </c>
      <c r="L440" s="26">
        <v>12.8</v>
      </c>
      <c r="M440" s="19">
        <f>H440*INDEX('Pliegos Tarifarios (Huechuraba)'!$B:$B,MATCH($B440,'Pliegos Tarifarios (Huechuraba)'!$A:$A,0))</f>
        <v>52298.052330000006</v>
      </c>
      <c r="N440" s="19">
        <f>I440*INDEX('Pliegos Tarifarios (Huechuraba)'!$C:$C,MATCH($B440,'Pliegos Tarifarios (Huechuraba)'!$A:$A,0))</f>
        <v>3752.1277100000002</v>
      </c>
      <c r="O440" s="19">
        <f>J440*INDEX('Pliegos Tarifarios (Huechuraba)'!$D:$D,MATCH($B440,'Pliegos Tarifarios (Huechuraba)'!$A:$A,0))</f>
        <v>15673.104720000001</v>
      </c>
      <c r="P440" s="19">
        <f>H440*INDEX('Pliegos Tarifarios (Huechuraba)'!$E:$E,MATCH($B440,'Pliegos Tarifarios (Huechuraba)'!$A:$A,0))</f>
        <v>5169.3558400000002</v>
      </c>
      <c r="Q440" s="19" cm="1">
        <f t="array" ref="Q440">H440*_xlfn.IFS(H440&lt;=350,INDEX('Pliegos Tarifarios (Huechuraba)'!$F:$F,MATCH($B440,'Pliegos Tarifarios (Huechuraba)'!$A:$A,0)),H440&lt;=500,INDEX('Pliegos Tarifarios (Huechuraba)'!$G:$G,MATCH($B440,'Pliegos Tarifarios (Huechuraba)'!$A:$A,0)),H440&lt;=1000,INDEX('Pliegos Tarifarios (Huechuraba)'!$H:$H,MATCH($B440,'Pliegos Tarifarios (Huechuraba)'!$A:$A,0)),H440&lt;=5000,INDEX('Pliegos Tarifarios (Huechuraba)'!$I:$I,MATCH($B440,'Pliegos Tarifarios (Huechuraba)'!$A:$A,0)),H440&gt;5000,INDEX('Pliegos Tarifarios (Huechuraba)'!$J:$J,MATCH($B440,'Pliegos Tarifarios (Huechuraba)'!$A:$A,0)))/1.19</f>
        <v>559.00937815126053</v>
      </c>
      <c r="R440" s="19">
        <f>INDEX('Pliegos Tarifarios (Huechuraba)'!$K:$K,MATCH($B440,'Pliegos Tarifarios (Huechuraba)'!$A:$A,0))</f>
        <v>729.50400000000002</v>
      </c>
      <c r="S440" s="36">
        <f t="shared" si="18"/>
        <v>78181.153978151269</v>
      </c>
      <c r="T440" s="36">
        <f t="shared" si="19"/>
        <v>14854.419255848741</v>
      </c>
      <c r="U440" s="19">
        <v>0</v>
      </c>
      <c r="V440" s="36">
        <f t="shared" si="20"/>
        <v>93035.57323400001</v>
      </c>
    </row>
    <row r="441" spans="1:22" ht="23.4" thickBot="1" x14ac:dyDescent="0.35">
      <c r="A441" s="25" t="s">
        <v>151</v>
      </c>
      <c r="B441" s="26">
        <v>9</v>
      </c>
      <c r="C441" s="27" t="s">
        <v>15</v>
      </c>
      <c r="D441" s="26" t="s">
        <v>47</v>
      </c>
      <c r="E441" s="26" t="s">
        <v>37</v>
      </c>
      <c r="F441" s="27" t="s">
        <v>48</v>
      </c>
      <c r="G441" s="26" t="s">
        <v>33</v>
      </c>
      <c r="H441" s="26">
        <v>794.11</v>
      </c>
      <c r="I441" s="26">
        <v>2.25</v>
      </c>
      <c r="J441" s="26">
        <v>2.1800000000000002</v>
      </c>
      <c r="K441" s="29">
        <v>0.96599999999999997</v>
      </c>
      <c r="L441" s="26">
        <v>25.62</v>
      </c>
      <c r="M441" s="19">
        <f>H441*INDEX('Pliegos Tarifarios (Huechuraba)'!$B:$B,MATCH($B441,'Pliegos Tarifarios (Huechuraba)'!$A:$A,0))</f>
        <v>104634.31593000001</v>
      </c>
      <c r="N441" s="19">
        <f>I441*INDEX('Pliegos Tarifarios (Huechuraba)'!$C:$C,MATCH($B441,'Pliegos Tarifarios (Huechuraba)'!$A:$A,0))</f>
        <v>7745.2177499999998</v>
      </c>
      <c r="O441" s="19">
        <f>J441*INDEX('Pliegos Tarifarios (Huechuraba)'!$D:$D,MATCH($B441,'Pliegos Tarifarios (Huechuraba)'!$A:$A,0))</f>
        <v>31636.452120000002</v>
      </c>
      <c r="P441" s="19">
        <f>H441*INDEX('Pliegos Tarifarios (Huechuraba)'!$E:$E,MATCH($B441,'Pliegos Tarifarios (Huechuraba)'!$A:$A,0))</f>
        <v>10342.48864</v>
      </c>
      <c r="Q441" s="19" cm="1">
        <f t="array" ref="Q441">H441*_xlfn.IFS(H441&lt;=350,INDEX('Pliegos Tarifarios (Huechuraba)'!$F:$F,MATCH($B441,'Pliegos Tarifarios (Huechuraba)'!$A:$A,0)),H441&lt;=500,INDEX('Pliegos Tarifarios (Huechuraba)'!$G:$G,MATCH($B441,'Pliegos Tarifarios (Huechuraba)'!$A:$A,0)),H441&lt;=1000,INDEX('Pliegos Tarifarios (Huechuraba)'!$H:$H,MATCH($B441,'Pliegos Tarifarios (Huechuraba)'!$A:$A,0)),H441&lt;=5000,INDEX('Pliegos Tarifarios (Huechuraba)'!$I:$I,MATCH($B441,'Pliegos Tarifarios (Huechuraba)'!$A:$A,0)),H441&gt;5000,INDEX('Pliegos Tarifarios (Huechuraba)'!$J:$J,MATCH($B441,'Pliegos Tarifarios (Huechuraba)'!$A:$A,0)))/1.19</f>
        <v>1862.4882436974794</v>
      </c>
      <c r="R441" s="19">
        <f>INDEX('Pliegos Tarifarios (Huechuraba)'!$K:$K,MATCH($B441,'Pliegos Tarifarios (Huechuraba)'!$A:$A,0))</f>
        <v>729.50400000000002</v>
      </c>
      <c r="S441" s="36">
        <f t="shared" si="18"/>
        <v>156950.46668369748</v>
      </c>
      <c r="T441" s="36">
        <f t="shared" si="19"/>
        <v>29820.588669902521</v>
      </c>
      <c r="U441" s="19">
        <v>0</v>
      </c>
      <c r="V441" s="36">
        <f t="shared" si="20"/>
        <v>186771.05535360001</v>
      </c>
    </row>
    <row r="442" spans="1:22" ht="23.4" thickBot="1" x14ac:dyDescent="0.35">
      <c r="A442" s="25" t="s">
        <v>151</v>
      </c>
      <c r="B442" s="26">
        <v>9</v>
      </c>
      <c r="C442" s="27" t="s">
        <v>15</v>
      </c>
      <c r="D442" s="26" t="s">
        <v>49</v>
      </c>
      <c r="E442" s="26" t="s">
        <v>50</v>
      </c>
      <c r="F442" s="27" t="s">
        <v>51</v>
      </c>
      <c r="G442" s="26" t="s">
        <v>33</v>
      </c>
      <c r="H442" s="26">
        <v>793.38</v>
      </c>
      <c r="I442" s="26">
        <v>2.23</v>
      </c>
      <c r="J442" s="26">
        <v>2.23</v>
      </c>
      <c r="K442" s="29">
        <v>1</v>
      </c>
      <c r="L442" s="26">
        <v>25.59</v>
      </c>
      <c r="M442" s="19">
        <f>H442*INDEX('Pliegos Tarifarios (Huechuraba)'!$B:$B,MATCH($B442,'Pliegos Tarifarios (Huechuraba)'!$A:$A,0))</f>
        <v>104538.12894000001</v>
      </c>
      <c r="N442" s="19">
        <f>I442*INDEX('Pliegos Tarifarios (Huechuraba)'!$C:$C,MATCH($B442,'Pliegos Tarifarios (Huechuraba)'!$A:$A,0))</f>
        <v>7676.3713699999998</v>
      </c>
      <c r="O442" s="19">
        <f>J442*INDEX('Pliegos Tarifarios (Huechuraba)'!$D:$D,MATCH($B442,'Pliegos Tarifarios (Huechuraba)'!$A:$A,0))</f>
        <v>32362.058819999998</v>
      </c>
      <c r="P442" s="19">
        <f>H442*INDEX('Pliegos Tarifarios (Huechuraba)'!$E:$E,MATCH($B442,'Pliegos Tarifarios (Huechuraba)'!$A:$A,0))</f>
        <v>10332.981119999999</v>
      </c>
      <c r="Q442" s="19" cm="1">
        <f t="array" ref="Q442">H442*_xlfn.IFS(H442&lt;=350,INDEX('Pliegos Tarifarios (Huechuraba)'!$F:$F,MATCH($B442,'Pliegos Tarifarios (Huechuraba)'!$A:$A,0)),H442&lt;=500,INDEX('Pliegos Tarifarios (Huechuraba)'!$G:$G,MATCH($B442,'Pliegos Tarifarios (Huechuraba)'!$A:$A,0)),H442&lt;=1000,INDEX('Pliegos Tarifarios (Huechuraba)'!$H:$H,MATCH($B442,'Pliegos Tarifarios (Huechuraba)'!$A:$A,0)),H442&lt;=5000,INDEX('Pliegos Tarifarios (Huechuraba)'!$I:$I,MATCH($B442,'Pliegos Tarifarios (Huechuraba)'!$A:$A,0)),H442&gt;5000,INDEX('Pliegos Tarifarios (Huechuraba)'!$J:$J,MATCH($B442,'Pliegos Tarifarios (Huechuraba)'!$A:$A,0)))/1.19</f>
        <v>1860.776117647059</v>
      </c>
      <c r="R442" s="19">
        <f>INDEX('Pliegos Tarifarios (Huechuraba)'!$K:$K,MATCH($B442,'Pliegos Tarifarios (Huechuraba)'!$A:$A,0))</f>
        <v>729.50400000000002</v>
      </c>
      <c r="S442" s="36">
        <f t="shared" si="18"/>
        <v>157499.82036764707</v>
      </c>
      <c r="T442" s="36">
        <f t="shared" si="19"/>
        <v>29924.965869852946</v>
      </c>
      <c r="U442" s="19">
        <v>0</v>
      </c>
      <c r="V442" s="36">
        <f t="shared" si="20"/>
        <v>187424.78623750003</v>
      </c>
    </row>
    <row r="443" spans="1:22" ht="23.4" thickBot="1" x14ac:dyDescent="0.35">
      <c r="A443" s="25" t="s">
        <v>151</v>
      </c>
      <c r="B443" s="26">
        <v>9</v>
      </c>
      <c r="C443" s="27" t="s">
        <v>15</v>
      </c>
      <c r="D443" s="26" t="s">
        <v>52</v>
      </c>
      <c r="E443" s="26" t="s">
        <v>50</v>
      </c>
      <c r="F443" s="27" t="s">
        <v>53</v>
      </c>
      <c r="G443" s="26" t="s">
        <v>33</v>
      </c>
      <c r="H443" s="26">
        <v>795.75</v>
      </c>
      <c r="I443" s="26">
        <v>2.23</v>
      </c>
      <c r="J443" s="26">
        <v>2.17</v>
      </c>
      <c r="K443" s="29">
        <v>0.97199999999999998</v>
      </c>
      <c r="L443" s="26">
        <v>25.67</v>
      </c>
      <c r="M443" s="19">
        <f>H443*INDEX('Pliegos Tarifarios (Huechuraba)'!$B:$B,MATCH($B443,'Pliegos Tarifarios (Huechuraba)'!$A:$A,0))</f>
        <v>104850.40725</v>
      </c>
      <c r="N443" s="19">
        <f>I443*INDEX('Pliegos Tarifarios (Huechuraba)'!$C:$C,MATCH($B443,'Pliegos Tarifarios (Huechuraba)'!$A:$A,0))</f>
        <v>7676.3713699999998</v>
      </c>
      <c r="O443" s="19">
        <f>J443*INDEX('Pliegos Tarifarios (Huechuraba)'!$D:$D,MATCH($B443,'Pliegos Tarifarios (Huechuraba)'!$A:$A,0))</f>
        <v>31491.33078</v>
      </c>
      <c r="P443" s="19">
        <f>H443*INDEX('Pliegos Tarifarios (Huechuraba)'!$E:$E,MATCH($B443,'Pliegos Tarifarios (Huechuraba)'!$A:$A,0))</f>
        <v>10363.848</v>
      </c>
      <c r="Q443" s="19" cm="1">
        <f t="array" ref="Q443">H443*_xlfn.IFS(H443&lt;=350,INDEX('Pliegos Tarifarios (Huechuraba)'!$F:$F,MATCH($B443,'Pliegos Tarifarios (Huechuraba)'!$A:$A,0)),H443&lt;=500,INDEX('Pliegos Tarifarios (Huechuraba)'!$G:$G,MATCH($B443,'Pliegos Tarifarios (Huechuraba)'!$A:$A,0)),H443&lt;=1000,INDEX('Pliegos Tarifarios (Huechuraba)'!$H:$H,MATCH($B443,'Pliegos Tarifarios (Huechuraba)'!$A:$A,0)),H443&lt;=5000,INDEX('Pliegos Tarifarios (Huechuraba)'!$I:$I,MATCH($B443,'Pliegos Tarifarios (Huechuraba)'!$A:$A,0)),H443&gt;5000,INDEX('Pliegos Tarifarios (Huechuraba)'!$J:$J,MATCH($B443,'Pliegos Tarifarios (Huechuraba)'!$A:$A,0)))/1.19</f>
        <v>1866.3346638655464</v>
      </c>
      <c r="R443" s="19">
        <f>INDEX('Pliegos Tarifarios (Huechuraba)'!$K:$K,MATCH($B443,'Pliegos Tarifarios (Huechuraba)'!$A:$A,0))</f>
        <v>729.50400000000002</v>
      </c>
      <c r="S443" s="36">
        <f t="shared" si="18"/>
        <v>156977.79606386551</v>
      </c>
      <c r="T443" s="36">
        <f t="shared" si="19"/>
        <v>29825.781252134446</v>
      </c>
      <c r="U443" s="19">
        <v>0</v>
      </c>
      <c r="V443" s="36">
        <f t="shared" si="20"/>
        <v>186803.57731599995</v>
      </c>
    </row>
    <row r="444" spans="1:22" ht="23.4" thickBot="1" x14ac:dyDescent="0.35">
      <c r="A444" s="25" t="s">
        <v>151</v>
      </c>
      <c r="B444" s="26">
        <v>9</v>
      </c>
      <c r="C444" s="27" t="s">
        <v>15</v>
      </c>
      <c r="D444" s="26" t="s">
        <v>54</v>
      </c>
      <c r="E444" s="26" t="s">
        <v>55</v>
      </c>
      <c r="F444" s="27" t="s">
        <v>56</v>
      </c>
      <c r="G444" s="26" t="s">
        <v>33</v>
      </c>
      <c r="H444" s="26">
        <v>394.28</v>
      </c>
      <c r="I444" s="26">
        <v>1.1200000000000001</v>
      </c>
      <c r="J444" s="26">
        <v>1.1000000000000001</v>
      </c>
      <c r="K444" s="29">
        <v>0.98099999999999998</v>
      </c>
      <c r="L444" s="26">
        <v>12.72</v>
      </c>
      <c r="M444" s="19">
        <f>H444*INDEX('Pliegos Tarifarios (Huechuraba)'!$B:$B,MATCH($B444,'Pliegos Tarifarios (Huechuraba)'!$A:$A,0))</f>
        <v>51951.515639999998</v>
      </c>
      <c r="N444" s="19">
        <f>I444*INDEX('Pliegos Tarifarios (Huechuraba)'!$C:$C,MATCH($B444,'Pliegos Tarifarios (Huechuraba)'!$A:$A,0))</f>
        <v>3855.3972800000001</v>
      </c>
      <c r="O444" s="19">
        <f>J444*INDEX('Pliegos Tarifarios (Huechuraba)'!$D:$D,MATCH($B444,'Pliegos Tarifarios (Huechuraba)'!$A:$A,0))</f>
        <v>15963.347400000001</v>
      </c>
      <c r="P444" s="19">
        <f>H444*INDEX('Pliegos Tarifarios (Huechuraba)'!$E:$E,MATCH($B444,'Pliegos Tarifarios (Huechuraba)'!$A:$A,0))</f>
        <v>5135.102719999999</v>
      </c>
      <c r="Q444" s="19" cm="1">
        <f t="array" ref="Q444">H444*_xlfn.IFS(H444&lt;=350,INDEX('Pliegos Tarifarios (Huechuraba)'!$F:$F,MATCH($B444,'Pliegos Tarifarios (Huechuraba)'!$A:$A,0)),H444&lt;=500,INDEX('Pliegos Tarifarios (Huechuraba)'!$G:$G,MATCH($B444,'Pliegos Tarifarios (Huechuraba)'!$A:$A,0)),H444&lt;=1000,INDEX('Pliegos Tarifarios (Huechuraba)'!$H:$H,MATCH($B444,'Pliegos Tarifarios (Huechuraba)'!$A:$A,0)),H444&lt;=5000,INDEX('Pliegos Tarifarios (Huechuraba)'!$I:$I,MATCH($B444,'Pliegos Tarifarios (Huechuraba)'!$A:$A,0)),H444&gt;5000,INDEX('Pliegos Tarifarios (Huechuraba)'!$J:$J,MATCH($B444,'Pliegos Tarifarios (Huechuraba)'!$A:$A,0)))/1.19</f>
        <v>555.30527731092434</v>
      </c>
      <c r="R444" s="19">
        <f>INDEX('Pliegos Tarifarios (Huechuraba)'!$K:$K,MATCH($B444,'Pliegos Tarifarios (Huechuraba)'!$A:$A,0))</f>
        <v>729.50400000000002</v>
      </c>
      <c r="S444" s="36">
        <f t="shared" si="18"/>
        <v>78190.17231731092</v>
      </c>
      <c r="T444" s="36">
        <f t="shared" si="19"/>
        <v>14856.132740289075</v>
      </c>
      <c r="U444" s="19">
        <v>0</v>
      </c>
      <c r="V444" s="36">
        <f t="shared" si="20"/>
        <v>93046.305057599995</v>
      </c>
    </row>
    <row r="445" spans="1:22" ht="23.4" thickBot="1" x14ac:dyDescent="0.35">
      <c r="A445" s="25" t="s">
        <v>151</v>
      </c>
      <c r="B445" s="26">
        <v>9</v>
      </c>
      <c r="C445" s="27" t="s">
        <v>15</v>
      </c>
      <c r="D445" s="26" t="s">
        <v>57</v>
      </c>
      <c r="E445" s="26" t="s">
        <v>58</v>
      </c>
      <c r="F445" s="27" t="s">
        <v>59</v>
      </c>
      <c r="G445" s="26" t="s">
        <v>33</v>
      </c>
      <c r="H445" s="26">
        <v>264.85000000000002</v>
      </c>
      <c r="I445" s="26">
        <v>0.75</v>
      </c>
      <c r="J445" s="26">
        <v>0.74</v>
      </c>
      <c r="K445" s="29">
        <v>0.98399999999999999</v>
      </c>
      <c r="L445" s="26">
        <v>8.5399999999999991</v>
      </c>
      <c r="M445" s="19">
        <f>H445*INDEX('Pliegos Tarifarios (Huechuraba)'!$B:$B,MATCH($B445,'Pliegos Tarifarios (Huechuraba)'!$A:$A,0))</f>
        <v>34897.430550000005</v>
      </c>
      <c r="N445" s="19">
        <f>I445*INDEX('Pliegos Tarifarios (Huechuraba)'!$C:$C,MATCH($B445,'Pliegos Tarifarios (Huechuraba)'!$A:$A,0))</f>
        <v>2581.7392500000001</v>
      </c>
      <c r="O445" s="19">
        <f>J445*INDEX('Pliegos Tarifarios (Huechuraba)'!$D:$D,MATCH($B445,'Pliegos Tarifarios (Huechuraba)'!$A:$A,0))</f>
        <v>10738.979160000001</v>
      </c>
      <c r="P445" s="19">
        <f>H445*INDEX('Pliegos Tarifarios (Huechuraba)'!$E:$E,MATCH($B445,'Pliegos Tarifarios (Huechuraba)'!$A:$A,0))</f>
        <v>3449.4063999999998</v>
      </c>
      <c r="Q445" s="19" cm="1">
        <f t="array" ref="Q445">H445*_xlfn.IFS(H445&lt;=350,INDEX('Pliegos Tarifarios (Huechuraba)'!$F:$F,MATCH($B445,'Pliegos Tarifarios (Huechuraba)'!$A:$A,0)),H445&lt;=500,INDEX('Pliegos Tarifarios (Huechuraba)'!$G:$G,MATCH($B445,'Pliegos Tarifarios (Huechuraba)'!$A:$A,0)),H445&lt;=1000,INDEX('Pliegos Tarifarios (Huechuraba)'!$H:$H,MATCH($B445,'Pliegos Tarifarios (Huechuraba)'!$A:$A,0)),H445&lt;=5000,INDEX('Pliegos Tarifarios (Huechuraba)'!$I:$I,MATCH($B445,'Pliegos Tarifarios (Huechuraba)'!$A:$A,0)),H445&gt;5000,INDEX('Pliegos Tarifarios (Huechuraba)'!$J:$J,MATCH($B445,'Pliegos Tarifarios (Huechuraba)'!$A:$A,0)))/1.19</f>
        <v>174.48941176470592</v>
      </c>
      <c r="R445" s="19">
        <f>INDEX('Pliegos Tarifarios (Huechuraba)'!$K:$K,MATCH($B445,'Pliegos Tarifarios (Huechuraba)'!$A:$A,0))</f>
        <v>729.50400000000002</v>
      </c>
      <c r="S445" s="36">
        <f t="shared" si="18"/>
        <v>52571.548771764712</v>
      </c>
      <c r="T445" s="36">
        <f t="shared" si="19"/>
        <v>9988.5942666352948</v>
      </c>
      <c r="U445" s="19">
        <v>0</v>
      </c>
      <c r="V445" s="36">
        <f t="shared" si="20"/>
        <v>62560.143038400005</v>
      </c>
    </row>
    <row r="446" spans="1:22" ht="23.4" thickBot="1" x14ac:dyDescent="0.35">
      <c r="A446" s="25" t="s">
        <v>151</v>
      </c>
      <c r="B446" s="26">
        <v>9</v>
      </c>
      <c r="C446" s="27" t="s">
        <v>15</v>
      </c>
      <c r="D446" s="26" t="s">
        <v>60</v>
      </c>
      <c r="E446" s="26" t="s">
        <v>61</v>
      </c>
      <c r="F446" s="27" t="s">
        <v>62</v>
      </c>
      <c r="G446" s="26" t="s">
        <v>33</v>
      </c>
      <c r="H446" s="26">
        <v>264.69</v>
      </c>
      <c r="I446" s="26">
        <v>0.75</v>
      </c>
      <c r="J446" s="26">
        <v>0.73</v>
      </c>
      <c r="K446" s="29">
        <v>0.97699999999999998</v>
      </c>
      <c r="L446" s="26">
        <v>8.5399999999999991</v>
      </c>
      <c r="M446" s="19">
        <f>H446*INDEX('Pliegos Tarifarios (Huechuraba)'!$B:$B,MATCH($B446,'Pliegos Tarifarios (Huechuraba)'!$A:$A,0))</f>
        <v>34876.348470000004</v>
      </c>
      <c r="N446" s="19">
        <f>I446*INDEX('Pliegos Tarifarios (Huechuraba)'!$C:$C,MATCH($B446,'Pliegos Tarifarios (Huechuraba)'!$A:$A,0))</f>
        <v>2581.7392500000001</v>
      </c>
      <c r="O446" s="19">
        <f>J446*INDEX('Pliegos Tarifarios (Huechuraba)'!$D:$D,MATCH($B446,'Pliegos Tarifarios (Huechuraba)'!$A:$A,0))</f>
        <v>10593.857819999999</v>
      </c>
      <c r="P446" s="19">
        <f>H446*INDEX('Pliegos Tarifarios (Huechuraba)'!$E:$E,MATCH($B446,'Pliegos Tarifarios (Huechuraba)'!$A:$A,0))</f>
        <v>3447.3225599999996</v>
      </c>
      <c r="Q446" s="19" cm="1">
        <f t="array" ref="Q446">H446*_xlfn.IFS(H446&lt;=350,INDEX('Pliegos Tarifarios (Huechuraba)'!$F:$F,MATCH($B446,'Pliegos Tarifarios (Huechuraba)'!$A:$A,0)),H446&lt;=500,INDEX('Pliegos Tarifarios (Huechuraba)'!$G:$G,MATCH($B446,'Pliegos Tarifarios (Huechuraba)'!$A:$A,0)),H446&lt;=1000,INDEX('Pliegos Tarifarios (Huechuraba)'!$H:$H,MATCH($B446,'Pliegos Tarifarios (Huechuraba)'!$A:$A,0)),H446&lt;=5000,INDEX('Pliegos Tarifarios (Huechuraba)'!$I:$I,MATCH($B446,'Pliegos Tarifarios (Huechuraba)'!$A:$A,0)),H446&gt;5000,INDEX('Pliegos Tarifarios (Huechuraba)'!$J:$J,MATCH($B446,'Pliegos Tarifarios (Huechuraba)'!$A:$A,0)))/1.19</f>
        <v>174.38400000000001</v>
      </c>
      <c r="R446" s="19">
        <f>INDEX('Pliegos Tarifarios (Huechuraba)'!$K:$K,MATCH($B446,'Pliegos Tarifarios (Huechuraba)'!$A:$A,0))</f>
        <v>729.50400000000002</v>
      </c>
      <c r="S446" s="36">
        <f t="shared" si="18"/>
        <v>52403.1561</v>
      </c>
      <c r="T446" s="36">
        <f t="shared" si="19"/>
        <v>9956.5996589999995</v>
      </c>
      <c r="U446" s="19">
        <v>0</v>
      </c>
      <c r="V446" s="36">
        <f t="shared" si="20"/>
        <v>62359.755759</v>
      </c>
    </row>
    <row r="447" spans="1:22" ht="23.4" thickBot="1" x14ac:dyDescent="0.35">
      <c r="A447" s="25" t="s">
        <v>151</v>
      </c>
      <c r="B447" s="26">
        <v>9</v>
      </c>
      <c r="C447" s="27" t="s">
        <v>15</v>
      </c>
      <c r="D447" s="26" t="s">
        <v>63</v>
      </c>
      <c r="E447" s="26" t="s">
        <v>64</v>
      </c>
      <c r="F447" s="27" t="s">
        <v>65</v>
      </c>
      <c r="G447" s="26" t="s">
        <v>33</v>
      </c>
      <c r="H447" s="26">
        <v>263.56</v>
      </c>
      <c r="I447" s="26">
        <v>0.76</v>
      </c>
      <c r="J447" s="26">
        <v>0.74</v>
      </c>
      <c r="K447" s="29">
        <v>0.96799999999999997</v>
      </c>
      <c r="L447" s="26">
        <v>8.5</v>
      </c>
      <c r="M447" s="19">
        <f>H447*INDEX('Pliegos Tarifarios (Huechuraba)'!$B:$B,MATCH($B447,'Pliegos Tarifarios (Huechuraba)'!$A:$A,0))</f>
        <v>34727.456279999999</v>
      </c>
      <c r="N447" s="19">
        <f>I447*INDEX('Pliegos Tarifarios (Huechuraba)'!$C:$C,MATCH($B447,'Pliegos Tarifarios (Huechuraba)'!$A:$A,0))</f>
        <v>2616.1624400000001</v>
      </c>
      <c r="O447" s="19">
        <f>J447*INDEX('Pliegos Tarifarios (Huechuraba)'!$D:$D,MATCH($B447,'Pliegos Tarifarios (Huechuraba)'!$A:$A,0))</f>
        <v>10738.979160000001</v>
      </c>
      <c r="P447" s="19">
        <f>H447*INDEX('Pliegos Tarifarios (Huechuraba)'!$E:$E,MATCH($B447,'Pliegos Tarifarios (Huechuraba)'!$A:$A,0))</f>
        <v>3432.6054399999998</v>
      </c>
      <c r="Q447" s="19" cm="1">
        <f t="array" ref="Q447">H447*_xlfn.IFS(H447&lt;=350,INDEX('Pliegos Tarifarios (Huechuraba)'!$F:$F,MATCH($B447,'Pliegos Tarifarios (Huechuraba)'!$A:$A,0)),H447&lt;=500,INDEX('Pliegos Tarifarios (Huechuraba)'!$G:$G,MATCH($B447,'Pliegos Tarifarios (Huechuraba)'!$A:$A,0)),H447&lt;=1000,INDEX('Pliegos Tarifarios (Huechuraba)'!$H:$H,MATCH($B447,'Pliegos Tarifarios (Huechuraba)'!$A:$A,0)),H447&lt;=5000,INDEX('Pliegos Tarifarios (Huechuraba)'!$I:$I,MATCH($B447,'Pliegos Tarifarios (Huechuraba)'!$A:$A,0)),H447&gt;5000,INDEX('Pliegos Tarifarios (Huechuraba)'!$J:$J,MATCH($B447,'Pliegos Tarifarios (Huechuraba)'!$A:$A,0)))/1.19</f>
        <v>173.63952941176473</v>
      </c>
      <c r="R447" s="19">
        <f>INDEX('Pliegos Tarifarios (Huechuraba)'!$K:$K,MATCH($B447,'Pliegos Tarifarios (Huechuraba)'!$A:$A,0))</f>
        <v>729.50400000000002</v>
      </c>
      <c r="S447" s="36">
        <f t="shared" si="18"/>
        <v>52418.34684941177</v>
      </c>
      <c r="T447" s="36">
        <f t="shared" si="19"/>
        <v>9959.485901388236</v>
      </c>
      <c r="U447" s="19">
        <v>0</v>
      </c>
      <c r="V447" s="36">
        <f t="shared" si="20"/>
        <v>62377.832750800007</v>
      </c>
    </row>
    <row r="448" spans="1:22" ht="23.4" thickBot="1" x14ac:dyDescent="0.35">
      <c r="A448" s="25" t="s">
        <v>151</v>
      </c>
      <c r="B448" s="26">
        <v>9</v>
      </c>
      <c r="C448" s="27" t="s">
        <v>15</v>
      </c>
      <c r="D448" s="26" t="s">
        <v>66</v>
      </c>
      <c r="E448" s="26" t="s">
        <v>37</v>
      </c>
      <c r="F448" s="27" t="s">
        <v>67</v>
      </c>
      <c r="G448" s="26" t="s">
        <v>33</v>
      </c>
      <c r="H448" s="26">
        <v>529.66</v>
      </c>
      <c r="I448" s="26">
        <v>1.48</v>
      </c>
      <c r="J448" s="26">
        <v>1.47</v>
      </c>
      <c r="K448" s="29">
        <v>0.996</v>
      </c>
      <c r="L448" s="26">
        <v>17.09</v>
      </c>
      <c r="M448" s="19">
        <f>H448*INDEX('Pliegos Tarifarios (Huechuraba)'!$B:$B,MATCH($B448,'Pliegos Tarifarios (Huechuraba)'!$A:$A,0))</f>
        <v>69789.590580000004</v>
      </c>
      <c r="N448" s="19">
        <f>I448*INDEX('Pliegos Tarifarios (Huechuraba)'!$C:$C,MATCH($B448,'Pliegos Tarifarios (Huechuraba)'!$A:$A,0))</f>
        <v>5094.6321200000002</v>
      </c>
      <c r="O448" s="19">
        <f>J448*INDEX('Pliegos Tarifarios (Huechuraba)'!$D:$D,MATCH($B448,'Pliegos Tarifarios (Huechuraba)'!$A:$A,0))</f>
        <v>21332.83698</v>
      </c>
      <c r="P448" s="19">
        <f>H448*INDEX('Pliegos Tarifarios (Huechuraba)'!$E:$E,MATCH($B448,'Pliegos Tarifarios (Huechuraba)'!$A:$A,0))</f>
        <v>6898.291839999999</v>
      </c>
      <c r="Q448" s="19" cm="1">
        <f t="array" ref="Q448">H448*_xlfn.IFS(H448&lt;=350,INDEX('Pliegos Tarifarios (Huechuraba)'!$F:$F,MATCH($B448,'Pliegos Tarifarios (Huechuraba)'!$A:$A,0)),H448&lt;=500,INDEX('Pliegos Tarifarios (Huechuraba)'!$G:$G,MATCH($B448,'Pliegos Tarifarios (Huechuraba)'!$A:$A,0)),H448&lt;=1000,INDEX('Pliegos Tarifarios (Huechuraba)'!$H:$H,MATCH($B448,'Pliegos Tarifarios (Huechuraba)'!$A:$A,0)),H448&lt;=5000,INDEX('Pliegos Tarifarios (Huechuraba)'!$I:$I,MATCH($B448,'Pliegos Tarifarios (Huechuraba)'!$A:$A,0)),H448&gt;5000,INDEX('Pliegos Tarifarios (Huechuraba)'!$J:$J,MATCH($B448,'Pliegos Tarifarios (Huechuraba)'!$A:$A,0)))/1.19</f>
        <v>1242.2529915966388</v>
      </c>
      <c r="R448" s="19">
        <f>INDEX('Pliegos Tarifarios (Huechuraba)'!$K:$K,MATCH($B448,'Pliegos Tarifarios (Huechuraba)'!$A:$A,0))</f>
        <v>729.50400000000002</v>
      </c>
      <c r="S448" s="36">
        <f t="shared" si="18"/>
        <v>105087.10851159666</v>
      </c>
      <c r="T448" s="36">
        <f t="shared" si="19"/>
        <v>19966.550617203364</v>
      </c>
      <c r="U448" s="19">
        <v>0</v>
      </c>
      <c r="V448" s="36">
        <f t="shared" si="20"/>
        <v>125053.65912880002</v>
      </c>
    </row>
    <row r="449" spans="1:22" ht="23.4" thickBot="1" x14ac:dyDescent="0.35">
      <c r="A449" s="25" t="s">
        <v>151</v>
      </c>
      <c r="B449" s="26">
        <v>9</v>
      </c>
      <c r="C449" s="27" t="s">
        <v>15</v>
      </c>
      <c r="D449" s="26" t="s">
        <v>68</v>
      </c>
      <c r="E449" s="26" t="s">
        <v>37</v>
      </c>
      <c r="F449" s="27" t="s">
        <v>69</v>
      </c>
      <c r="G449" s="26" t="s">
        <v>33</v>
      </c>
      <c r="H449" s="26">
        <v>529.02</v>
      </c>
      <c r="I449" s="26">
        <v>1.45</v>
      </c>
      <c r="J449" s="26">
        <v>1.43</v>
      </c>
      <c r="K449" s="29">
        <v>0.98299999999999998</v>
      </c>
      <c r="L449" s="26">
        <v>17.07</v>
      </c>
      <c r="M449" s="19">
        <f>H449*INDEX('Pliegos Tarifarios (Huechuraba)'!$B:$B,MATCH($B449,'Pliegos Tarifarios (Huechuraba)'!$A:$A,0))</f>
        <v>69705.262260000003</v>
      </c>
      <c r="N449" s="19">
        <f>I449*INDEX('Pliegos Tarifarios (Huechuraba)'!$C:$C,MATCH($B449,'Pliegos Tarifarios (Huechuraba)'!$A:$A,0))</f>
        <v>4991.3625499999998</v>
      </c>
      <c r="O449" s="19">
        <f>J449*INDEX('Pliegos Tarifarios (Huechuraba)'!$D:$D,MATCH($B449,'Pliegos Tarifarios (Huechuraba)'!$A:$A,0))</f>
        <v>20752.351619999998</v>
      </c>
      <c r="P449" s="19">
        <f>H449*INDEX('Pliegos Tarifarios (Huechuraba)'!$E:$E,MATCH($B449,'Pliegos Tarifarios (Huechuraba)'!$A:$A,0))</f>
        <v>6889.9564799999989</v>
      </c>
      <c r="Q449" s="19" cm="1">
        <f t="array" ref="Q449">H449*_xlfn.IFS(H449&lt;=350,INDEX('Pliegos Tarifarios (Huechuraba)'!$F:$F,MATCH($B449,'Pliegos Tarifarios (Huechuraba)'!$A:$A,0)),H449&lt;=500,INDEX('Pliegos Tarifarios (Huechuraba)'!$G:$G,MATCH($B449,'Pliegos Tarifarios (Huechuraba)'!$A:$A,0)),H449&lt;=1000,INDEX('Pliegos Tarifarios (Huechuraba)'!$H:$H,MATCH($B449,'Pliegos Tarifarios (Huechuraba)'!$A:$A,0)),H449&lt;=5000,INDEX('Pliegos Tarifarios (Huechuraba)'!$I:$I,MATCH($B449,'Pliegos Tarifarios (Huechuraba)'!$A:$A,0)),H449&gt;5000,INDEX('Pliegos Tarifarios (Huechuraba)'!$J:$J,MATCH($B449,'Pliegos Tarifarios (Huechuraba)'!$A:$A,0)))/1.19</f>
        <v>1240.7519495798322</v>
      </c>
      <c r="R449" s="19">
        <f>INDEX('Pliegos Tarifarios (Huechuraba)'!$K:$K,MATCH($B449,'Pliegos Tarifarios (Huechuraba)'!$A:$A,0))</f>
        <v>729.50400000000002</v>
      </c>
      <c r="S449" s="36">
        <f t="shared" si="18"/>
        <v>104309.18885957984</v>
      </c>
      <c r="T449" s="36">
        <f t="shared" si="19"/>
        <v>19818.745883320171</v>
      </c>
      <c r="U449" s="19">
        <v>0</v>
      </c>
      <c r="V449" s="36">
        <f t="shared" si="20"/>
        <v>124127.9347429</v>
      </c>
    </row>
    <row r="450" spans="1:22" ht="23.4" thickBot="1" x14ac:dyDescent="0.35">
      <c r="A450" s="25" t="s">
        <v>151</v>
      </c>
      <c r="B450" s="26">
        <v>9</v>
      </c>
      <c r="C450" s="27" t="s">
        <v>15</v>
      </c>
      <c r="D450" s="26" t="s">
        <v>70</v>
      </c>
      <c r="E450" s="26" t="s">
        <v>37</v>
      </c>
      <c r="F450" s="27" t="s">
        <v>71</v>
      </c>
      <c r="G450" s="26" t="s">
        <v>33</v>
      </c>
      <c r="H450" s="26">
        <v>528.97</v>
      </c>
      <c r="I450" s="26">
        <v>1.5</v>
      </c>
      <c r="J450" s="26">
        <v>1.47</v>
      </c>
      <c r="K450" s="29">
        <v>0.97599999999999998</v>
      </c>
      <c r="L450" s="26">
        <v>17.059999999999999</v>
      </c>
      <c r="M450" s="19">
        <f>H450*INDEX('Pliegos Tarifarios (Huechuraba)'!$B:$B,MATCH($B450,'Pliegos Tarifarios (Huechuraba)'!$A:$A,0))</f>
        <v>69698.674110000007</v>
      </c>
      <c r="N450" s="19">
        <f>I450*INDEX('Pliegos Tarifarios (Huechuraba)'!$C:$C,MATCH($B450,'Pliegos Tarifarios (Huechuraba)'!$A:$A,0))</f>
        <v>5163.4785000000002</v>
      </c>
      <c r="O450" s="19">
        <f>J450*INDEX('Pliegos Tarifarios (Huechuraba)'!$D:$D,MATCH($B450,'Pliegos Tarifarios (Huechuraba)'!$A:$A,0))</f>
        <v>21332.83698</v>
      </c>
      <c r="P450" s="19">
        <f>H450*INDEX('Pliegos Tarifarios (Huechuraba)'!$E:$E,MATCH($B450,'Pliegos Tarifarios (Huechuraba)'!$A:$A,0))</f>
        <v>6889.3052799999996</v>
      </c>
      <c r="Q450" s="19" cm="1">
        <f t="array" ref="Q450">H450*_xlfn.IFS(H450&lt;=350,INDEX('Pliegos Tarifarios (Huechuraba)'!$F:$F,MATCH($B450,'Pliegos Tarifarios (Huechuraba)'!$A:$A,0)),H450&lt;=500,INDEX('Pliegos Tarifarios (Huechuraba)'!$G:$G,MATCH($B450,'Pliegos Tarifarios (Huechuraba)'!$A:$A,0)),H450&lt;=1000,INDEX('Pliegos Tarifarios (Huechuraba)'!$H:$H,MATCH($B450,'Pliegos Tarifarios (Huechuraba)'!$A:$A,0)),H450&lt;=5000,INDEX('Pliegos Tarifarios (Huechuraba)'!$I:$I,MATCH($B450,'Pliegos Tarifarios (Huechuraba)'!$A:$A,0)),H450&gt;5000,INDEX('Pliegos Tarifarios (Huechuraba)'!$J:$J,MATCH($B450,'Pliegos Tarifarios (Huechuraba)'!$A:$A,0)))/1.19</f>
        <v>1240.6346806722693</v>
      </c>
      <c r="R450" s="19">
        <f>INDEX('Pliegos Tarifarios (Huechuraba)'!$K:$K,MATCH($B450,'Pliegos Tarifarios (Huechuraba)'!$A:$A,0))</f>
        <v>729.50400000000002</v>
      </c>
      <c r="S450" s="36">
        <f t="shared" si="18"/>
        <v>105054.43355067229</v>
      </c>
      <c r="T450" s="36">
        <f t="shared" si="19"/>
        <v>19960.342374627733</v>
      </c>
      <c r="U450" s="19">
        <v>0</v>
      </c>
      <c r="V450" s="36">
        <f t="shared" si="20"/>
        <v>125014.77592530003</v>
      </c>
    </row>
    <row r="451" spans="1:22" ht="23.4" thickBot="1" x14ac:dyDescent="0.35">
      <c r="A451" s="25" t="s">
        <v>151</v>
      </c>
      <c r="B451" s="26">
        <v>9</v>
      </c>
      <c r="C451" s="27" t="s">
        <v>15</v>
      </c>
      <c r="D451" s="26" t="s">
        <v>72</v>
      </c>
      <c r="E451" s="26" t="s">
        <v>73</v>
      </c>
      <c r="F451" s="27" t="s">
        <v>74</v>
      </c>
      <c r="G451" s="26" t="s">
        <v>33</v>
      </c>
      <c r="H451" s="26">
        <v>660.57</v>
      </c>
      <c r="I451" s="26">
        <v>1.86</v>
      </c>
      <c r="J451" s="26">
        <v>1.83</v>
      </c>
      <c r="K451" s="29">
        <v>0.98</v>
      </c>
      <c r="L451" s="26">
        <v>21.31</v>
      </c>
      <c r="M451" s="19">
        <f>H451*INDEX('Pliegos Tarifarios (Huechuraba)'!$B:$B,MATCH($B451,'Pliegos Tarifarios (Huechuraba)'!$A:$A,0))</f>
        <v>87038.684910000011</v>
      </c>
      <c r="N451" s="19">
        <f>I451*INDEX('Pliegos Tarifarios (Huechuraba)'!$C:$C,MATCH($B451,'Pliegos Tarifarios (Huechuraba)'!$A:$A,0))</f>
        <v>6402.7133400000002</v>
      </c>
      <c r="O451" s="19">
        <f>J451*INDEX('Pliegos Tarifarios (Huechuraba)'!$D:$D,MATCH($B451,'Pliegos Tarifarios (Huechuraba)'!$A:$A,0))</f>
        <v>26557.20522</v>
      </c>
      <c r="P451" s="19">
        <f>H451*INDEX('Pliegos Tarifarios (Huechuraba)'!$E:$E,MATCH($B451,'Pliegos Tarifarios (Huechuraba)'!$A:$A,0))</f>
        <v>8603.26368</v>
      </c>
      <c r="Q451" s="19" cm="1">
        <f t="array" ref="Q451">H451*_xlfn.IFS(H451&lt;=350,INDEX('Pliegos Tarifarios (Huechuraba)'!$F:$F,MATCH($B451,'Pliegos Tarifarios (Huechuraba)'!$A:$A,0)),H451&lt;=500,INDEX('Pliegos Tarifarios (Huechuraba)'!$G:$G,MATCH($B451,'Pliegos Tarifarios (Huechuraba)'!$A:$A,0)),H451&lt;=1000,INDEX('Pliegos Tarifarios (Huechuraba)'!$H:$H,MATCH($B451,'Pliegos Tarifarios (Huechuraba)'!$A:$A,0)),H451&lt;=5000,INDEX('Pliegos Tarifarios (Huechuraba)'!$I:$I,MATCH($B451,'Pliegos Tarifarios (Huechuraba)'!$A:$A,0)),H451&gt;5000,INDEX('Pliegos Tarifarios (Huechuraba)'!$J:$J,MATCH($B451,'Pliegos Tarifarios (Huechuraba)'!$A:$A,0)))/1.19</f>
        <v>1549.2864453781517</v>
      </c>
      <c r="R451" s="19">
        <f>INDEX('Pliegos Tarifarios (Huechuraba)'!$K:$K,MATCH($B451,'Pliegos Tarifarios (Huechuraba)'!$A:$A,0))</f>
        <v>729.50400000000002</v>
      </c>
      <c r="S451" s="36">
        <f t="shared" si="18"/>
        <v>130880.65759537817</v>
      </c>
      <c r="T451" s="36">
        <f t="shared" si="19"/>
        <v>24867.324943121854</v>
      </c>
      <c r="U451" s="19">
        <v>0</v>
      </c>
      <c r="V451" s="36">
        <f t="shared" si="20"/>
        <v>155747.98253850001</v>
      </c>
    </row>
    <row r="452" spans="1:22" ht="23.4" thickBot="1" x14ac:dyDescent="0.35">
      <c r="A452" s="25" t="s">
        <v>151</v>
      </c>
      <c r="B452" s="26">
        <v>9</v>
      </c>
      <c r="C452" s="27" t="s">
        <v>15</v>
      </c>
      <c r="D452" s="26" t="s">
        <v>75</v>
      </c>
      <c r="E452" s="26" t="s">
        <v>76</v>
      </c>
      <c r="F452" s="27" t="s">
        <v>77</v>
      </c>
      <c r="G452" s="26" t="s">
        <v>19</v>
      </c>
      <c r="H452" s="28">
        <v>1055.0899999999999</v>
      </c>
      <c r="I452" s="26">
        <v>2.92</v>
      </c>
      <c r="J452" s="26">
        <v>2.87</v>
      </c>
      <c r="K452" s="29">
        <v>0.98299999999999998</v>
      </c>
      <c r="L452" s="26">
        <v>34.04</v>
      </c>
      <c r="M452" s="19">
        <f>H452*INDEX('Pliegos Tarifarios (Huechuraba)'!$B:$B,MATCH($B452,'Pliegos Tarifarios (Huechuraba)'!$A:$A,0))</f>
        <v>139021.82366999998</v>
      </c>
      <c r="N452" s="19">
        <f>I452*INDEX('Pliegos Tarifarios (Huechuraba)'!$C:$C,MATCH($B452,'Pliegos Tarifarios (Huechuraba)'!$A:$A,0))</f>
        <v>10051.571480000001</v>
      </c>
      <c r="O452" s="19">
        <f>J452*INDEX('Pliegos Tarifarios (Huechuraba)'!$D:$D,MATCH($B452,'Pliegos Tarifarios (Huechuraba)'!$A:$A,0))</f>
        <v>41649.82458</v>
      </c>
      <c r="P452" s="19">
        <f>H452*INDEX('Pliegos Tarifarios (Huechuraba)'!$E:$E,MATCH($B452,'Pliegos Tarifarios (Huechuraba)'!$A:$A,0))</f>
        <v>13741.492159999998</v>
      </c>
      <c r="Q452" s="19" cm="1">
        <f t="array" ref="Q452">H452*_xlfn.IFS(H452&lt;=350,INDEX('Pliegos Tarifarios (Huechuraba)'!$F:$F,MATCH($B452,'Pliegos Tarifarios (Huechuraba)'!$A:$A,0)),H452&lt;=500,INDEX('Pliegos Tarifarios (Huechuraba)'!$G:$G,MATCH($B452,'Pliegos Tarifarios (Huechuraba)'!$A:$A,0)),H452&lt;=1000,INDEX('Pliegos Tarifarios (Huechuraba)'!$H:$H,MATCH($B452,'Pliegos Tarifarios (Huechuraba)'!$A:$A,0)),H452&lt;=5000,INDEX('Pliegos Tarifarios (Huechuraba)'!$I:$I,MATCH($B452,'Pliegos Tarifarios (Huechuraba)'!$A:$A,0)),H452&gt;5000,INDEX('Pliegos Tarifarios (Huechuraba)'!$J:$J,MATCH($B452,'Pliegos Tarifarios (Huechuraba)'!$A:$A,0)))/1.19</f>
        <v>3166.1566302521005</v>
      </c>
      <c r="R452" s="19">
        <f>INDEX('Pliegos Tarifarios (Huechuraba)'!$K:$K,MATCH($B452,'Pliegos Tarifarios (Huechuraba)'!$A:$A,0))</f>
        <v>729.50400000000002</v>
      </c>
      <c r="S452" s="36">
        <f t="shared" si="18"/>
        <v>208360.3725202521</v>
      </c>
      <c r="T452" s="36">
        <f t="shared" si="19"/>
        <v>39588.470778847899</v>
      </c>
      <c r="U452" s="19">
        <v>0</v>
      </c>
      <c r="V452" s="36">
        <f t="shared" si="20"/>
        <v>247948.8432991</v>
      </c>
    </row>
    <row r="453" spans="1:22" ht="23.4" thickBot="1" x14ac:dyDescent="0.35">
      <c r="A453" s="25" t="s">
        <v>151</v>
      </c>
      <c r="B453" s="26">
        <v>9</v>
      </c>
      <c r="C453" s="27" t="s">
        <v>15</v>
      </c>
      <c r="D453" s="26" t="s">
        <v>78</v>
      </c>
      <c r="E453" s="26" t="s">
        <v>76</v>
      </c>
      <c r="F453" s="27" t="s">
        <v>79</v>
      </c>
      <c r="G453" s="26" t="s">
        <v>19</v>
      </c>
      <c r="H453" s="26">
        <v>793.19</v>
      </c>
      <c r="I453" s="26">
        <v>2.23</v>
      </c>
      <c r="J453" s="26">
        <v>2.16</v>
      </c>
      <c r="K453" s="29">
        <v>0.96899999999999997</v>
      </c>
      <c r="L453" s="26">
        <v>25.59</v>
      </c>
      <c r="M453" s="19">
        <f>H453*INDEX('Pliegos Tarifarios (Huechuraba)'!$B:$B,MATCH($B453,'Pliegos Tarifarios (Huechuraba)'!$A:$A,0))</f>
        <v>104513.09397000002</v>
      </c>
      <c r="N453" s="19">
        <f>I453*INDEX('Pliegos Tarifarios (Huechuraba)'!$C:$C,MATCH($B453,'Pliegos Tarifarios (Huechuraba)'!$A:$A,0))</f>
        <v>7676.3713699999998</v>
      </c>
      <c r="O453" s="19">
        <f>J453*INDEX('Pliegos Tarifarios (Huechuraba)'!$D:$D,MATCH($B453,'Pliegos Tarifarios (Huechuraba)'!$A:$A,0))</f>
        <v>31346.209440000002</v>
      </c>
      <c r="P453" s="19">
        <f>H453*INDEX('Pliegos Tarifarios (Huechuraba)'!$E:$E,MATCH($B453,'Pliegos Tarifarios (Huechuraba)'!$A:$A,0))</f>
        <v>10330.50656</v>
      </c>
      <c r="Q453" s="19" cm="1">
        <f t="array" ref="Q453">H453*_xlfn.IFS(H453&lt;=350,INDEX('Pliegos Tarifarios (Huechuraba)'!$F:$F,MATCH($B453,'Pliegos Tarifarios (Huechuraba)'!$A:$A,0)),H453&lt;=500,INDEX('Pliegos Tarifarios (Huechuraba)'!$G:$G,MATCH($B453,'Pliegos Tarifarios (Huechuraba)'!$A:$A,0)),H453&lt;=1000,INDEX('Pliegos Tarifarios (Huechuraba)'!$H:$H,MATCH($B453,'Pliegos Tarifarios (Huechuraba)'!$A:$A,0)),H453&lt;=5000,INDEX('Pliegos Tarifarios (Huechuraba)'!$I:$I,MATCH($B453,'Pliegos Tarifarios (Huechuraba)'!$A:$A,0)),H453&gt;5000,INDEX('Pliegos Tarifarios (Huechuraba)'!$J:$J,MATCH($B453,'Pliegos Tarifarios (Huechuraba)'!$A:$A,0)))/1.19</f>
        <v>1860.3304957983198</v>
      </c>
      <c r="R453" s="19">
        <f>INDEX('Pliegos Tarifarios (Huechuraba)'!$K:$K,MATCH($B453,'Pliegos Tarifarios (Huechuraba)'!$A:$A,0))</f>
        <v>729.50400000000002</v>
      </c>
      <c r="S453" s="36">
        <f t="shared" ref="S453:S516" si="21">SUM(M453:R453)</f>
        <v>156456.01583579832</v>
      </c>
      <c r="T453" s="36">
        <f t="shared" ref="T453:T516" si="22">S453*0.19</f>
        <v>29726.643008801679</v>
      </c>
      <c r="U453" s="19">
        <v>0</v>
      </c>
      <c r="V453" s="36">
        <f t="shared" ref="V453:V516" si="23">SUM(S453:T453)</f>
        <v>186182.6588446</v>
      </c>
    </row>
    <row r="454" spans="1:22" ht="23.4" thickBot="1" x14ac:dyDescent="0.35">
      <c r="A454" s="25" t="s">
        <v>151</v>
      </c>
      <c r="B454" s="26">
        <v>9</v>
      </c>
      <c r="C454" s="27" t="s">
        <v>15</v>
      </c>
      <c r="D454" s="26" t="s">
        <v>80</v>
      </c>
      <c r="E454" s="26" t="s">
        <v>81</v>
      </c>
      <c r="F454" s="27" t="s">
        <v>82</v>
      </c>
      <c r="G454" s="26" t="s">
        <v>19</v>
      </c>
      <c r="H454" s="26">
        <v>663.02</v>
      </c>
      <c r="I454" s="26">
        <v>1.84</v>
      </c>
      <c r="J454" s="26">
        <v>1.82</v>
      </c>
      <c r="K454" s="29">
        <v>0.99099999999999999</v>
      </c>
      <c r="L454" s="26">
        <v>21.39</v>
      </c>
      <c r="M454" s="19">
        <f>H454*INDEX('Pliegos Tarifarios (Huechuraba)'!$B:$B,MATCH($B454,'Pliegos Tarifarios (Huechuraba)'!$A:$A,0))</f>
        <v>87361.504260000002</v>
      </c>
      <c r="N454" s="19">
        <f>I454*INDEX('Pliegos Tarifarios (Huechuraba)'!$C:$C,MATCH($B454,'Pliegos Tarifarios (Huechuraba)'!$A:$A,0))</f>
        <v>6333.8669600000003</v>
      </c>
      <c r="O454" s="19">
        <f>J454*INDEX('Pliegos Tarifarios (Huechuraba)'!$D:$D,MATCH($B454,'Pliegos Tarifarios (Huechuraba)'!$A:$A,0))</f>
        <v>26412.083880000002</v>
      </c>
      <c r="P454" s="19">
        <f>H454*INDEX('Pliegos Tarifarios (Huechuraba)'!$E:$E,MATCH($B454,'Pliegos Tarifarios (Huechuraba)'!$A:$A,0))</f>
        <v>8635.1724799999993</v>
      </c>
      <c r="Q454" s="19" cm="1">
        <f t="array" ref="Q454">H454*_xlfn.IFS(H454&lt;=350,INDEX('Pliegos Tarifarios (Huechuraba)'!$F:$F,MATCH($B454,'Pliegos Tarifarios (Huechuraba)'!$A:$A,0)),H454&lt;=500,INDEX('Pliegos Tarifarios (Huechuraba)'!$G:$G,MATCH($B454,'Pliegos Tarifarios (Huechuraba)'!$A:$A,0)),H454&lt;=1000,INDEX('Pliegos Tarifarios (Huechuraba)'!$H:$H,MATCH($B454,'Pliegos Tarifarios (Huechuraba)'!$A:$A,0)),H454&lt;=5000,INDEX('Pliegos Tarifarios (Huechuraba)'!$I:$I,MATCH($B454,'Pliegos Tarifarios (Huechuraba)'!$A:$A,0)),H454&gt;5000,INDEX('Pliegos Tarifarios (Huechuraba)'!$J:$J,MATCH($B454,'Pliegos Tarifarios (Huechuraba)'!$A:$A,0)))/1.19</f>
        <v>1555.0326218487398</v>
      </c>
      <c r="R454" s="19">
        <f>INDEX('Pliegos Tarifarios (Huechuraba)'!$K:$K,MATCH($B454,'Pliegos Tarifarios (Huechuraba)'!$A:$A,0))</f>
        <v>729.50400000000002</v>
      </c>
      <c r="S454" s="36">
        <f t="shared" si="21"/>
        <v>131027.16420184875</v>
      </c>
      <c r="T454" s="36">
        <f t="shared" si="22"/>
        <v>24895.161198351263</v>
      </c>
      <c r="U454" s="19">
        <v>0</v>
      </c>
      <c r="V454" s="36">
        <f t="shared" si="23"/>
        <v>155922.3254002</v>
      </c>
    </row>
    <row r="455" spans="1:22" ht="23.4" thickBot="1" x14ac:dyDescent="0.35">
      <c r="A455" s="25" t="s">
        <v>151</v>
      </c>
      <c r="B455" s="26">
        <v>9</v>
      </c>
      <c r="C455" s="27" t="s">
        <v>15</v>
      </c>
      <c r="D455" s="26" t="s">
        <v>83</v>
      </c>
      <c r="E455" s="26" t="s">
        <v>81</v>
      </c>
      <c r="F455" s="27" t="s">
        <v>84</v>
      </c>
      <c r="G455" s="26" t="s">
        <v>19</v>
      </c>
      <c r="H455" s="26">
        <v>439.94</v>
      </c>
      <c r="I455" s="26">
        <v>1.22</v>
      </c>
      <c r="J455" s="26">
        <v>1.22</v>
      </c>
      <c r="K455" s="29">
        <v>1</v>
      </c>
      <c r="L455" s="26">
        <v>14.19</v>
      </c>
      <c r="M455" s="19">
        <f>H455*INDEX('Pliegos Tarifarios (Huechuraba)'!$B:$B,MATCH($B455,'Pliegos Tarifarios (Huechuraba)'!$A:$A,0))</f>
        <v>57967.81422</v>
      </c>
      <c r="N455" s="19">
        <f>I455*INDEX('Pliegos Tarifarios (Huechuraba)'!$C:$C,MATCH($B455,'Pliegos Tarifarios (Huechuraba)'!$A:$A,0))</f>
        <v>4199.6291799999999</v>
      </c>
      <c r="O455" s="19">
        <f>J455*INDEX('Pliegos Tarifarios (Huechuraba)'!$D:$D,MATCH($B455,'Pliegos Tarifarios (Huechuraba)'!$A:$A,0))</f>
        <v>17704.803479999999</v>
      </c>
      <c r="P455" s="19">
        <f>H455*INDEX('Pliegos Tarifarios (Huechuraba)'!$E:$E,MATCH($B455,'Pliegos Tarifarios (Huechuraba)'!$A:$A,0))</f>
        <v>5729.7785599999997</v>
      </c>
      <c r="Q455" s="19" cm="1">
        <f t="array" ref="Q455">H455*_xlfn.IFS(H455&lt;=350,INDEX('Pliegos Tarifarios (Huechuraba)'!$F:$F,MATCH($B455,'Pliegos Tarifarios (Huechuraba)'!$A:$A,0)),H455&lt;=500,INDEX('Pliegos Tarifarios (Huechuraba)'!$G:$G,MATCH($B455,'Pliegos Tarifarios (Huechuraba)'!$A:$A,0)),H455&lt;=1000,INDEX('Pliegos Tarifarios (Huechuraba)'!$H:$H,MATCH($B455,'Pliegos Tarifarios (Huechuraba)'!$A:$A,0)),H455&lt;=5000,INDEX('Pliegos Tarifarios (Huechuraba)'!$I:$I,MATCH($B455,'Pliegos Tarifarios (Huechuraba)'!$A:$A,0)),H455&gt;5000,INDEX('Pliegos Tarifarios (Huechuraba)'!$J:$J,MATCH($B455,'Pliegos Tarifarios (Huechuraba)'!$A:$A,0)))/1.19</f>
        <v>619.61297478991605</v>
      </c>
      <c r="R455" s="19">
        <f>INDEX('Pliegos Tarifarios (Huechuraba)'!$K:$K,MATCH($B455,'Pliegos Tarifarios (Huechuraba)'!$A:$A,0))</f>
        <v>729.50400000000002</v>
      </c>
      <c r="S455" s="36">
        <f t="shared" si="21"/>
        <v>86951.142414789923</v>
      </c>
      <c r="T455" s="36">
        <f t="shared" si="22"/>
        <v>16520.717058810085</v>
      </c>
      <c r="U455" s="19">
        <v>0</v>
      </c>
      <c r="V455" s="36">
        <f t="shared" si="23"/>
        <v>103471.85947360001</v>
      </c>
    </row>
    <row r="456" spans="1:22" ht="23.4" thickBot="1" x14ac:dyDescent="0.35">
      <c r="A456" s="25" t="s">
        <v>151</v>
      </c>
      <c r="B456" s="26">
        <v>9</v>
      </c>
      <c r="C456" s="27" t="s">
        <v>15</v>
      </c>
      <c r="D456" s="26" t="s">
        <v>85</v>
      </c>
      <c r="E456" s="26" t="s">
        <v>81</v>
      </c>
      <c r="F456" s="27" t="s">
        <v>86</v>
      </c>
      <c r="G456" s="26" t="s">
        <v>19</v>
      </c>
      <c r="H456" s="26">
        <v>529.98</v>
      </c>
      <c r="I456" s="26">
        <v>1.52</v>
      </c>
      <c r="J456" s="26">
        <v>1.52</v>
      </c>
      <c r="K456" s="29">
        <v>1</v>
      </c>
      <c r="L456" s="26">
        <v>17.100000000000001</v>
      </c>
      <c r="M456" s="19">
        <f>H456*INDEX('Pliegos Tarifarios (Huechuraba)'!$B:$B,MATCH($B456,'Pliegos Tarifarios (Huechuraba)'!$A:$A,0))</f>
        <v>69831.754740000004</v>
      </c>
      <c r="N456" s="19">
        <f>I456*INDEX('Pliegos Tarifarios (Huechuraba)'!$C:$C,MATCH($B456,'Pliegos Tarifarios (Huechuraba)'!$A:$A,0))</f>
        <v>5232.3248800000001</v>
      </c>
      <c r="O456" s="19">
        <f>J456*INDEX('Pliegos Tarifarios (Huechuraba)'!$D:$D,MATCH($B456,'Pliegos Tarifarios (Huechuraba)'!$A:$A,0))</f>
        <v>22058.44368</v>
      </c>
      <c r="P456" s="19">
        <f>H456*INDEX('Pliegos Tarifarios (Huechuraba)'!$E:$E,MATCH($B456,'Pliegos Tarifarios (Huechuraba)'!$A:$A,0))</f>
        <v>6902.4595199999994</v>
      </c>
      <c r="Q456" s="19" cm="1">
        <f t="array" ref="Q456">H456*_xlfn.IFS(H456&lt;=350,INDEX('Pliegos Tarifarios (Huechuraba)'!$F:$F,MATCH($B456,'Pliegos Tarifarios (Huechuraba)'!$A:$A,0)),H456&lt;=500,INDEX('Pliegos Tarifarios (Huechuraba)'!$G:$G,MATCH($B456,'Pliegos Tarifarios (Huechuraba)'!$A:$A,0)),H456&lt;=1000,INDEX('Pliegos Tarifarios (Huechuraba)'!$H:$H,MATCH($B456,'Pliegos Tarifarios (Huechuraba)'!$A:$A,0)),H456&lt;=5000,INDEX('Pliegos Tarifarios (Huechuraba)'!$I:$I,MATCH($B456,'Pliegos Tarifarios (Huechuraba)'!$A:$A,0)),H456&gt;5000,INDEX('Pliegos Tarifarios (Huechuraba)'!$J:$J,MATCH($B456,'Pliegos Tarifarios (Huechuraba)'!$A:$A,0)))/1.19</f>
        <v>1243.0035126050423</v>
      </c>
      <c r="R456" s="19">
        <f>INDEX('Pliegos Tarifarios (Huechuraba)'!$K:$K,MATCH($B456,'Pliegos Tarifarios (Huechuraba)'!$A:$A,0))</f>
        <v>729.50400000000002</v>
      </c>
      <c r="S456" s="36">
        <f t="shared" si="21"/>
        <v>105997.49033260504</v>
      </c>
      <c r="T456" s="36">
        <f t="shared" si="22"/>
        <v>20139.523163194957</v>
      </c>
      <c r="U456" s="19">
        <v>0</v>
      </c>
      <c r="V456" s="36">
        <f t="shared" si="23"/>
        <v>126137.0134958</v>
      </c>
    </row>
    <row r="457" spans="1:22" ht="23.4" thickBot="1" x14ac:dyDescent="0.35">
      <c r="A457" s="25" t="s">
        <v>151</v>
      </c>
      <c r="B457" s="26">
        <v>9</v>
      </c>
      <c r="C457" s="27" t="s">
        <v>15</v>
      </c>
      <c r="D457" s="26" t="s">
        <v>87</v>
      </c>
      <c r="E457" s="26" t="s">
        <v>81</v>
      </c>
      <c r="F457" s="27" t="s">
        <v>88</v>
      </c>
      <c r="G457" s="26" t="s">
        <v>19</v>
      </c>
      <c r="H457" s="26">
        <v>528.01</v>
      </c>
      <c r="I457" s="26">
        <v>1.48</v>
      </c>
      <c r="J457" s="26">
        <v>1.43</v>
      </c>
      <c r="K457" s="29">
        <v>0.96399999999999997</v>
      </c>
      <c r="L457" s="26">
        <v>17.03</v>
      </c>
      <c r="M457" s="19">
        <f>H457*INDEX('Pliegos Tarifarios (Huechuraba)'!$B:$B,MATCH($B457,'Pliegos Tarifarios (Huechuraba)'!$A:$A,0))</f>
        <v>69572.181630000006</v>
      </c>
      <c r="N457" s="19">
        <f>I457*INDEX('Pliegos Tarifarios (Huechuraba)'!$C:$C,MATCH($B457,'Pliegos Tarifarios (Huechuraba)'!$A:$A,0))</f>
        <v>5094.6321200000002</v>
      </c>
      <c r="O457" s="19">
        <f>J457*INDEX('Pliegos Tarifarios (Huechuraba)'!$D:$D,MATCH($B457,'Pliegos Tarifarios (Huechuraba)'!$A:$A,0))</f>
        <v>20752.351619999998</v>
      </c>
      <c r="P457" s="19">
        <f>H457*INDEX('Pliegos Tarifarios (Huechuraba)'!$E:$E,MATCH($B457,'Pliegos Tarifarios (Huechuraba)'!$A:$A,0))</f>
        <v>6876.8022399999991</v>
      </c>
      <c r="Q457" s="19" cm="1">
        <f t="array" ref="Q457">H457*_xlfn.IFS(H457&lt;=350,INDEX('Pliegos Tarifarios (Huechuraba)'!$F:$F,MATCH($B457,'Pliegos Tarifarios (Huechuraba)'!$A:$A,0)),H457&lt;=500,INDEX('Pliegos Tarifarios (Huechuraba)'!$G:$G,MATCH($B457,'Pliegos Tarifarios (Huechuraba)'!$A:$A,0)),H457&lt;=1000,INDEX('Pliegos Tarifarios (Huechuraba)'!$H:$H,MATCH($B457,'Pliegos Tarifarios (Huechuraba)'!$A:$A,0)),H457&lt;=5000,INDEX('Pliegos Tarifarios (Huechuraba)'!$I:$I,MATCH($B457,'Pliegos Tarifarios (Huechuraba)'!$A:$A,0)),H457&gt;5000,INDEX('Pliegos Tarifarios (Huechuraba)'!$J:$J,MATCH($B457,'Pliegos Tarifarios (Huechuraba)'!$A:$A,0)))/1.19</f>
        <v>1238.383117647059</v>
      </c>
      <c r="R457" s="19">
        <f>INDEX('Pliegos Tarifarios (Huechuraba)'!$K:$K,MATCH($B457,'Pliegos Tarifarios (Huechuraba)'!$A:$A,0))</f>
        <v>729.50400000000002</v>
      </c>
      <c r="S457" s="36">
        <f t="shared" si="21"/>
        <v>104263.85472764706</v>
      </c>
      <c r="T457" s="36">
        <f t="shared" si="22"/>
        <v>19810.132398252943</v>
      </c>
      <c r="U457" s="19">
        <v>0</v>
      </c>
      <c r="V457" s="36">
        <f t="shared" si="23"/>
        <v>124073.98712590001</v>
      </c>
    </row>
    <row r="458" spans="1:22" ht="23.4" thickBot="1" x14ac:dyDescent="0.35">
      <c r="A458" s="25" t="s">
        <v>151</v>
      </c>
      <c r="B458" s="26">
        <v>9</v>
      </c>
      <c r="C458" s="27" t="s">
        <v>15</v>
      </c>
      <c r="D458" s="26" t="s">
        <v>89</v>
      </c>
      <c r="E458" s="26" t="s">
        <v>81</v>
      </c>
      <c r="F458" s="27" t="s">
        <v>90</v>
      </c>
      <c r="G458" s="26" t="s">
        <v>19</v>
      </c>
      <c r="H458" s="26">
        <v>528.91</v>
      </c>
      <c r="I458" s="26">
        <v>1.5</v>
      </c>
      <c r="J458" s="26">
        <v>1.46</v>
      </c>
      <c r="K458" s="29">
        <v>0.97699999999999998</v>
      </c>
      <c r="L458" s="26">
        <v>17.059999999999999</v>
      </c>
      <c r="M458" s="19">
        <f>H458*INDEX('Pliegos Tarifarios (Huechuraba)'!$B:$B,MATCH($B458,'Pliegos Tarifarios (Huechuraba)'!$A:$A,0))</f>
        <v>69690.768329999992</v>
      </c>
      <c r="N458" s="19">
        <f>I458*INDEX('Pliegos Tarifarios (Huechuraba)'!$C:$C,MATCH($B458,'Pliegos Tarifarios (Huechuraba)'!$A:$A,0))</f>
        <v>5163.4785000000002</v>
      </c>
      <c r="O458" s="19">
        <f>J458*INDEX('Pliegos Tarifarios (Huechuraba)'!$D:$D,MATCH($B458,'Pliegos Tarifarios (Huechuraba)'!$A:$A,0))</f>
        <v>21187.715639999999</v>
      </c>
      <c r="P458" s="19">
        <f>H458*INDEX('Pliegos Tarifarios (Huechuraba)'!$E:$E,MATCH($B458,'Pliegos Tarifarios (Huechuraba)'!$A:$A,0))</f>
        <v>6888.5238399999989</v>
      </c>
      <c r="Q458" s="19" cm="1">
        <f t="array" ref="Q458">H458*_xlfn.IFS(H458&lt;=350,INDEX('Pliegos Tarifarios (Huechuraba)'!$F:$F,MATCH($B458,'Pliegos Tarifarios (Huechuraba)'!$A:$A,0)),H458&lt;=500,INDEX('Pliegos Tarifarios (Huechuraba)'!$G:$G,MATCH($B458,'Pliegos Tarifarios (Huechuraba)'!$A:$A,0)),H458&lt;=1000,INDEX('Pliegos Tarifarios (Huechuraba)'!$H:$H,MATCH($B458,'Pliegos Tarifarios (Huechuraba)'!$A:$A,0)),H458&lt;=5000,INDEX('Pliegos Tarifarios (Huechuraba)'!$I:$I,MATCH($B458,'Pliegos Tarifarios (Huechuraba)'!$A:$A,0)),H458&gt;5000,INDEX('Pliegos Tarifarios (Huechuraba)'!$J:$J,MATCH($B458,'Pliegos Tarifarios (Huechuraba)'!$A:$A,0)))/1.19</f>
        <v>1240.4939579831935</v>
      </c>
      <c r="R458" s="19">
        <f>INDEX('Pliegos Tarifarios (Huechuraba)'!$K:$K,MATCH($B458,'Pliegos Tarifarios (Huechuraba)'!$A:$A,0))</f>
        <v>729.50400000000002</v>
      </c>
      <c r="S458" s="36">
        <f t="shared" si="21"/>
        <v>104900.48426798318</v>
      </c>
      <c r="T458" s="36">
        <f t="shared" si="22"/>
        <v>19931.092010916804</v>
      </c>
      <c r="U458" s="19">
        <v>0</v>
      </c>
      <c r="V458" s="36">
        <f t="shared" si="23"/>
        <v>124831.57627889999</v>
      </c>
    </row>
    <row r="459" spans="1:22" ht="23.4" thickBot="1" x14ac:dyDescent="0.35">
      <c r="A459" s="25" t="s">
        <v>151</v>
      </c>
      <c r="B459" s="26">
        <v>9</v>
      </c>
      <c r="C459" s="27" t="s">
        <v>15</v>
      </c>
      <c r="D459" s="26" t="s">
        <v>91</v>
      </c>
      <c r="E459" s="26" t="s">
        <v>81</v>
      </c>
      <c r="F459" s="27" t="s">
        <v>92</v>
      </c>
      <c r="G459" s="26" t="s">
        <v>19</v>
      </c>
      <c r="H459" s="26">
        <v>661.48</v>
      </c>
      <c r="I459" s="26">
        <v>1.88</v>
      </c>
      <c r="J459" s="26">
        <v>1.81</v>
      </c>
      <c r="K459" s="29">
        <v>0.96499999999999997</v>
      </c>
      <c r="L459" s="26">
        <v>21.34</v>
      </c>
      <c r="M459" s="19">
        <f>H459*INDEX('Pliegos Tarifarios (Huechuraba)'!$B:$B,MATCH($B459,'Pliegos Tarifarios (Huechuraba)'!$A:$A,0))</f>
        <v>87158.589240000001</v>
      </c>
      <c r="N459" s="19">
        <f>I459*INDEX('Pliegos Tarifarios (Huechuraba)'!$C:$C,MATCH($B459,'Pliegos Tarifarios (Huechuraba)'!$A:$A,0))</f>
        <v>6471.5597199999993</v>
      </c>
      <c r="O459" s="19">
        <f>J459*INDEX('Pliegos Tarifarios (Huechuraba)'!$D:$D,MATCH($B459,'Pliegos Tarifarios (Huechuraba)'!$A:$A,0))</f>
        <v>26266.96254</v>
      </c>
      <c r="P459" s="19">
        <f>H459*INDEX('Pliegos Tarifarios (Huechuraba)'!$E:$E,MATCH($B459,'Pliegos Tarifarios (Huechuraba)'!$A:$A,0))</f>
        <v>8615.1155199999994</v>
      </c>
      <c r="Q459" s="19" cm="1">
        <f t="array" ref="Q459">H459*_xlfn.IFS(H459&lt;=350,INDEX('Pliegos Tarifarios (Huechuraba)'!$F:$F,MATCH($B459,'Pliegos Tarifarios (Huechuraba)'!$A:$A,0)),H459&lt;=500,INDEX('Pliegos Tarifarios (Huechuraba)'!$G:$G,MATCH($B459,'Pliegos Tarifarios (Huechuraba)'!$A:$A,0)),H459&lt;=1000,INDEX('Pliegos Tarifarios (Huechuraba)'!$H:$H,MATCH($B459,'Pliegos Tarifarios (Huechuraba)'!$A:$A,0)),H459&lt;=5000,INDEX('Pliegos Tarifarios (Huechuraba)'!$I:$I,MATCH($B459,'Pliegos Tarifarios (Huechuraba)'!$A:$A,0)),H459&gt;5000,INDEX('Pliegos Tarifarios (Huechuraba)'!$J:$J,MATCH($B459,'Pliegos Tarifarios (Huechuraba)'!$A:$A,0)))/1.19</f>
        <v>1551.4207394957987</v>
      </c>
      <c r="R459" s="19">
        <f>INDEX('Pliegos Tarifarios (Huechuraba)'!$K:$K,MATCH($B459,'Pliegos Tarifarios (Huechuraba)'!$A:$A,0))</f>
        <v>729.50400000000002</v>
      </c>
      <c r="S459" s="36">
        <f t="shared" si="21"/>
        <v>130793.15175949578</v>
      </c>
      <c r="T459" s="36">
        <f t="shared" si="22"/>
        <v>24850.698834304199</v>
      </c>
      <c r="U459" s="19">
        <v>0</v>
      </c>
      <c r="V459" s="36">
        <f t="shared" si="23"/>
        <v>155643.85059379999</v>
      </c>
    </row>
    <row r="460" spans="1:22" ht="23.4" thickBot="1" x14ac:dyDescent="0.35">
      <c r="A460" s="25" t="s">
        <v>151</v>
      </c>
      <c r="B460" s="26">
        <v>9</v>
      </c>
      <c r="C460" s="27" t="s">
        <v>15</v>
      </c>
      <c r="D460" s="26" t="s">
        <v>93</v>
      </c>
      <c r="E460" s="26" t="s">
        <v>94</v>
      </c>
      <c r="F460" s="27" t="s">
        <v>95</v>
      </c>
      <c r="G460" s="26" t="s">
        <v>19</v>
      </c>
      <c r="H460" s="26">
        <v>529.07000000000005</v>
      </c>
      <c r="I460" s="26">
        <v>1.5</v>
      </c>
      <c r="J460" s="26">
        <v>1.5</v>
      </c>
      <c r="K460" s="29">
        <v>1</v>
      </c>
      <c r="L460" s="26">
        <v>17.07</v>
      </c>
      <c r="M460" s="19">
        <f>H460*INDEX('Pliegos Tarifarios (Huechuraba)'!$B:$B,MATCH($B460,'Pliegos Tarifarios (Huechuraba)'!$A:$A,0))</f>
        <v>69711.850410000014</v>
      </c>
      <c r="N460" s="19">
        <f>I460*INDEX('Pliegos Tarifarios (Huechuraba)'!$C:$C,MATCH($B460,'Pliegos Tarifarios (Huechuraba)'!$A:$A,0))</f>
        <v>5163.4785000000002</v>
      </c>
      <c r="O460" s="19">
        <f>J460*INDEX('Pliegos Tarifarios (Huechuraba)'!$D:$D,MATCH($B460,'Pliegos Tarifarios (Huechuraba)'!$A:$A,0))</f>
        <v>21768.201000000001</v>
      </c>
      <c r="P460" s="19">
        <f>H460*INDEX('Pliegos Tarifarios (Huechuraba)'!$E:$E,MATCH($B460,'Pliegos Tarifarios (Huechuraba)'!$A:$A,0))</f>
        <v>6890.6076800000001</v>
      </c>
      <c r="Q460" s="19" cm="1">
        <f t="array" ref="Q460">H460*_xlfn.IFS(H460&lt;=350,INDEX('Pliegos Tarifarios (Huechuraba)'!$F:$F,MATCH($B460,'Pliegos Tarifarios (Huechuraba)'!$A:$A,0)),H460&lt;=500,INDEX('Pliegos Tarifarios (Huechuraba)'!$G:$G,MATCH($B460,'Pliegos Tarifarios (Huechuraba)'!$A:$A,0)),H460&lt;=1000,INDEX('Pliegos Tarifarios (Huechuraba)'!$H:$H,MATCH($B460,'Pliegos Tarifarios (Huechuraba)'!$A:$A,0)),H460&lt;=5000,INDEX('Pliegos Tarifarios (Huechuraba)'!$I:$I,MATCH($B460,'Pliegos Tarifarios (Huechuraba)'!$A:$A,0)),H460&gt;5000,INDEX('Pliegos Tarifarios (Huechuraba)'!$J:$J,MATCH($B460,'Pliegos Tarifarios (Huechuraba)'!$A:$A,0)))/1.19</f>
        <v>1240.8692184873953</v>
      </c>
      <c r="R460" s="19">
        <f>INDEX('Pliegos Tarifarios (Huechuraba)'!$K:$K,MATCH($B460,'Pliegos Tarifarios (Huechuraba)'!$A:$A,0))</f>
        <v>729.50400000000002</v>
      </c>
      <c r="S460" s="36">
        <f t="shared" si="21"/>
        <v>105504.51080848741</v>
      </c>
      <c r="T460" s="36">
        <f t="shared" si="22"/>
        <v>20045.857053612606</v>
      </c>
      <c r="U460" s="19">
        <v>0</v>
      </c>
      <c r="V460" s="36">
        <f t="shared" si="23"/>
        <v>125550.36786210001</v>
      </c>
    </row>
    <row r="461" spans="1:22" ht="23.4" thickBot="1" x14ac:dyDescent="0.35">
      <c r="A461" s="25" t="s">
        <v>151</v>
      </c>
      <c r="B461" s="26">
        <v>9</v>
      </c>
      <c r="C461" s="27" t="s">
        <v>15</v>
      </c>
      <c r="D461" s="26" t="s">
        <v>96</v>
      </c>
      <c r="E461" s="26" t="s">
        <v>97</v>
      </c>
      <c r="F461" s="27" t="s">
        <v>98</v>
      </c>
      <c r="G461" s="26" t="s">
        <v>19</v>
      </c>
      <c r="H461" s="26">
        <v>794.67</v>
      </c>
      <c r="I461" s="26">
        <v>2.19</v>
      </c>
      <c r="J461" s="26">
        <v>2.13</v>
      </c>
      <c r="K461" s="29">
        <v>0.97599999999999998</v>
      </c>
      <c r="L461" s="26">
        <v>25.63</v>
      </c>
      <c r="M461" s="19">
        <f>H461*INDEX('Pliegos Tarifarios (Huechuraba)'!$B:$B,MATCH($B461,'Pliegos Tarifarios (Huechuraba)'!$A:$A,0))</f>
        <v>104708.10321</v>
      </c>
      <c r="N461" s="19">
        <f>I461*INDEX('Pliegos Tarifarios (Huechuraba)'!$C:$C,MATCH($B461,'Pliegos Tarifarios (Huechuraba)'!$A:$A,0))</f>
        <v>7538.6786099999999</v>
      </c>
      <c r="O461" s="19">
        <f>J461*INDEX('Pliegos Tarifarios (Huechuraba)'!$D:$D,MATCH($B461,'Pliegos Tarifarios (Huechuraba)'!$A:$A,0))</f>
        <v>30910.845419999998</v>
      </c>
      <c r="P461" s="19">
        <f>H461*INDEX('Pliegos Tarifarios (Huechuraba)'!$E:$E,MATCH($B461,'Pliegos Tarifarios (Huechuraba)'!$A:$A,0))</f>
        <v>10349.782079999999</v>
      </c>
      <c r="Q461" s="19" cm="1">
        <f t="array" ref="Q461">H461*_xlfn.IFS(H461&lt;=350,INDEX('Pliegos Tarifarios (Huechuraba)'!$F:$F,MATCH($B461,'Pliegos Tarifarios (Huechuraba)'!$A:$A,0)),H461&lt;=500,INDEX('Pliegos Tarifarios (Huechuraba)'!$G:$G,MATCH($B461,'Pliegos Tarifarios (Huechuraba)'!$A:$A,0)),H461&lt;=1000,INDEX('Pliegos Tarifarios (Huechuraba)'!$H:$H,MATCH($B461,'Pliegos Tarifarios (Huechuraba)'!$A:$A,0)),H461&lt;=5000,INDEX('Pliegos Tarifarios (Huechuraba)'!$I:$I,MATCH($B461,'Pliegos Tarifarios (Huechuraba)'!$A:$A,0)),H461&gt;5000,INDEX('Pliegos Tarifarios (Huechuraba)'!$J:$J,MATCH($B461,'Pliegos Tarifarios (Huechuraba)'!$A:$A,0)))/1.19</f>
        <v>1863.8016554621852</v>
      </c>
      <c r="R461" s="19">
        <f>INDEX('Pliegos Tarifarios (Huechuraba)'!$K:$K,MATCH($B461,'Pliegos Tarifarios (Huechuraba)'!$A:$A,0))</f>
        <v>729.50400000000002</v>
      </c>
      <c r="S461" s="36">
        <f t="shared" si="21"/>
        <v>156100.71497546218</v>
      </c>
      <c r="T461" s="36">
        <f t="shared" si="22"/>
        <v>29659.135845337812</v>
      </c>
      <c r="U461" s="19">
        <v>0</v>
      </c>
      <c r="V461" s="36">
        <f t="shared" si="23"/>
        <v>185759.8508208</v>
      </c>
    </row>
    <row r="462" spans="1:22" ht="23.4" thickBot="1" x14ac:dyDescent="0.35">
      <c r="A462" s="25" t="s">
        <v>151</v>
      </c>
      <c r="B462" s="26">
        <v>9</v>
      </c>
      <c r="C462" s="27" t="s">
        <v>15</v>
      </c>
      <c r="D462" s="26" t="s">
        <v>99</v>
      </c>
      <c r="E462" s="26" t="s">
        <v>94</v>
      </c>
      <c r="F462" s="27" t="s">
        <v>100</v>
      </c>
      <c r="G462" s="26" t="s">
        <v>19</v>
      </c>
      <c r="H462" s="26">
        <v>792.44</v>
      </c>
      <c r="I462" s="26">
        <v>2.23</v>
      </c>
      <c r="J462" s="26">
        <v>2.14</v>
      </c>
      <c r="K462" s="29">
        <v>0.96099999999999997</v>
      </c>
      <c r="L462" s="26">
        <v>25.56</v>
      </c>
      <c r="M462" s="19">
        <f>H462*INDEX('Pliegos Tarifarios (Huechuraba)'!$B:$B,MATCH($B462,'Pliegos Tarifarios (Huechuraba)'!$A:$A,0))</f>
        <v>104414.27172</v>
      </c>
      <c r="N462" s="19">
        <f>I462*INDEX('Pliegos Tarifarios (Huechuraba)'!$C:$C,MATCH($B462,'Pliegos Tarifarios (Huechuraba)'!$A:$A,0))</f>
        <v>7676.3713699999998</v>
      </c>
      <c r="O462" s="19">
        <f>J462*INDEX('Pliegos Tarifarios (Huechuraba)'!$D:$D,MATCH($B462,'Pliegos Tarifarios (Huechuraba)'!$A:$A,0))</f>
        <v>31055.966760000003</v>
      </c>
      <c r="P462" s="19">
        <f>H462*INDEX('Pliegos Tarifarios (Huechuraba)'!$E:$E,MATCH($B462,'Pliegos Tarifarios (Huechuraba)'!$A:$A,0))</f>
        <v>10320.73856</v>
      </c>
      <c r="Q462" s="19" cm="1">
        <f t="array" ref="Q462">H462*_xlfn.IFS(H462&lt;=350,INDEX('Pliegos Tarifarios (Huechuraba)'!$F:$F,MATCH($B462,'Pliegos Tarifarios (Huechuraba)'!$A:$A,0)),H462&lt;=500,INDEX('Pliegos Tarifarios (Huechuraba)'!$G:$G,MATCH($B462,'Pliegos Tarifarios (Huechuraba)'!$A:$A,0)),H462&lt;=1000,INDEX('Pliegos Tarifarios (Huechuraba)'!$H:$H,MATCH($B462,'Pliegos Tarifarios (Huechuraba)'!$A:$A,0)),H462&lt;=5000,INDEX('Pliegos Tarifarios (Huechuraba)'!$I:$I,MATCH($B462,'Pliegos Tarifarios (Huechuraba)'!$A:$A,0)),H462&gt;5000,INDEX('Pliegos Tarifarios (Huechuraba)'!$J:$J,MATCH($B462,'Pliegos Tarifarios (Huechuraba)'!$A:$A,0)))/1.19</f>
        <v>1858.5714621848745</v>
      </c>
      <c r="R462" s="19">
        <f>INDEX('Pliegos Tarifarios (Huechuraba)'!$K:$K,MATCH($B462,'Pliegos Tarifarios (Huechuraba)'!$A:$A,0))</f>
        <v>729.50400000000002</v>
      </c>
      <c r="S462" s="36">
        <f t="shared" si="21"/>
        <v>156055.42387218485</v>
      </c>
      <c r="T462" s="36">
        <f t="shared" si="22"/>
        <v>29650.530535715123</v>
      </c>
      <c r="U462" s="19">
        <v>0</v>
      </c>
      <c r="V462" s="36">
        <f t="shared" si="23"/>
        <v>185705.95440789999</v>
      </c>
    </row>
    <row r="463" spans="1:22" ht="23.4" thickBot="1" x14ac:dyDescent="0.35">
      <c r="A463" s="25" t="s">
        <v>151</v>
      </c>
      <c r="B463" s="26">
        <v>9</v>
      </c>
      <c r="C463" s="27" t="s">
        <v>15</v>
      </c>
      <c r="D463" s="26" t="s">
        <v>101</v>
      </c>
      <c r="E463" s="26" t="s">
        <v>102</v>
      </c>
      <c r="F463" s="27" t="s">
        <v>103</v>
      </c>
      <c r="G463" s="26" t="s">
        <v>19</v>
      </c>
      <c r="H463" s="28">
        <v>2112.84</v>
      </c>
      <c r="I463" s="26">
        <v>5.86</v>
      </c>
      <c r="J463" s="26">
        <v>5.68</v>
      </c>
      <c r="K463" s="29">
        <v>0.96899999999999997</v>
      </c>
      <c r="L463" s="26">
        <v>68.16</v>
      </c>
      <c r="M463" s="19">
        <f>H463*INDEX('Pliegos Tarifarios (Huechuraba)'!$B:$B,MATCH($B463,'Pliegos Tarifarios (Huechuraba)'!$A:$A,0))</f>
        <v>278394.13692000002</v>
      </c>
      <c r="N463" s="19">
        <f>I463*INDEX('Pliegos Tarifarios (Huechuraba)'!$C:$C,MATCH($B463,'Pliegos Tarifarios (Huechuraba)'!$A:$A,0))</f>
        <v>20171.98934</v>
      </c>
      <c r="O463" s="19">
        <f>J463*INDEX('Pliegos Tarifarios (Huechuraba)'!$D:$D,MATCH($B463,'Pliegos Tarifarios (Huechuraba)'!$A:$A,0))</f>
        <v>82428.921119999999</v>
      </c>
      <c r="P463" s="19">
        <f>H463*INDEX('Pliegos Tarifarios (Huechuraba)'!$E:$E,MATCH($B463,'Pliegos Tarifarios (Huechuraba)'!$A:$A,0))</f>
        <v>27517.62816</v>
      </c>
      <c r="Q463" s="19" cm="1">
        <f t="array" ref="Q463">H463*_xlfn.IFS(H463&lt;=350,INDEX('Pliegos Tarifarios (Huechuraba)'!$F:$F,MATCH($B463,'Pliegos Tarifarios (Huechuraba)'!$A:$A,0)),H463&lt;=500,INDEX('Pliegos Tarifarios (Huechuraba)'!$G:$G,MATCH($B463,'Pliegos Tarifarios (Huechuraba)'!$A:$A,0)),H463&lt;=1000,INDEX('Pliegos Tarifarios (Huechuraba)'!$H:$H,MATCH($B463,'Pliegos Tarifarios (Huechuraba)'!$A:$A,0)),H463&lt;=5000,INDEX('Pliegos Tarifarios (Huechuraba)'!$I:$I,MATCH($B463,'Pliegos Tarifarios (Huechuraba)'!$A:$A,0)),H463&gt;5000,INDEX('Pliegos Tarifarios (Huechuraba)'!$J:$J,MATCH($B463,'Pliegos Tarifarios (Huechuraba)'!$A:$A,0)))/1.19</f>
        <v>6340.2954957983202</v>
      </c>
      <c r="R463" s="19">
        <f>INDEX('Pliegos Tarifarios (Huechuraba)'!$K:$K,MATCH($B463,'Pliegos Tarifarios (Huechuraba)'!$A:$A,0))</f>
        <v>729.50400000000002</v>
      </c>
      <c r="S463" s="36">
        <f t="shared" si="21"/>
        <v>415582.47503579844</v>
      </c>
      <c r="T463" s="36">
        <f t="shared" si="22"/>
        <v>78960.670256801706</v>
      </c>
      <c r="U463" s="19">
        <v>0</v>
      </c>
      <c r="V463" s="36">
        <f t="shared" si="23"/>
        <v>494543.14529260015</v>
      </c>
    </row>
    <row r="464" spans="1:22" ht="23.4" thickBot="1" x14ac:dyDescent="0.35">
      <c r="A464" s="25" t="s">
        <v>151</v>
      </c>
      <c r="B464" s="26">
        <v>9</v>
      </c>
      <c r="C464" s="27" t="s">
        <v>15</v>
      </c>
      <c r="D464" s="26" t="s">
        <v>104</v>
      </c>
      <c r="E464" s="26" t="s">
        <v>105</v>
      </c>
      <c r="F464" s="27" t="s">
        <v>106</v>
      </c>
      <c r="G464" s="26" t="s">
        <v>19</v>
      </c>
      <c r="H464" s="28">
        <v>1582.62</v>
      </c>
      <c r="I464" s="26">
        <v>4.41</v>
      </c>
      <c r="J464" s="26">
        <v>4.4000000000000004</v>
      </c>
      <c r="K464" s="29">
        <v>0.997</v>
      </c>
      <c r="L464" s="26">
        <v>51.05</v>
      </c>
      <c r="M464" s="19">
        <f>H464*INDEX('Pliegos Tarifarios (Huechuraba)'!$B:$B,MATCH($B464,'Pliegos Tarifarios (Huechuraba)'!$A:$A,0))</f>
        <v>208530.75905999998</v>
      </c>
      <c r="N464" s="19">
        <f>I464*INDEX('Pliegos Tarifarios (Huechuraba)'!$C:$C,MATCH($B464,'Pliegos Tarifarios (Huechuraba)'!$A:$A,0))</f>
        <v>15180.62679</v>
      </c>
      <c r="O464" s="19">
        <f>J464*INDEX('Pliegos Tarifarios (Huechuraba)'!$D:$D,MATCH($B464,'Pliegos Tarifarios (Huechuraba)'!$A:$A,0))</f>
        <v>63853.389600000002</v>
      </c>
      <c r="P464" s="19">
        <f>H464*INDEX('Pliegos Tarifarios (Huechuraba)'!$E:$E,MATCH($B464,'Pliegos Tarifarios (Huechuraba)'!$A:$A,0))</f>
        <v>20612.042879999997</v>
      </c>
      <c r="Q464" s="19" cm="1">
        <f t="array" ref="Q464">H464*_xlfn.IFS(H464&lt;=350,INDEX('Pliegos Tarifarios (Huechuraba)'!$F:$F,MATCH($B464,'Pliegos Tarifarios (Huechuraba)'!$A:$A,0)),H464&lt;=500,INDEX('Pliegos Tarifarios (Huechuraba)'!$G:$G,MATCH($B464,'Pliegos Tarifarios (Huechuraba)'!$A:$A,0)),H464&lt;=1000,INDEX('Pliegos Tarifarios (Huechuraba)'!$H:$H,MATCH($B464,'Pliegos Tarifarios (Huechuraba)'!$A:$A,0)),H464&lt;=5000,INDEX('Pliegos Tarifarios (Huechuraba)'!$I:$I,MATCH($B464,'Pliegos Tarifarios (Huechuraba)'!$A:$A,0)),H464&gt;5000,INDEX('Pliegos Tarifarios (Huechuraba)'!$J:$J,MATCH($B464,'Pliegos Tarifarios (Huechuraba)'!$A:$A,0)))/1.19</f>
        <v>4749.1899327731089</v>
      </c>
      <c r="R464" s="19">
        <f>INDEX('Pliegos Tarifarios (Huechuraba)'!$K:$K,MATCH($B464,'Pliegos Tarifarios (Huechuraba)'!$A:$A,0))</f>
        <v>729.50400000000002</v>
      </c>
      <c r="S464" s="36">
        <f t="shared" si="21"/>
        <v>313655.51226277318</v>
      </c>
      <c r="T464" s="36">
        <f t="shared" si="22"/>
        <v>59594.547329926907</v>
      </c>
      <c r="U464" s="19">
        <v>0</v>
      </c>
      <c r="V464" s="36">
        <f t="shared" si="23"/>
        <v>373250.0595927001</v>
      </c>
    </row>
    <row r="465" spans="1:22" ht="23.4" thickBot="1" x14ac:dyDescent="0.35">
      <c r="A465" s="25" t="s">
        <v>151</v>
      </c>
      <c r="B465" s="26">
        <v>9</v>
      </c>
      <c r="C465" s="27" t="s">
        <v>15</v>
      </c>
      <c r="D465" s="26" t="s">
        <v>107</v>
      </c>
      <c r="E465" s="26" t="s">
        <v>108</v>
      </c>
      <c r="F465" s="27" t="s">
        <v>109</v>
      </c>
      <c r="G465" s="26" t="s">
        <v>33</v>
      </c>
      <c r="H465" s="26">
        <v>528.71</v>
      </c>
      <c r="I465" s="26">
        <v>1.5</v>
      </c>
      <c r="J465" s="26">
        <v>1.46</v>
      </c>
      <c r="K465" s="29">
        <v>0.97499999999999998</v>
      </c>
      <c r="L465" s="26">
        <v>17.059999999999999</v>
      </c>
      <c r="M465" s="19">
        <f>H465*INDEX('Pliegos Tarifarios (Huechuraba)'!$B:$B,MATCH($B465,'Pliegos Tarifarios (Huechuraba)'!$A:$A,0))</f>
        <v>69664.415730000008</v>
      </c>
      <c r="N465" s="19">
        <f>I465*INDEX('Pliegos Tarifarios (Huechuraba)'!$C:$C,MATCH($B465,'Pliegos Tarifarios (Huechuraba)'!$A:$A,0))</f>
        <v>5163.4785000000002</v>
      </c>
      <c r="O465" s="19">
        <f>J465*INDEX('Pliegos Tarifarios (Huechuraba)'!$D:$D,MATCH($B465,'Pliegos Tarifarios (Huechuraba)'!$A:$A,0))</f>
        <v>21187.715639999999</v>
      </c>
      <c r="P465" s="19">
        <f>H465*INDEX('Pliegos Tarifarios (Huechuraba)'!$E:$E,MATCH($B465,'Pliegos Tarifarios (Huechuraba)'!$A:$A,0))</f>
        <v>6885.9190399999998</v>
      </c>
      <c r="Q465" s="19" cm="1">
        <f t="array" ref="Q465">H465*_xlfn.IFS(H465&lt;=350,INDEX('Pliegos Tarifarios (Huechuraba)'!$F:$F,MATCH($B465,'Pliegos Tarifarios (Huechuraba)'!$A:$A,0)),H465&lt;=500,INDEX('Pliegos Tarifarios (Huechuraba)'!$G:$G,MATCH($B465,'Pliegos Tarifarios (Huechuraba)'!$A:$A,0)),H465&lt;=1000,INDEX('Pliegos Tarifarios (Huechuraba)'!$H:$H,MATCH($B465,'Pliegos Tarifarios (Huechuraba)'!$A:$A,0)),H465&lt;=5000,INDEX('Pliegos Tarifarios (Huechuraba)'!$I:$I,MATCH($B465,'Pliegos Tarifarios (Huechuraba)'!$A:$A,0)),H465&gt;5000,INDEX('Pliegos Tarifarios (Huechuraba)'!$J:$J,MATCH($B465,'Pliegos Tarifarios (Huechuraba)'!$A:$A,0)))/1.19</f>
        <v>1240.0248823529414</v>
      </c>
      <c r="R465" s="19">
        <f>INDEX('Pliegos Tarifarios (Huechuraba)'!$K:$K,MATCH($B465,'Pliegos Tarifarios (Huechuraba)'!$A:$A,0))</f>
        <v>729.50400000000002</v>
      </c>
      <c r="S465" s="36">
        <f t="shared" si="21"/>
        <v>104871.05779235293</v>
      </c>
      <c r="T465" s="36">
        <f t="shared" si="22"/>
        <v>19925.500980547058</v>
      </c>
      <c r="U465" s="19">
        <v>0</v>
      </c>
      <c r="V465" s="36">
        <f t="shared" si="23"/>
        <v>124796.5587729</v>
      </c>
    </row>
    <row r="466" spans="1:22" ht="23.4" thickBot="1" x14ac:dyDescent="0.35">
      <c r="A466" s="25" t="s">
        <v>151</v>
      </c>
      <c r="B466" s="26">
        <v>9</v>
      </c>
      <c r="C466" s="27" t="s">
        <v>15</v>
      </c>
      <c r="D466" s="26" t="s">
        <v>110</v>
      </c>
      <c r="E466" s="26" t="s">
        <v>108</v>
      </c>
      <c r="F466" s="27" t="s">
        <v>111</v>
      </c>
      <c r="G466" s="26" t="s">
        <v>33</v>
      </c>
      <c r="H466" s="26">
        <v>967.7</v>
      </c>
      <c r="I466" s="26">
        <v>2.71</v>
      </c>
      <c r="J466" s="26">
        <v>2.71</v>
      </c>
      <c r="K466" s="29">
        <v>1</v>
      </c>
      <c r="L466" s="26">
        <v>31.22</v>
      </c>
      <c r="M466" s="19">
        <f>H466*INDEX('Pliegos Tarifarios (Huechuraba)'!$B:$B,MATCH($B466,'Pliegos Tarifarios (Huechuraba)'!$A:$A,0))</f>
        <v>127507.05510000001</v>
      </c>
      <c r="N466" s="19">
        <f>I466*INDEX('Pliegos Tarifarios (Huechuraba)'!$C:$C,MATCH($B466,'Pliegos Tarifarios (Huechuraba)'!$A:$A,0))</f>
        <v>9328.6844899999996</v>
      </c>
      <c r="O466" s="19">
        <f>J466*INDEX('Pliegos Tarifarios (Huechuraba)'!$D:$D,MATCH($B466,'Pliegos Tarifarios (Huechuraba)'!$A:$A,0))</f>
        <v>39327.883139999998</v>
      </c>
      <c r="P466" s="19">
        <f>H466*INDEX('Pliegos Tarifarios (Huechuraba)'!$E:$E,MATCH($B466,'Pliegos Tarifarios (Huechuraba)'!$A:$A,0))</f>
        <v>12603.3248</v>
      </c>
      <c r="Q466" s="19" cm="1">
        <f t="array" ref="Q466">H466*_xlfn.IFS(H466&lt;=350,INDEX('Pliegos Tarifarios (Huechuraba)'!$F:$F,MATCH($B466,'Pliegos Tarifarios (Huechuraba)'!$A:$A,0)),H466&lt;=500,INDEX('Pliegos Tarifarios (Huechuraba)'!$G:$G,MATCH($B466,'Pliegos Tarifarios (Huechuraba)'!$A:$A,0)),H466&lt;=1000,INDEX('Pliegos Tarifarios (Huechuraba)'!$H:$H,MATCH($B466,'Pliegos Tarifarios (Huechuraba)'!$A:$A,0)),H466&lt;=5000,INDEX('Pliegos Tarifarios (Huechuraba)'!$I:$I,MATCH($B466,'Pliegos Tarifarios (Huechuraba)'!$A:$A,0)),H466&gt;5000,INDEX('Pliegos Tarifarios (Huechuraba)'!$J:$J,MATCH($B466,'Pliegos Tarifarios (Huechuraba)'!$A:$A,0)))/1.19</f>
        <v>2269.6224369747902</v>
      </c>
      <c r="R466" s="19">
        <f>INDEX('Pliegos Tarifarios (Huechuraba)'!$K:$K,MATCH($B466,'Pliegos Tarifarios (Huechuraba)'!$A:$A,0))</f>
        <v>729.50400000000002</v>
      </c>
      <c r="S466" s="36">
        <f t="shared" si="21"/>
        <v>191766.07396697477</v>
      </c>
      <c r="T466" s="36">
        <f t="shared" si="22"/>
        <v>36435.554053725209</v>
      </c>
      <c r="U466" s="19">
        <v>0</v>
      </c>
      <c r="V466" s="36">
        <f t="shared" si="23"/>
        <v>228201.62802069998</v>
      </c>
    </row>
    <row r="467" spans="1:22" ht="23.4" thickBot="1" x14ac:dyDescent="0.35">
      <c r="A467" s="25" t="s">
        <v>151</v>
      </c>
      <c r="B467" s="26">
        <v>9</v>
      </c>
      <c r="C467" s="27" t="s">
        <v>15</v>
      </c>
      <c r="D467" s="26" t="s">
        <v>112</v>
      </c>
      <c r="E467" s="26" t="s">
        <v>113</v>
      </c>
      <c r="F467" s="27" t="s">
        <v>114</v>
      </c>
      <c r="G467" s="26" t="s">
        <v>33</v>
      </c>
      <c r="H467" s="26">
        <v>351.96</v>
      </c>
      <c r="I467" s="26">
        <v>1</v>
      </c>
      <c r="J467" s="26">
        <v>0.95</v>
      </c>
      <c r="K467" s="29">
        <v>0.95099999999999996</v>
      </c>
      <c r="L467" s="26">
        <v>11.35</v>
      </c>
      <c r="M467" s="19">
        <f>H467*INDEX('Pliegos Tarifarios (Huechuraba)'!$B:$B,MATCH($B467,'Pliegos Tarifarios (Huechuraba)'!$A:$A,0))</f>
        <v>46375.305480000003</v>
      </c>
      <c r="N467" s="19">
        <f>I467*INDEX('Pliegos Tarifarios (Huechuraba)'!$C:$C,MATCH($B467,'Pliegos Tarifarios (Huechuraba)'!$A:$A,0))</f>
        <v>3442.319</v>
      </c>
      <c r="O467" s="19">
        <f>J467*INDEX('Pliegos Tarifarios (Huechuraba)'!$D:$D,MATCH($B467,'Pliegos Tarifarios (Huechuraba)'!$A:$A,0))</f>
        <v>13786.5273</v>
      </c>
      <c r="P467" s="19">
        <f>H467*INDEX('Pliegos Tarifarios (Huechuraba)'!$E:$E,MATCH($B467,'Pliegos Tarifarios (Huechuraba)'!$A:$A,0))</f>
        <v>4583.9270399999996</v>
      </c>
      <c r="Q467" s="19" cm="1">
        <f t="array" ref="Q467">H467*_xlfn.IFS(H467&lt;=350,INDEX('Pliegos Tarifarios (Huechuraba)'!$F:$F,MATCH($B467,'Pliegos Tarifarios (Huechuraba)'!$A:$A,0)),H467&lt;=500,INDEX('Pliegos Tarifarios (Huechuraba)'!$G:$G,MATCH($B467,'Pliegos Tarifarios (Huechuraba)'!$A:$A,0)),H467&lt;=1000,INDEX('Pliegos Tarifarios (Huechuraba)'!$H:$H,MATCH($B467,'Pliegos Tarifarios (Huechuraba)'!$A:$A,0)),H467&lt;=5000,INDEX('Pliegos Tarifarios (Huechuraba)'!$I:$I,MATCH($B467,'Pliegos Tarifarios (Huechuraba)'!$A:$A,0)),H467&gt;5000,INDEX('Pliegos Tarifarios (Huechuraba)'!$J:$J,MATCH($B467,'Pliegos Tarifarios (Huechuraba)'!$A:$A,0)))/1.19</f>
        <v>495.70164705882354</v>
      </c>
      <c r="R467" s="19">
        <f>INDEX('Pliegos Tarifarios (Huechuraba)'!$K:$K,MATCH($B467,'Pliegos Tarifarios (Huechuraba)'!$A:$A,0))</f>
        <v>729.50400000000002</v>
      </c>
      <c r="S467" s="36">
        <f t="shared" si="21"/>
        <v>69413.284467058838</v>
      </c>
      <c r="T467" s="36">
        <f t="shared" si="22"/>
        <v>13188.524048741179</v>
      </c>
      <c r="U467" s="19">
        <v>0</v>
      </c>
      <c r="V467" s="36">
        <f t="shared" si="23"/>
        <v>82601.808515800018</v>
      </c>
    </row>
    <row r="468" spans="1:22" ht="23.4" thickBot="1" x14ac:dyDescent="0.35">
      <c r="A468" s="25" t="s">
        <v>151</v>
      </c>
      <c r="B468" s="26">
        <v>9</v>
      </c>
      <c r="C468" s="27" t="s">
        <v>15</v>
      </c>
      <c r="D468" s="26" t="s">
        <v>115</v>
      </c>
      <c r="E468" s="26" t="s">
        <v>116</v>
      </c>
      <c r="F468" s="27" t="s">
        <v>117</v>
      </c>
      <c r="G468" s="26" t="s">
        <v>33</v>
      </c>
      <c r="H468" s="26">
        <v>397.13</v>
      </c>
      <c r="I468" s="26">
        <v>1.1000000000000001</v>
      </c>
      <c r="J468" s="26">
        <v>1.0900000000000001</v>
      </c>
      <c r="K468" s="29">
        <v>0.99</v>
      </c>
      <c r="L468" s="26">
        <v>12.81</v>
      </c>
      <c r="M468" s="19">
        <f>H468*INDEX('Pliegos Tarifarios (Huechuraba)'!$B:$B,MATCH($B468,'Pliegos Tarifarios (Huechuraba)'!$A:$A,0))</f>
        <v>52327.04019</v>
      </c>
      <c r="N468" s="19">
        <f>I468*INDEX('Pliegos Tarifarios (Huechuraba)'!$C:$C,MATCH($B468,'Pliegos Tarifarios (Huechuraba)'!$A:$A,0))</f>
        <v>3786.5509000000002</v>
      </c>
      <c r="O468" s="19">
        <f>J468*INDEX('Pliegos Tarifarios (Huechuraba)'!$D:$D,MATCH($B468,'Pliegos Tarifarios (Huechuraba)'!$A:$A,0))</f>
        <v>15818.226060000001</v>
      </c>
      <c r="P468" s="19">
        <f>H468*INDEX('Pliegos Tarifarios (Huechuraba)'!$E:$E,MATCH($B468,'Pliegos Tarifarios (Huechuraba)'!$A:$A,0))</f>
        <v>5172.2211199999992</v>
      </c>
      <c r="Q468" s="19" cm="1">
        <f t="array" ref="Q468">H468*_xlfn.IFS(H468&lt;=350,INDEX('Pliegos Tarifarios (Huechuraba)'!$F:$F,MATCH($B468,'Pliegos Tarifarios (Huechuraba)'!$A:$A,0)),H468&lt;=500,INDEX('Pliegos Tarifarios (Huechuraba)'!$G:$G,MATCH($B468,'Pliegos Tarifarios (Huechuraba)'!$A:$A,0)),H468&lt;=1000,INDEX('Pliegos Tarifarios (Huechuraba)'!$H:$H,MATCH($B468,'Pliegos Tarifarios (Huechuraba)'!$A:$A,0)),H468&lt;=5000,INDEX('Pliegos Tarifarios (Huechuraba)'!$I:$I,MATCH($B468,'Pliegos Tarifarios (Huechuraba)'!$A:$A,0)),H468&gt;5000,INDEX('Pliegos Tarifarios (Huechuraba)'!$J:$J,MATCH($B468,'Pliegos Tarifarios (Huechuraba)'!$A:$A,0)))/1.19</f>
        <v>559.31922689075645</v>
      </c>
      <c r="R468" s="19">
        <f>INDEX('Pliegos Tarifarios (Huechuraba)'!$K:$K,MATCH($B468,'Pliegos Tarifarios (Huechuraba)'!$A:$A,0))</f>
        <v>729.50400000000002</v>
      </c>
      <c r="S468" s="36">
        <f t="shared" si="21"/>
        <v>78392.861496890764</v>
      </c>
      <c r="T468" s="36">
        <f t="shared" si="22"/>
        <v>14894.643684409246</v>
      </c>
      <c r="U468" s="19">
        <v>0</v>
      </c>
      <c r="V468" s="36">
        <f t="shared" si="23"/>
        <v>93287.505181300017</v>
      </c>
    </row>
    <row r="469" spans="1:22" ht="23.4" thickBot="1" x14ac:dyDescent="0.35">
      <c r="A469" s="25" t="s">
        <v>151</v>
      </c>
      <c r="B469" s="26">
        <v>9</v>
      </c>
      <c r="C469" s="27" t="s">
        <v>15</v>
      </c>
      <c r="D469" s="26" t="s">
        <v>118</v>
      </c>
      <c r="E469" s="26" t="s">
        <v>119</v>
      </c>
      <c r="F469" s="27" t="s">
        <v>120</v>
      </c>
      <c r="G469" s="26" t="s">
        <v>33</v>
      </c>
      <c r="H469" s="26">
        <v>66.17</v>
      </c>
      <c r="I469" s="26">
        <v>0.19</v>
      </c>
      <c r="J469" s="26">
        <v>0.18</v>
      </c>
      <c r="K469" s="29">
        <v>0.97499999999999998</v>
      </c>
      <c r="L469" s="26">
        <v>2.13</v>
      </c>
      <c r="M469" s="19">
        <f>H469*INDEX('Pliegos Tarifarios (Huechuraba)'!$B:$B,MATCH($B469,'Pliegos Tarifarios (Huechuraba)'!$A:$A,0))</f>
        <v>8718.7577099999999</v>
      </c>
      <c r="N469" s="19">
        <f>I469*INDEX('Pliegos Tarifarios (Huechuraba)'!$C:$C,MATCH($B469,'Pliegos Tarifarios (Huechuraba)'!$A:$A,0))</f>
        <v>654.04061000000002</v>
      </c>
      <c r="O469" s="19">
        <f>J469*INDEX('Pliegos Tarifarios (Huechuraba)'!$D:$D,MATCH($B469,'Pliegos Tarifarios (Huechuraba)'!$A:$A,0))</f>
        <v>2612.1841199999999</v>
      </c>
      <c r="P469" s="19">
        <f>H469*INDEX('Pliegos Tarifarios (Huechuraba)'!$E:$E,MATCH($B469,'Pliegos Tarifarios (Huechuraba)'!$A:$A,0))</f>
        <v>861.79807999999991</v>
      </c>
      <c r="Q469" s="19" cm="1">
        <f t="array" ref="Q469">H469*_xlfn.IFS(H469&lt;=350,INDEX('Pliegos Tarifarios (Huechuraba)'!$F:$F,MATCH($B469,'Pliegos Tarifarios (Huechuraba)'!$A:$A,0)),H469&lt;=500,INDEX('Pliegos Tarifarios (Huechuraba)'!$G:$G,MATCH($B469,'Pliegos Tarifarios (Huechuraba)'!$A:$A,0)),H469&lt;=1000,INDEX('Pliegos Tarifarios (Huechuraba)'!$H:$H,MATCH($B469,'Pliegos Tarifarios (Huechuraba)'!$A:$A,0)),H469&lt;=5000,INDEX('Pliegos Tarifarios (Huechuraba)'!$I:$I,MATCH($B469,'Pliegos Tarifarios (Huechuraba)'!$A:$A,0)),H469&gt;5000,INDEX('Pliegos Tarifarios (Huechuraba)'!$J:$J,MATCH($B469,'Pliegos Tarifarios (Huechuraba)'!$A:$A,0)))/1.19</f>
        <v>43.594352941176474</v>
      </c>
      <c r="R469" s="19">
        <f>INDEX('Pliegos Tarifarios (Huechuraba)'!$K:$K,MATCH($B469,'Pliegos Tarifarios (Huechuraba)'!$A:$A,0))</f>
        <v>729.50400000000002</v>
      </c>
      <c r="S469" s="36">
        <f t="shared" si="21"/>
        <v>13619.878872941177</v>
      </c>
      <c r="T469" s="36">
        <f t="shared" si="22"/>
        <v>2587.7769858588235</v>
      </c>
      <c r="U469" s="19">
        <v>0</v>
      </c>
      <c r="V469" s="36">
        <f t="shared" si="23"/>
        <v>16207.655858800001</v>
      </c>
    </row>
    <row r="470" spans="1:22" ht="23.4" thickBot="1" x14ac:dyDescent="0.35">
      <c r="A470" s="25" t="s">
        <v>151</v>
      </c>
      <c r="B470" s="26">
        <v>9</v>
      </c>
      <c r="C470" s="27" t="s">
        <v>15</v>
      </c>
      <c r="D470" s="26" t="s">
        <v>121</v>
      </c>
      <c r="E470" s="26" t="s">
        <v>119</v>
      </c>
      <c r="F470" s="27" t="s">
        <v>122</v>
      </c>
      <c r="G470" s="26" t="s">
        <v>33</v>
      </c>
      <c r="H470" s="26">
        <v>66.069999999999993</v>
      </c>
      <c r="I470" s="26">
        <v>0.19</v>
      </c>
      <c r="J470" s="26">
        <v>0.18</v>
      </c>
      <c r="K470" s="29">
        <v>0.97</v>
      </c>
      <c r="L470" s="26">
        <v>2.13</v>
      </c>
      <c r="M470" s="19">
        <f>H470*INDEX('Pliegos Tarifarios (Huechuraba)'!$B:$B,MATCH($B470,'Pliegos Tarifarios (Huechuraba)'!$A:$A,0))</f>
        <v>8705.5814099999989</v>
      </c>
      <c r="N470" s="19">
        <f>I470*INDEX('Pliegos Tarifarios (Huechuraba)'!$C:$C,MATCH($B470,'Pliegos Tarifarios (Huechuraba)'!$A:$A,0))</f>
        <v>654.04061000000002</v>
      </c>
      <c r="O470" s="19">
        <f>J470*INDEX('Pliegos Tarifarios (Huechuraba)'!$D:$D,MATCH($B470,'Pliegos Tarifarios (Huechuraba)'!$A:$A,0))</f>
        <v>2612.1841199999999</v>
      </c>
      <c r="P470" s="19">
        <f>H470*INDEX('Pliegos Tarifarios (Huechuraba)'!$E:$E,MATCH($B470,'Pliegos Tarifarios (Huechuraba)'!$A:$A,0))</f>
        <v>860.49567999999988</v>
      </c>
      <c r="Q470" s="19" cm="1">
        <f t="array" ref="Q470">H470*_xlfn.IFS(H470&lt;=350,INDEX('Pliegos Tarifarios (Huechuraba)'!$F:$F,MATCH($B470,'Pliegos Tarifarios (Huechuraba)'!$A:$A,0)),H470&lt;=500,INDEX('Pliegos Tarifarios (Huechuraba)'!$G:$G,MATCH($B470,'Pliegos Tarifarios (Huechuraba)'!$A:$A,0)),H470&lt;=1000,INDEX('Pliegos Tarifarios (Huechuraba)'!$H:$H,MATCH($B470,'Pliegos Tarifarios (Huechuraba)'!$A:$A,0)),H470&lt;=5000,INDEX('Pliegos Tarifarios (Huechuraba)'!$I:$I,MATCH($B470,'Pliegos Tarifarios (Huechuraba)'!$A:$A,0)),H470&gt;5000,INDEX('Pliegos Tarifarios (Huechuraba)'!$J:$J,MATCH($B470,'Pliegos Tarifarios (Huechuraba)'!$A:$A,0)))/1.19</f>
        <v>43.528470588235294</v>
      </c>
      <c r="R470" s="19">
        <f>INDEX('Pliegos Tarifarios (Huechuraba)'!$K:$K,MATCH($B470,'Pliegos Tarifarios (Huechuraba)'!$A:$A,0))</f>
        <v>729.50400000000002</v>
      </c>
      <c r="S470" s="36">
        <f t="shared" si="21"/>
        <v>13605.334290588235</v>
      </c>
      <c r="T470" s="36">
        <f t="shared" si="22"/>
        <v>2585.0135152117646</v>
      </c>
      <c r="U470" s="19">
        <v>0</v>
      </c>
      <c r="V470" s="36">
        <f t="shared" si="23"/>
        <v>16190.3478058</v>
      </c>
    </row>
    <row r="471" spans="1:22" ht="23.4" thickBot="1" x14ac:dyDescent="0.35">
      <c r="A471" s="25" t="s">
        <v>151</v>
      </c>
      <c r="B471" s="26">
        <v>9</v>
      </c>
      <c r="C471" s="27" t="s">
        <v>15</v>
      </c>
      <c r="D471" s="26" t="s">
        <v>123</v>
      </c>
      <c r="E471" s="26" t="s">
        <v>124</v>
      </c>
      <c r="F471" s="27" t="s">
        <v>125</v>
      </c>
      <c r="G471" s="26" t="s">
        <v>33</v>
      </c>
      <c r="H471" s="26">
        <v>66.17</v>
      </c>
      <c r="I471" s="26">
        <v>0.18</v>
      </c>
      <c r="J471" s="26">
        <v>0.18</v>
      </c>
      <c r="K471" s="29">
        <v>1</v>
      </c>
      <c r="L471" s="26">
        <v>2.13</v>
      </c>
      <c r="M471" s="19">
        <f>H471*INDEX('Pliegos Tarifarios (Huechuraba)'!$B:$B,MATCH($B471,'Pliegos Tarifarios (Huechuraba)'!$A:$A,0))</f>
        <v>8718.7577099999999</v>
      </c>
      <c r="N471" s="19">
        <f>I471*INDEX('Pliegos Tarifarios (Huechuraba)'!$C:$C,MATCH($B471,'Pliegos Tarifarios (Huechuraba)'!$A:$A,0))</f>
        <v>619.61741999999992</v>
      </c>
      <c r="O471" s="19">
        <f>J471*INDEX('Pliegos Tarifarios (Huechuraba)'!$D:$D,MATCH($B471,'Pliegos Tarifarios (Huechuraba)'!$A:$A,0))</f>
        <v>2612.1841199999999</v>
      </c>
      <c r="P471" s="19">
        <f>H471*INDEX('Pliegos Tarifarios (Huechuraba)'!$E:$E,MATCH($B471,'Pliegos Tarifarios (Huechuraba)'!$A:$A,0))</f>
        <v>861.79807999999991</v>
      </c>
      <c r="Q471" s="19" cm="1">
        <f t="array" ref="Q471">H471*_xlfn.IFS(H471&lt;=350,INDEX('Pliegos Tarifarios (Huechuraba)'!$F:$F,MATCH($B471,'Pliegos Tarifarios (Huechuraba)'!$A:$A,0)),H471&lt;=500,INDEX('Pliegos Tarifarios (Huechuraba)'!$G:$G,MATCH($B471,'Pliegos Tarifarios (Huechuraba)'!$A:$A,0)),H471&lt;=1000,INDEX('Pliegos Tarifarios (Huechuraba)'!$H:$H,MATCH($B471,'Pliegos Tarifarios (Huechuraba)'!$A:$A,0)),H471&lt;=5000,INDEX('Pliegos Tarifarios (Huechuraba)'!$I:$I,MATCH($B471,'Pliegos Tarifarios (Huechuraba)'!$A:$A,0)),H471&gt;5000,INDEX('Pliegos Tarifarios (Huechuraba)'!$J:$J,MATCH($B471,'Pliegos Tarifarios (Huechuraba)'!$A:$A,0)))/1.19</f>
        <v>43.594352941176474</v>
      </c>
      <c r="R471" s="19">
        <f>INDEX('Pliegos Tarifarios (Huechuraba)'!$K:$K,MATCH($B471,'Pliegos Tarifarios (Huechuraba)'!$A:$A,0))</f>
        <v>729.50400000000002</v>
      </c>
      <c r="S471" s="36">
        <f t="shared" si="21"/>
        <v>13585.455682941178</v>
      </c>
      <c r="T471" s="36">
        <f t="shared" si="22"/>
        <v>2581.2365797588236</v>
      </c>
      <c r="U471" s="19">
        <v>0</v>
      </c>
      <c r="V471" s="36">
        <f t="shared" si="23"/>
        <v>16166.692262700002</v>
      </c>
    </row>
    <row r="472" spans="1:22" ht="23.4" thickBot="1" x14ac:dyDescent="0.35">
      <c r="A472" s="25" t="s">
        <v>151</v>
      </c>
      <c r="B472" s="26">
        <v>9</v>
      </c>
      <c r="C472" s="27" t="s">
        <v>15</v>
      </c>
      <c r="D472" s="26" t="s">
        <v>126</v>
      </c>
      <c r="E472" s="26" t="s">
        <v>124</v>
      </c>
      <c r="F472" s="27" t="s">
        <v>127</v>
      </c>
      <c r="G472" s="26" t="s">
        <v>33</v>
      </c>
      <c r="H472" s="26">
        <v>110.07</v>
      </c>
      <c r="I472" s="26">
        <v>0.31</v>
      </c>
      <c r="J472" s="26">
        <v>0.3</v>
      </c>
      <c r="K472" s="29">
        <v>0.98599999999999999</v>
      </c>
      <c r="L472" s="26">
        <v>3.55</v>
      </c>
      <c r="M472" s="19">
        <f>H472*INDEX('Pliegos Tarifarios (Huechuraba)'!$B:$B,MATCH($B472,'Pliegos Tarifarios (Huechuraba)'!$A:$A,0))</f>
        <v>14503.153409999999</v>
      </c>
      <c r="N472" s="19">
        <f>I472*INDEX('Pliegos Tarifarios (Huechuraba)'!$C:$C,MATCH($B472,'Pliegos Tarifarios (Huechuraba)'!$A:$A,0))</f>
        <v>1067.11889</v>
      </c>
      <c r="O472" s="19">
        <f>J472*INDEX('Pliegos Tarifarios (Huechuraba)'!$D:$D,MATCH($B472,'Pliegos Tarifarios (Huechuraba)'!$A:$A,0))</f>
        <v>4353.6401999999998</v>
      </c>
      <c r="P472" s="19">
        <f>H472*INDEX('Pliegos Tarifarios (Huechuraba)'!$E:$E,MATCH($B472,'Pliegos Tarifarios (Huechuraba)'!$A:$A,0))</f>
        <v>1433.5516799999998</v>
      </c>
      <c r="Q472" s="19" cm="1">
        <f t="array" ref="Q472">H472*_xlfn.IFS(H472&lt;=350,INDEX('Pliegos Tarifarios (Huechuraba)'!$F:$F,MATCH($B472,'Pliegos Tarifarios (Huechuraba)'!$A:$A,0)),H472&lt;=500,INDEX('Pliegos Tarifarios (Huechuraba)'!$G:$G,MATCH($B472,'Pliegos Tarifarios (Huechuraba)'!$A:$A,0)),H472&lt;=1000,INDEX('Pliegos Tarifarios (Huechuraba)'!$H:$H,MATCH($B472,'Pliegos Tarifarios (Huechuraba)'!$A:$A,0)),H472&lt;=5000,INDEX('Pliegos Tarifarios (Huechuraba)'!$I:$I,MATCH($B472,'Pliegos Tarifarios (Huechuraba)'!$A:$A,0)),H472&gt;5000,INDEX('Pliegos Tarifarios (Huechuraba)'!$J:$J,MATCH($B472,'Pliegos Tarifarios (Huechuraba)'!$A:$A,0)))/1.19</f>
        <v>72.516705882352937</v>
      </c>
      <c r="R472" s="19">
        <f>INDEX('Pliegos Tarifarios (Huechuraba)'!$K:$K,MATCH($B472,'Pliegos Tarifarios (Huechuraba)'!$A:$A,0))</f>
        <v>729.50400000000002</v>
      </c>
      <c r="S472" s="36">
        <f t="shared" si="21"/>
        <v>22159.484885882353</v>
      </c>
      <c r="T472" s="36">
        <f t="shared" si="22"/>
        <v>4210.3021283176467</v>
      </c>
      <c r="U472" s="19">
        <v>0</v>
      </c>
      <c r="V472" s="36">
        <f t="shared" si="23"/>
        <v>26369.787014199999</v>
      </c>
    </row>
    <row r="473" spans="1:22" ht="23.4" thickBot="1" x14ac:dyDescent="0.35">
      <c r="A473" s="25" t="s">
        <v>151</v>
      </c>
      <c r="B473" s="26">
        <v>9</v>
      </c>
      <c r="C473" s="27" t="s">
        <v>15</v>
      </c>
      <c r="D473" s="26" t="s">
        <v>128</v>
      </c>
      <c r="E473" s="26" t="s">
        <v>124</v>
      </c>
      <c r="F473" s="27" t="s">
        <v>129</v>
      </c>
      <c r="G473" s="26" t="s">
        <v>33</v>
      </c>
      <c r="H473" s="26">
        <v>66.17</v>
      </c>
      <c r="I473" s="26">
        <v>0.19</v>
      </c>
      <c r="J473" s="26">
        <v>0.18</v>
      </c>
      <c r="K473" s="29">
        <v>0.96699999999999997</v>
      </c>
      <c r="L473" s="26">
        <v>2.13</v>
      </c>
      <c r="M473" s="19">
        <f>H473*INDEX('Pliegos Tarifarios (Huechuraba)'!$B:$B,MATCH($B473,'Pliegos Tarifarios (Huechuraba)'!$A:$A,0))</f>
        <v>8718.7577099999999</v>
      </c>
      <c r="N473" s="19">
        <f>I473*INDEX('Pliegos Tarifarios (Huechuraba)'!$C:$C,MATCH($B473,'Pliegos Tarifarios (Huechuraba)'!$A:$A,0))</f>
        <v>654.04061000000002</v>
      </c>
      <c r="O473" s="19">
        <f>J473*INDEX('Pliegos Tarifarios (Huechuraba)'!$D:$D,MATCH($B473,'Pliegos Tarifarios (Huechuraba)'!$A:$A,0))</f>
        <v>2612.1841199999999</v>
      </c>
      <c r="P473" s="19">
        <f>H473*INDEX('Pliegos Tarifarios (Huechuraba)'!$E:$E,MATCH($B473,'Pliegos Tarifarios (Huechuraba)'!$A:$A,0))</f>
        <v>861.79807999999991</v>
      </c>
      <c r="Q473" s="19" cm="1">
        <f t="array" ref="Q473">H473*_xlfn.IFS(H473&lt;=350,INDEX('Pliegos Tarifarios (Huechuraba)'!$F:$F,MATCH($B473,'Pliegos Tarifarios (Huechuraba)'!$A:$A,0)),H473&lt;=500,INDEX('Pliegos Tarifarios (Huechuraba)'!$G:$G,MATCH($B473,'Pliegos Tarifarios (Huechuraba)'!$A:$A,0)),H473&lt;=1000,INDEX('Pliegos Tarifarios (Huechuraba)'!$H:$H,MATCH($B473,'Pliegos Tarifarios (Huechuraba)'!$A:$A,0)),H473&lt;=5000,INDEX('Pliegos Tarifarios (Huechuraba)'!$I:$I,MATCH($B473,'Pliegos Tarifarios (Huechuraba)'!$A:$A,0)),H473&gt;5000,INDEX('Pliegos Tarifarios (Huechuraba)'!$J:$J,MATCH($B473,'Pliegos Tarifarios (Huechuraba)'!$A:$A,0)))/1.19</f>
        <v>43.594352941176474</v>
      </c>
      <c r="R473" s="19">
        <f>INDEX('Pliegos Tarifarios (Huechuraba)'!$K:$K,MATCH($B473,'Pliegos Tarifarios (Huechuraba)'!$A:$A,0))</f>
        <v>729.50400000000002</v>
      </c>
      <c r="S473" s="36">
        <f t="shared" si="21"/>
        <v>13619.878872941177</v>
      </c>
      <c r="T473" s="36">
        <f t="shared" si="22"/>
        <v>2587.7769858588235</v>
      </c>
      <c r="U473" s="19">
        <v>0</v>
      </c>
      <c r="V473" s="36">
        <f t="shared" si="23"/>
        <v>16207.655858800001</v>
      </c>
    </row>
    <row r="474" spans="1:22" ht="23.4" thickBot="1" x14ac:dyDescent="0.35">
      <c r="A474" s="25" t="s">
        <v>151</v>
      </c>
      <c r="B474" s="26">
        <v>9</v>
      </c>
      <c r="C474" s="27" t="s">
        <v>15</v>
      </c>
      <c r="D474" s="26" t="s">
        <v>130</v>
      </c>
      <c r="E474" s="26" t="s">
        <v>124</v>
      </c>
      <c r="F474" s="27" t="s">
        <v>131</v>
      </c>
      <c r="G474" s="26" t="s">
        <v>33</v>
      </c>
      <c r="H474" s="26">
        <v>66.03</v>
      </c>
      <c r="I474" s="26">
        <v>0.18</v>
      </c>
      <c r="J474" s="26">
        <v>0.18</v>
      </c>
      <c r="K474" s="29">
        <v>1</v>
      </c>
      <c r="L474" s="26">
        <v>2.13</v>
      </c>
      <c r="M474" s="19">
        <f>H474*INDEX('Pliegos Tarifarios (Huechuraba)'!$B:$B,MATCH($B474,'Pliegos Tarifarios (Huechuraba)'!$A:$A,0))</f>
        <v>8700.3108900000007</v>
      </c>
      <c r="N474" s="19">
        <f>I474*INDEX('Pliegos Tarifarios (Huechuraba)'!$C:$C,MATCH($B474,'Pliegos Tarifarios (Huechuraba)'!$A:$A,0))</f>
        <v>619.61741999999992</v>
      </c>
      <c r="O474" s="19">
        <f>J474*INDEX('Pliegos Tarifarios (Huechuraba)'!$D:$D,MATCH($B474,'Pliegos Tarifarios (Huechuraba)'!$A:$A,0))</f>
        <v>2612.1841199999999</v>
      </c>
      <c r="P474" s="19">
        <f>H474*INDEX('Pliegos Tarifarios (Huechuraba)'!$E:$E,MATCH($B474,'Pliegos Tarifarios (Huechuraba)'!$A:$A,0))</f>
        <v>859.97471999999993</v>
      </c>
      <c r="Q474" s="19" cm="1">
        <f t="array" ref="Q474">H474*_xlfn.IFS(H474&lt;=350,INDEX('Pliegos Tarifarios (Huechuraba)'!$F:$F,MATCH($B474,'Pliegos Tarifarios (Huechuraba)'!$A:$A,0)),H474&lt;=500,INDEX('Pliegos Tarifarios (Huechuraba)'!$G:$G,MATCH($B474,'Pliegos Tarifarios (Huechuraba)'!$A:$A,0)),H474&lt;=1000,INDEX('Pliegos Tarifarios (Huechuraba)'!$H:$H,MATCH($B474,'Pliegos Tarifarios (Huechuraba)'!$A:$A,0)),H474&lt;=5000,INDEX('Pliegos Tarifarios (Huechuraba)'!$I:$I,MATCH($B474,'Pliegos Tarifarios (Huechuraba)'!$A:$A,0)),H474&gt;5000,INDEX('Pliegos Tarifarios (Huechuraba)'!$J:$J,MATCH($B474,'Pliegos Tarifarios (Huechuraba)'!$A:$A,0)))/1.19</f>
        <v>43.502117647058832</v>
      </c>
      <c r="R474" s="19">
        <f>INDEX('Pliegos Tarifarios (Huechuraba)'!$K:$K,MATCH($B474,'Pliegos Tarifarios (Huechuraba)'!$A:$A,0))</f>
        <v>729.50400000000002</v>
      </c>
      <c r="S474" s="36">
        <f t="shared" si="21"/>
        <v>13565.09326764706</v>
      </c>
      <c r="T474" s="36">
        <f t="shared" si="22"/>
        <v>2577.3677208529416</v>
      </c>
      <c r="U474" s="19">
        <v>0</v>
      </c>
      <c r="V474" s="36">
        <f t="shared" si="23"/>
        <v>16142.460988500003</v>
      </c>
    </row>
    <row r="475" spans="1:22" ht="23.4" thickBot="1" x14ac:dyDescent="0.35">
      <c r="A475" s="25" t="s">
        <v>151</v>
      </c>
      <c r="B475" s="26">
        <v>9</v>
      </c>
      <c r="C475" s="27" t="s">
        <v>15</v>
      </c>
      <c r="D475" s="26" t="s">
        <v>132</v>
      </c>
      <c r="E475" s="26" t="s">
        <v>124</v>
      </c>
      <c r="F475" s="27" t="s">
        <v>133</v>
      </c>
      <c r="G475" s="26" t="s">
        <v>33</v>
      </c>
      <c r="H475" s="26">
        <v>66.14</v>
      </c>
      <c r="I475" s="26">
        <v>0.19</v>
      </c>
      <c r="J475" s="26">
        <v>0.19</v>
      </c>
      <c r="K475" s="29">
        <v>1</v>
      </c>
      <c r="L475" s="26">
        <v>2.13</v>
      </c>
      <c r="M475" s="19">
        <f>H475*INDEX('Pliegos Tarifarios (Huechuraba)'!$B:$B,MATCH($B475,'Pliegos Tarifarios (Huechuraba)'!$A:$A,0))</f>
        <v>8714.8048200000012</v>
      </c>
      <c r="N475" s="19">
        <f>I475*INDEX('Pliegos Tarifarios (Huechuraba)'!$C:$C,MATCH($B475,'Pliegos Tarifarios (Huechuraba)'!$A:$A,0))</f>
        <v>654.04061000000002</v>
      </c>
      <c r="O475" s="19">
        <f>J475*INDEX('Pliegos Tarifarios (Huechuraba)'!$D:$D,MATCH($B475,'Pliegos Tarifarios (Huechuraba)'!$A:$A,0))</f>
        <v>2757.30546</v>
      </c>
      <c r="P475" s="19">
        <f>H475*INDEX('Pliegos Tarifarios (Huechuraba)'!$E:$E,MATCH($B475,'Pliegos Tarifarios (Huechuraba)'!$A:$A,0))</f>
        <v>861.40735999999993</v>
      </c>
      <c r="Q475" s="19" cm="1">
        <f t="array" ref="Q475">H475*_xlfn.IFS(H475&lt;=350,INDEX('Pliegos Tarifarios (Huechuraba)'!$F:$F,MATCH($B475,'Pliegos Tarifarios (Huechuraba)'!$A:$A,0)),H475&lt;=500,INDEX('Pliegos Tarifarios (Huechuraba)'!$G:$G,MATCH($B475,'Pliegos Tarifarios (Huechuraba)'!$A:$A,0)),H475&lt;=1000,INDEX('Pliegos Tarifarios (Huechuraba)'!$H:$H,MATCH($B475,'Pliegos Tarifarios (Huechuraba)'!$A:$A,0)),H475&lt;=5000,INDEX('Pliegos Tarifarios (Huechuraba)'!$I:$I,MATCH($B475,'Pliegos Tarifarios (Huechuraba)'!$A:$A,0)),H475&gt;5000,INDEX('Pliegos Tarifarios (Huechuraba)'!$J:$J,MATCH($B475,'Pliegos Tarifarios (Huechuraba)'!$A:$A,0)))/1.19</f>
        <v>43.574588235294122</v>
      </c>
      <c r="R475" s="19">
        <f>INDEX('Pliegos Tarifarios (Huechuraba)'!$K:$K,MATCH($B475,'Pliegos Tarifarios (Huechuraba)'!$A:$A,0))</f>
        <v>729.50400000000002</v>
      </c>
      <c r="S475" s="36">
        <f t="shared" si="21"/>
        <v>13760.636838235296</v>
      </c>
      <c r="T475" s="36">
        <f t="shared" si="22"/>
        <v>2614.520999264706</v>
      </c>
      <c r="U475" s="19">
        <v>0</v>
      </c>
      <c r="V475" s="36">
        <f t="shared" si="23"/>
        <v>16375.157837500003</v>
      </c>
    </row>
    <row r="476" spans="1:22" ht="23.4" thickBot="1" x14ac:dyDescent="0.35">
      <c r="A476" s="25" t="s">
        <v>151</v>
      </c>
      <c r="B476" s="26">
        <v>9</v>
      </c>
      <c r="C476" s="27" t="s">
        <v>15</v>
      </c>
      <c r="D476" s="26" t="s">
        <v>134</v>
      </c>
      <c r="E476" s="26" t="s">
        <v>124</v>
      </c>
      <c r="F476" s="27" t="s">
        <v>135</v>
      </c>
      <c r="G476" s="26" t="s">
        <v>33</v>
      </c>
      <c r="H476" s="26">
        <v>132.26</v>
      </c>
      <c r="I476" s="26">
        <v>0.37</v>
      </c>
      <c r="J476" s="26">
        <v>0.36</v>
      </c>
      <c r="K476" s="29">
        <v>0.99399999999999999</v>
      </c>
      <c r="L476" s="26">
        <v>4.2699999999999996</v>
      </c>
      <c r="M476" s="19">
        <f>H476*INDEX('Pliegos Tarifarios (Huechuraba)'!$B:$B,MATCH($B476,'Pliegos Tarifarios (Huechuraba)'!$A:$A,0))</f>
        <v>17426.97438</v>
      </c>
      <c r="N476" s="19">
        <f>I476*INDEX('Pliegos Tarifarios (Huechuraba)'!$C:$C,MATCH($B476,'Pliegos Tarifarios (Huechuraba)'!$A:$A,0))</f>
        <v>1273.6580300000001</v>
      </c>
      <c r="O476" s="19">
        <f>J476*INDEX('Pliegos Tarifarios (Huechuraba)'!$D:$D,MATCH($B476,'Pliegos Tarifarios (Huechuraba)'!$A:$A,0))</f>
        <v>5224.3682399999998</v>
      </c>
      <c r="P476" s="19">
        <f>H476*INDEX('Pliegos Tarifarios (Huechuraba)'!$E:$E,MATCH($B476,'Pliegos Tarifarios (Huechuraba)'!$A:$A,0))</f>
        <v>1722.5542399999997</v>
      </c>
      <c r="Q476" s="19" cm="1">
        <f t="array" ref="Q476">H476*_xlfn.IFS(H476&lt;=350,INDEX('Pliegos Tarifarios (Huechuraba)'!$F:$F,MATCH($B476,'Pliegos Tarifarios (Huechuraba)'!$A:$A,0)),H476&lt;=500,INDEX('Pliegos Tarifarios (Huechuraba)'!$G:$G,MATCH($B476,'Pliegos Tarifarios (Huechuraba)'!$A:$A,0)),H476&lt;=1000,INDEX('Pliegos Tarifarios (Huechuraba)'!$H:$H,MATCH($B476,'Pliegos Tarifarios (Huechuraba)'!$A:$A,0)),H476&lt;=5000,INDEX('Pliegos Tarifarios (Huechuraba)'!$I:$I,MATCH($B476,'Pliegos Tarifarios (Huechuraba)'!$A:$A,0)),H476&gt;5000,INDEX('Pliegos Tarifarios (Huechuraba)'!$J:$J,MATCH($B476,'Pliegos Tarifarios (Huechuraba)'!$A:$A,0)))/1.19</f>
        <v>87.13600000000001</v>
      </c>
      <c r="R476" s="19">
        <f>INDEX('Pliegos Tarifarios (Huechuraba)'!$K:$K,MATCH($B476,'Pliegos Tarifarios (Huechuraba)'!$A:$A,0))</f>
        <v>729.50400000000002</v>
      </c>
      <c r="S476" s="36">
        <f t="shared" si="21"/>
        <v>26464.194889999999</v>
      </c>
      <c r="T476" s="36">
        <f t="shared" si="22"/>
        <v>5028.1970290999998</v>
      </c>
      <c r="U476" s="19">
        <v>0</v>
      </c>
      <c r="V476" s="36">
        <f t="shared" si="23"/>
        <v>31492.391919099999</v>
      </c>
    </row>
    <row r="477" spans="1:22" ht="23.4" thickBot="1" x14ac:dyDescent="0.35">
      <c r="A477" s="25" t="s">
        <v>151</v>
      </c>
      <c r="B477" s="26">
        <v>9</v>
      </c>
      <c r="C477" s="27" t="s">
        <v>15</v>
      </c>
      <c r="D477" s="26" t="s">
        <v>136</v>
      </c>
      <c r="E477" s="26" t="s">
        <v>124</v>
      </c>
      <c r="F477" s="27" t="s">
        <v>137</v>
      </c>
      <c r="G477" s="26" t="s">
        <v>33</v>
      </c>
      <c r="H477" s="26">
        <v>132.16</v>
      </c>
      <c r="I477" s="26">
        <v>0.37</v>
      </c>
      <c r="J477" s="26">
        <v>0.36</v>
      </c>
      <c r="K477" s="29">
        <v>0.98299999999999998</v>
      </c>
      <c r="L477" s="26">
        <v>4.26</v>
      </c>
      <c r="M477" s="19">
        <f>H477*INDEX('Pliegos Tarifarios (Huechuraba)'!$B:$B,MATCH($B477,'Pliegos Tarifarios (Huechuraba)'!$A:$A,0))</f>
        <v>17413.79808</v>
      </c>
      <c r="N477" s="19">
        <f>I477*INDEX('Pliegos Tarifarios (Huechuraba)'!$C:$C,MATCH($B477,'Pliegos Tarifarios (Huechuraba)'!$A:$A,0))</f>
        <v>1273.6580300000001</v>
      </c>
      <c r="O477" s="19">
        <f>J477*INDEX('Pliegos Tarifarios (Huechuraba)'!$D:$D,MATCH($B477,'Pliegos Tarifarios (Huechuraba)'!$A:$A,0))</f>
        <v>5224.3682399999998</v>
      </c>
      <c r="P477" s="19">
        <f>H477*INDEX('Pliegos Tarifarios (Huechuraba)'!$E:$E,MATCH($B477,'Pliegos Tarifarios (Huechuraba)'!$A:$A,0))</f>
        <v>1721.2518399999999</v>
      </c>
      <c r="Q477" s="19" cm="1">
        <f t="array" ref="Q477">H477*_xlfn.IFS(H477&lt;=350,INDEX('Pliegos Tarifarios (Huechuraba)'!$F:$F,MATCH($B477,'Pliegos Tarifarios (Huechuraba)'!$A:$A,0)),H477&lt;=500,INDEX('Pliegos Tarifarios (Huechuraba)'!$G:$G,MATCH($B477,'Pliegos Tarifarios (Huechuraba)'!$A:$A,0)),H477&lt;=1000,INDEX('Pliegos Tarifarios (Huechuraba)'!$H:$H,MATCH($B477,'Pliegos Tarifarios (Huechuraba)'!$A:$A,0)),H477&lt;=5000,INDEX('Pliegos Tarifarios (Huechuraba)'!$I:$I,MATCH($B477,'Pliegos Tarifarios (Huechuraba)'!$A:$A,0)),H477&gt;5000,INDEX('Pliegos Tarifarios (Huechuraba)'!$J:$J,MATCH($B477,'Pliegos Tarifarios (Huechuraba)'!$A:$A,0)))/1.19</f>
        <v>87.070117647058822</v>
      </c>
      <c r="R477" s="19">
        <f>INDEX('Pliegos Tarifarios (Huechuraba)'!$K:$K,MATCH($B477,'Pliegos Tarifarios (Huechuraba)'!$A:$A,0))</f>
        <v>729.50400000000002</v>
      </c>
      <c r="S477" s="36">
        <f t="shared" si="21"/>
        <v>26449.650307647058</v>
      </c>
      <c r="T477" s="36">
        <f t="shared" si="22"/>
        <v>5025.4335584529408</v>
      </c>
      <c r="U477" s="19">
        <v>0</v>
      </c>
      <c r="V477" s="36">
        <f t="shared" si="23"/>
        <v>31475.083866099998</v>
      </c>
    </row>
    <row r="478" spans="1:22" ht="23.4" thickBot="1" x14ac:dyDescent="0.35">
      <c r="A478" s="25" t="s">
        <v>151</v>
      </c>
      <c r="B478" s="26">
        <v>9</v>
      </c>
      <c r="C478" s="27" t="s">
        <v>15</v>
      </c>
      <c r="D478" s="26" t="s">
        <v>138</v>
      </c>
      <c r="E478" s="26" t="s">
        <v>124</v>
      </c>
      <c r="F478" s="27" t="s">
        <v>139</v>
      </c>
      <c r="G478" s="26" t="s">
        <v>33</v>
      </c>
      <c r="H478" s="26">
        <v>132.02000000000001</v>
      </c>
      <c r="I478" s="26">
        <v>0.38</v>
      </c>
      <c r="J478" s="26">
        <v>0.38</v>
      </c>
      <c r="K478" s="29">
        <v>0.98599999999999999</v>
      </c>
      <c r="L478" s="26">
        <v>4.26</v>
      </c>
      <c r="M478" s="19">
        <f>H478*INDEX('Pliegos Tarifarios (Huechuraba)'!$B:$B,MATCH($B478,'Pliegos Tarifarios (Huechuraba)'!$A:$A,0))</f>
        <v>17395.351260000003</v>
      </c>
      <c r="N478" s="19">
        <f>I478*INDEX('Pliegos Tarifarios (Huechuraba)'!$C:$C,MATCH($B478,'Pliegos Tarifarios (Huechuraba)'!$A:$A,0))</f>
        <v>1308.08122</v>
      </c>
      <c r="O478" s="19">
        <f>J478*INDEX('Pliegos Tarifarios (Huechuraba)'!$D:$D,MATCH($B478,'Pliegos Tarifarios (Huechuraba)'!$A:$A,0))</f>
        <v>5514.6109200000001</v>
      </c>
      <c r="P478" s="19">
        <f>H478*INDEX('Pliegos Tarifarios (Huechuraba)'!$E:$E,MATCH($B478,'Pliegos Tarifarios (Huechuraba)'!$A:$A,0))</f>
        <v>1719.42848</v>
      </c>
      <c r="Q478" s="19" cm="1">
        <f t="array" ref="Q478">H478*_xlfn.IFS(H478&lt;=350,INDEX('Pliegos Tarifarios (Huechuraba)'!$F:$F,MATCH($B478,'Pliegos Tarifarios (Huechuraba)'!$A:$A,0)),H478&lt;=500,INDEX('Pliegos Tarifarios (Huechuraba)'!$G:$G,MATCH($B478,'Pliegos Tarifarios (Huechuraba)'!$A:$A,0)),H478&lt;=1000,INDEX('Pliegos Tarifarios (Huechuraba)'!$H:$H,MATCH($B478,'Pliegos Tarifarios (Huechuraba)'!$A:$A,0)),H478&lt;=5000,INDEX('Pliegos Tarifarios (Huechuraba)'!$I:$I,MATCH($B478,'Pliegos Tarifarios (Huechuraba)'!$A:$A,0)),H478&gt;5000,INDEX('Pliegos Tarifarios (Huechuraba)'!$J:$J,MATCH($B478,'Pliegos Tarifarios (Huechuraba)'!$A:$A,0)))/1.19</f>
        <v>86.977882352941194</v>
      </c>
      <c r="R478" s="19">
        <f>INDEX('Pliegos Tarifarios (Huechuraba)'!$K:$K,MATCH($B478,'Pliegos Tarifarios (Huechuraba)'!$A:$A,0))</f>
        <v>729.50400000000002</v>
      </c>
      <c r="S478" s="36">
        <f t="shared" si="21"/>
        <v>26753.953762352943</v>
      </c>
      <c r="T478" s="36">
        <f t="shared" si="22"/>
        <v>5083.2512148470596</v>
      </c>
      <c r="U478" s="19">
        <v>0</v>
      </c>
      <c r="V478" s="36">
        <f t="shared" si="23"/>
        <v>31837.204977200003</v>
      </c>
    </row>
    <row r="479" spans="1:22" ht="23.4" thickBot="1" x14ac:dyDescent="0.35">
      <c r="A479" s="25" t="s">
        <v>151</v>
      </c>
      <c r="B479" s="26">
        <v>9</v>
      </c>
      <c r="C479" s="27" t="s">
        <v>15</v>
      </c>
      <c r="D479" s="26" t="s">
        <v>140</v>
      </c>
      <c r="E479" s="26" t="s">
        <v>124</v>
      </c>
      <c r="F479" s="27" t="s">
        <v>141</v>
      </c>
      <c r="G479" s="26" t="s">
        <v>33</v>
      </c>
      <c r="H479" s="26">
        <v>66.209999999999994</v>
      </c>
      <c r="I479" s="26">
        <v>0.18</v>
      </c>
      <c r="J479" s="26">
        <v>0.18</v>
      </c>
      <c r="K479" s="29">
        <v>0.99199999999999999</v>
      </c>
      <c r="L479" s="26">
        <v>2.14</v>
      </c>
      <c r="M479" s="19">
        <f>H479*INDEX('Pliegos Tarifarios (Huechuraba)'!$B:$B,MATCH($B479,'Pliegos Tarifarios (Huechuraba)'!$A:$A,0))</f>
        <v>8724.0282299999999</v>
      </c>
      <c r="N479" s="19">
        <f>I479*INDEX('Pliegos Tarifarios (Huechuraba)'!$C:$C,MATCH($B479,'Pliegos Tarifarios (Huechuraba)'!$A:$A,0))</f>
        <v>619.61741999999992</v>
      </c>
      <c r="O479" s="19">
        <f>J479*INDEX('Pliegos Tarifarios (Huechuraba)'!$D:$D,MATCH($B479,'Pliegos Tarifarios (Huechuraba)'!$A:$A,0))</f>
        <v>2612.1841199999999</v>
      </c>
      <c r="P479" s="19">
        <f>H479*INDEX('Pliegos Tarifarios (Huechuraba)'!$E:$E,MATCH($B479,'Pliegos Tarifarios (Huechuraba)'!$A:$A,0))</f>
        <v>862.31903999999986</v>
      </c>
      <c r="Q479" s="19" cm="1">
        <f t="array" ref="Q479">H479*_xlfn.IFS(H479&lt;=350,INDEX('Pliegos Tarifarios (Huechuraba)'!$F:$F,MATCH($B479,'Pliegos Tarifarios (Huechuraba)'!$A:$A,0)),H479&lt;=500,INDEX('Pliegos Tarifarios (Huechuraba)'!$G:$G,MATCH($B479,'Pliegos Tarifarios (Huechuraba)'!$A:$A,0)),H479&lt;=1000,INDEX('Pliegos Tarifarios (Huechuraba)'!$H:$H,MATCH($B479,'Pliegos Tarifarios (Huechuraba)'!$A:$A,0)),H479&lt;=5000,INDEX('Pliegos Tarifarios (Huechuraba)'!$I:$I,MATCH($B479,'Pliegos Tarifarios (Huechuraba)'!$A:$A,0)),H479&gt;5000,INDEX('Pliegos Tarifarios (Huechuraba)'!$J:$J,MATCH($B479,'Pliegos Tarifarios (Huechuraba)'!$A:$A,0)))/1.19</f>
        <v>43.620705882352944</v>
      </c>
      <c r="R479" s="19">
        <f>INDEX('Pliegos Tarifarios (Huechuraba)'!$K:$K,MATCH($B479,'Pliegos Tarifarios (Huechuraba)'!$A:$A,0))</f>
        <v>729.50400000000002</v>
      </c>
      <c r="S479" s="36">
        <f t="shared" si="21"/>
        <v>13591.273515882354</v>
      </c>
      <c r="T479" s="36">
        <f t="shared" si="22"/>
        <v>2582.3419680176476</v>
      </c>
      <c r="U479" s="19">
        <v>0</v>
      </c>
      <c r="V479" s="36">
        <f t="shared" si="23"/>
        <v>16173.615483900001</v>
      </c>
    </row>
    <row r="480" spans="1:22" ht="23.4" thickBot="1" x14ac:dyDescent="0.35">
      <c r="A480" s="25" t="s">
        <v>151</v>
      </c>
      <c r="B480" s="26">
        <v>9</v>
      </c>
      <c r="C480" s="27" t="s">
        <v>15</v>
      </c>
      <c r="D480" s="26" t="s">
        <v>142</v>
      </c>
      <c r="E480" s="26" t="s">
        <v>124</v>
      </c>
      <c r="F480" s="27" t="s">
        <v>143</v>
      </c>
      <c r="G480" s="26" t="s">
        <v>33</v>
      </c>
      <c r="H480" s="26">
        <v>132.12</v>
      </c>
      <c r="I480" s="26">
        <v>0.37</v>
      </c>
      <c r="J480" s="26">
        <v>0.36</v>
      </c>
      <c r="K480" s="29">
        <v>0.98699999999999999</v>
      </c>
      <c r="L480" s="26">
        <v>4.26</v>
      </c>
      <c r="M480" s="19">
        <f>H480*INDEX('Pliegos Tarifarios (Huechuraba)'!$B:$B,MATCH($B480,'Pliegos Tarifarios (Huechuraba)'!$A:$A,0))</f>
        <v>17408.527560000002</v>
      </c>
      <c r="N480" s="19">
        <f>I480*INDEX('Pliegos Tarifarios (Huechuraba)'!$C:$C,MATCH($B480,'Pliegos Tarifarios (Huechuraba)'!$A:$A,0))</f>
        <v>1273.6580300000001</v>
      </c>
      <c r="O480" s="19">
        <f>J480*INDEX('Pliegos Tarifarios (Huechuraba)'!$D:$D,MATCH($B480,'Pliegos Tarifarios (Huechuraba)'!$A:$A,0))</f>
        <v>5224.3682399999998</v>
      </c>
      <c r="P480" s="19">
        <f>H480*INDEX('Pliegos Tarifarios (Huechuraba)'!$E:$E,MATCH($B480,'Pliegos Tarifarios (Huechuraba)'!$A:$A,0))</f>
        <v>1720.7308799999998</v>
      </c>
      <c r="Q480" s="19" cm="1">
        <f t="array" ref="Q480">H480*_xlfn.IFS(H480&lt;=350,INDEX('Pliegos Tarifarios (Huechuraba)'!$F:$F,MATCH($B480,'Pliegos Tarifarios (Huechuraba)'!$A:$A,0)),H480&lt;=500,INDEX('Pliegos Tarifarios (Huechuraba)'!$G:$G,MATCH($B480,'Pliegos Tarifarios (Huechuraba)'!$A:$A,0)),H480&lt;=1000,INDEX('Pliegos Tarifarios (Huechuraba)'!$H:$H,MATCH($B480,'Pliegos Tarifarios (Huechuraba)'!$A:$A,0)),H480&lt;=5000,INDEX('Pliegos Tarifarios (Huechuraba)'!$I:$I,MATCH($B480,'Pliegos Tarifarios (Huechuraba)'!$A:$A,0)),H480&gt;5000,INDEX('Pliegos Tarifarios (Huechuraba)'!$J:$J,MATCH($B480,'Pliegos Tarifarios (Huechuraba)'!$A:$A,0)))/1.19</f>
        <v>87.043764705882367</v>
      </c>
      <c r="R480" s="19">
        <f>INDEX('Pliegos Tarifarios (Huechuraba)'!$K:$K,MATCH($B480,'Pliegos Tarifarios (Huechuraba)'!$A:$A,0))</f>
        <v>729.50400000000002</v>
      </c>
      <c r="S480" s="36">
        <f t="shared" si="21"/>
        <v>26443.832474705883</v>
      </c>
      <c r="T480" s="36">
        <f t="shared" si="22"/>
        <v>5024.3281701941178</v>
      </c>
      <c r="U480" s="19">
        <v>0</v>
      </c>
      <c r="V480" s="36">
        <f t="shared" si="23"/>
        <v>31468.160644900003</v>
      </c>
    </row>
    <row r="481" spans="1:22" ht="23.4" thickBot="1" x14ac:dyDescent="0.35">
      <c r="A481" s="30" t="s">
        <v>152</v>
      </c>
      <c r="B481" s="31">
        <v>10</v>
      </c>
      <c r="C481" s="32" t="s">
        <v>15</v>
      </c>
      <c r="D481" s="31" t="s">
        <v>16</v>
      </c>
      <c r="E481" s="31" t="s">
        <v>17</v>
      </c>
      <c r="F481" s="32" t="s">
        <v>18</v>
      </c>
      <c r="G481" s="31" t="s">
        <v>19</v>
      </c>
      <c r="H481" s="33">
        <v>8014.56</v>
      </c>
      <c r="I481" s="31">
        <v>21.31</v>
      </c>
      <c r="J481" s="31">
        <v>21.31</v>
      </c>
      <c r="K481" s="34">
        <v>1</v>
      </c>
      <c r="L481" s="31">
        <v>267.14999999999998</v>
      </c>
      <c r="M481" s="19">
        <f>H481*INDEX('Pliegos Tarifarios (Huechuraba)'!$B:$B,MATCH($B481,'Pliegos Tarifarios (Huechuraba)'!$A:$A,0))</f>
        <v>1056022.4692800001</v>
      </c>
      <c r="N481" s="19">
        <f>I481*INDEX('Pliegos Tarifarios (Huechuraba)'!$C:$C,MATCH($B481,'Pliegos Tarifarios (Huechuraba)'!$A:$A,0))</f>
        <v>74023.779840000003</v>
      </c>
      <c r="O481" s="19">
        <f>J481*INDEX('Pliegos Tarifarios (Huechuraba)'!$D:$D,MATCH($B481,'Pliegos Tarifarios (Huechuraba)'!$A:$A,0))</f>
        <v>309966.84254999994</v>
      </c>
      <c r="P481" s="19">
        <f>H481*INDEX('Pliegos Tarifarios (Huechuraba)'!$E:$E,MATCH($B481,'Pliegos Tarifarios (Huechuraba)'!$A:$A,0))</f>
        <v>104381.62944</v>
      </c>
      <c r="Q481" s="19" cm="1">
        <f t="array" ref="Q481">H481*_xlfn.IFS(H481&lt;=350,INDEX('Pliegos Tarifarios (Huechuraba)'!$F:$F,MATCH($B481,'Pliegos Tarifarios (Huechuraba)'!$A:$A,0)),H481&lt;=500,INDEX('Pliegos Tarifarios (Huechuraba)'!$G:$G,MATCH($B481,'Pliegos Tarifarios (Huechuraba)'!$A:$A,0)),H481&lt;=1000,INDEX('Pliegos Tarifarios (Huechuraba)'!$H:$H,MATCH($B481,'Pliegos Tarifarios (Huechuraba)'!$A:$A,0)),H481&lt;=5000,INDEX('Pliegos Tarifarios (Huechuraba)'!$I:$I,MATCH($B481,'Pliegos Tarifarios (Huechuraba)'!$A:$A,0)),H481&gt;5000,INDEX('Pliegos Tarifarios (Huechuraba)'!$J:$J,MATCH($B481,'Pliegos Tarifarios (Huechuraba)'!$A:$A,0)))/1.19</f>
        <v>26299.879663865551</v>
      </c>
      <c r="R481" s="19">
        <f>INDEX('Pliegos Tarifarios (Huechuraba)'!$K:$K,MATCH($B481,'Pliegos Tarifarios (Huechuraba)'!$A:$A,0))</f>
        <v>729.75599999999997</v>
      </c>
      <c r="S481" s="36">
        <f t="shared" si="21"/>
        <v>1571424.3567738656</v>
      </c>
      <c r="T481" s="36">
        <f t="shared" si="22"/>
        <v>298570.62778703449</v>
      </c>
      <c r="U481" s="19">
        <v>0</v>
      </c>
      <c r="V481" s="36">
        <f t="shared" si="23"/>
        <v>1869994.9845609001</v>
      </c>
    </row>
    <row r="482" spans="1:22" ht="23.4" thickBot="1" x14ac:dyDescent="0.35">
      <c r="A482" s="30" t="s">
        <v>152</v>
      </c>
      <c r="B482" s="31">
        <v>10</v>
      </c>
      <c r="C482" s="32" t="s">
        <v>15</v>
      </c>
      <c r="D482" s="31" t="s">
        <v>20</v>
      </c>
      <c r="E482" s="31" t="s">
        <v>21</v>
      </c>
      <c r="F482" s="32" t="s">
        <v>22</v>
      </c>
      <c r="G482" s="31" t="s">
        <v>19</v>
      </c>
      <c r="H482" s="33">
        <v>4002.83</v>
      </c>
      <c r="I482" s="31">
        <v>10.69</v>
      </c>
      <c r="J482" s="31">
        <v>10.32</v>
      </c>
      <c r="K482" s="34">
        <v>0.96499999999999997</v>
      </c>
      <c r="L482" s="31">
        <v>133.43</v>
      </c>
      <c r="M482" s="19">
        <f>H482*INDEX('Pliegos Tarifarios (Huechuraba)'!$B:$B,MATCH($B482,'Pliegos Tarifarios (Huechuraba)'!$A:$A,0))</f>
        <v>527424.88928999996</v>
      </c>
      <c r="N482" s="19">
        <f>I482*INDEX('Pliegos Tarifarios (Huechuraba)'!$C:$C,MATCH($B482,'Pliegos Tarifarios (Huechuraba)'!$A:$A,0))</f>
        <v>37133.468160000004</v>
      </c>
      <c r="O482" s="19">
        <f>J482*INDEX('Pliegos Tarifarios (Huechuraba)'!$D:$D,MATCH($B482,'Pliegos Tarifarios (Huechuraba)'!$A:$A,0))</f>
        <v>150110.64360000001</v>
      </c>
      <c r="P482" s="19">
        <f>H482*INDEX('Pliegos Tarifarios (Huechuraba)'!$E:$E,MATCH($B482,'Pliegos Tarifarios (Huechuraba)'!$A:$A,0))</f>
        <v>52132.857919999995</v>
      </c>
      <c r="Q482" s="19" cm="1">
        <f t="array" ref="Q482">H482*_xlfn.IFS(H482&lt;=350,INDEX('Pliegos Tarifarios (Huechuraba)'!$F:$F,MATCH($B482,'Pliegos Tarifarios (Huechuraba)'!$A:$A,0)),H482&lt;=500,INDEX('Pliegos Tarifarios (Huechuraba)'!$G:$G,MATCH($B482,'Pliegos Tarifarios (Huechuraba)'!$A:$A,0)),H482&lt;=1000,INDEX('Pliegos Tarifarios (Huechuraba)'!$H:$H,MATCH($B482,'Pliegos Tarifarios (Huechuraba)'!$A:$A,0)),H482&lt;=5000,INDEX('Pliegos Tarifarios (Huechuraba)'!$I:$I,MATCH($B482,'Pliegos Tarifarios (Huechuraba)'!$A:$A,0)),H482&gt;5000,INDEX('Pliegos Tarifarios (Huechuraba)'!$J:$J,MATCH($B482,'Pliegos Tarifarios (Huechuraba)'!$A:$A,0)))/1.19</f>
        <v>12011.853722689075</v>
      </c>
      <c r="R482" s="19">
        <f>INDEX('Pliegos Tarifarios (Huechuraba)'!$K:$K,MATCH($B482,'Pliegos Tarifarios (Huechuraba)'!$A:$A,0))</f>
        <v>729.75599999999997</v>
      </c>
      <c r="S482" s="36">
        <f t="shared" si="21"/>
        <v>779543.4686926892</v>
      </c>
      <c r="T482" s="36">
        <f t="shared" si="22"/>
        <v>148113.25905161095</v>
      </c>
      <c r="U482" s="19">
        <v>0</v>
      </c>
      <c r="V482" s="36">
        <f t="shared" si="23"/>
        <v>927656.72774430015</v>
      </c>
    </row>
    <row r="483" spans="1:22" ht="23.4" thickBot="1" x14ac:dyDescent="0.35">
      <c r="A483" s="30" t="s">
        <v>152</v>
      </c>
      <c r="B483" s="31">
        <v>10</v>
      </c>
      <c r="C483" s="32" t="s">
        <v>15</v>
      </c>
      <c r="D483" s="31" t="s">
        <v>23</v>
      </c>
      <c r="E483" s="31" t="s">
        <v>21</v>
      </c>
      <c r="F483" s="32" t="s">
        <v>24</v>
      </c>
      <c r="G483" s="31" t="s">
        <v>19</v>
      </c>
      <c r="H483" s="33">
        <v>3198.33</v>
      </c>
      <c r="I483" s="31">
        <v>8.6</v>
      </c>
      <c r="J483" s="31">
        <v>8.6</v>
      </c>
      <c r="K483" s="34">
        <v>1</v>
      </c>
      <c r="L483" s="31">
        <v>106.61</v>
      </c>
      <c r="M483" s="19">
        <f>H483*INDEX('Pliegos Tarifarios (Huechuraba)'!$B:$B,MATCH($B483,'Pliegos Tarifarios (Huechuraba)'!$A:$A,0))</f>
        <v>421421.55579000001</v>
      </c>
      <c r="N483" s="19">
        <f>I483*INDEX('Pliegos Tarifarios (Huechuraba)'!$C:$C,MATCH($B483,'Pliegos Tarifarios (Huechuraba)'!$A:$A,0))</f>
        <v>29873.510399999999</v>
      </c>
      <c r="O483" s="19">
        <f>J483*INDEX('Pliegos Tarifarios (Huechuraba)'!$D:$D,MATCH($B483,'Pliegos Tarifarios (Huechuraba)'!$A:$A,0))</f>
        <v>125092.20299999999</v>
      </c>
      <c r="P483" s="19">
        <f>H483*INDEX('Pliegos Tarifarios (Huechuraba)'!$E:$E,MATCH($B483,'Pliegos Tarifarios (Huechuraba)'!$A:$A,0))</f>
        <v>41655.049919999998</v>
      </c>
      <c r="Q483" s="19" cm="1">
        <f t="array" ref="Q483">H483*_xlfn.IFS(H483&lt;=350,INDEX('Pliegos Tarifarios (Huechuraba)'!$F:$F,MATCH($B483,'Pliegos Tarifarios (Huechuraba)'!$A:$A,0)),H483&lt;=500,INDEX('Pliegos Tarifarios (Huechuraba)'!$G:$G,MATCH($B483,'Pliegos Tarifarios (Huechuraba)'!$A:$A,0)),H483&lt;=1000,INDEX('Pliegos Tarifarios (Huechuraba)'!$H:$H,MATCH($B483,'Pliegos Tarifarios (Huechuraba)'!$A:$A,0)),H483&lt;=5000,INDEX('Pliegos Tarifarios (Huechuraba)'!$I:$I,MATCH($B483,'Pliegos Tarifarios (Huechuraba)'!$A:$A,0)),H483&gt;5000,INDEX('Pliegos Tarifarios (Huechuraba)'!$J:$J,MATCH($B483,'Pliegos Tarifarios (Huechuraba)'!$A:$A,0)))/1.19</f>
        <v>9597.6776722689065</v>
      </c>
      <c r="R483" s="19">
        <f>INDEX('Pliegos Tarifarios (Huechuraba)'!$K:$K,MATCH($B483,'Pliegos Tarifarios (Huechuraba)'!$A:$A,0))</f>
        <v>729.75599999999997</v>
      </c>
      <c r="S483" s="36">
        <f t="shared" si="21"/>
        <v>628369.75278226903</v>
      </c>
      <c r="T483" s="36">
        <f t="shared" si="22"/>
        <v>119390.25302863112</v>
      </c>
      <c r="U483" s="19">
        <v>0</v>
      </c>
      <c r="V483" s="36">
        <f t="shared" si="23"/>
        <v>747760.00581090013</v>
      </c>
    </row>
    <row r="484" spans="1:22" ht="23.4" thickBot="1" x14ac:dyDescent="0.35">
      <c r="A484" s="30" t="s">
        <v>152</v>
      </c>
      <c r="B484" s="31">
        <v>10</v>
      </c>
      <c r="C484" s="32" t="s">
        <v>15</v>
      </c>
      <c r="D484" s="31" t="s">
        <v>25</v>
      </c>
      <c r="E484" s="31" t="s">
        <v>21</v>
      </c>
      <c r="F484" s="32" t="s">
        <v>26</v>
      </c>
      <c r="G484" s="31" t="s">
        <v>19</v>
      </c>
      <c r="H484" s="33">
        <v>2673.67</v>
      </c>
      <c r="I484" s="31">
        <v>7.23</v>
      </c>
      <c r="J484" s="31">
        <v>7.07</v>
      </c>
      <c r="K484" s="34">
        <v>0.97799999999999998</v>
      </c>
      <c r="L484" s="31">
        <v>89.12</v>
      </c>
      <c r="M484" s="19">
        <f>H484*INDEX('Pliegos Tarifarios (Huechuraba)'!$B:$B,MATCH($B484,'Pliegos Tarifarios (Huechuraba)'!$A:$A,0))</f>
        <v>352290.78021</v>
      </c>
      <c r="N484" s="19">
        <f>I484*INDEX('Pliegos Tarifarios (Huechuraba)'!$C:$C,MATCH($B484,'Pliegos Tarifarios (Huechuraba)'!$A:$A,0))</f>
        <v>25114.590720000004</v>
      </c>
      <c r="O484" s="19">
        <f>J484*INDEX('Pliegos Tarifarios (Huechuraba)'!$D:$D,MATCH($B484,'Pliegos Tarifarios (Huechuraba)'!$A:$A,0))</f>
        <v>102837.42735</v>
      </c>
      <c r="P484" s="19">
        <f>H484*INDEX('Pliegos Tarifarios (Huechuraba)'!$E:$E,MATCH($B484,'Pliegos Tarifarios (Huechuraba)'!$A:$A,0))</f>
        <v>34821.878080000002</v>
      </c>
      <c r="Q484" s="19" cm="1">
        <f t="array" ref="Q484">H484*_xlfn.IFS(H484&lt;=350,INDEX('Pliegos Tarifarios (Huechuraba)'!$F:$F,MATCH($B484,'Pliegos Tarifarios (Huechuraba)'!$A:$A,0)),H484&lt;=500,INDEX('Pliegos Tarifarios (Huechuraba)'!$G:$G,MATCH($B484,'Pliegos Tarifarios (Huechuraba)'!$A:$A,0)),H484&lt;=1000,INDEX('Pliegos Tarifarios (Huechuraba)'!$H:$H,MATCH($B484,'Pliegos Tarifarios (Huechuraba)'!$A:$A,0)),H484&lt;=5000,INDEX('Pliegos Tarifarios (Huechuraba)'!$I:$I,MATCH($B484,'Pliegos Tarifarios (Huechuraba)'!$A:$A,0)),H484&gt;5000,INDEX('Pliegos Tarifarios (Huechuraba)'!$J:$J,MATCH($B484,'Pliegos Tarifarios (Huechuraba)'!$A:$A,0)))/1.19</f>
        <v>8023.2567815126049</v>
      </c>
      <c r="R484" s="19">
        <f>INDEX('Pliegos Tarifarios (Huechuraba)'!$K:$K,MATCH($B484,'Pliegos Tarifarios (Huechuraba)'!$A:$A,0))</f>
        <v>729.75599999999997</v>
      </c>
      <c r="S484" s="36">
        <f t="shared" si="21"/>
        <v>523817.68914151256</v>
      </c>
      <c r="T484" s="36">
        <f t="shared" si="22"/>
        <v>99525.360936887388</v>
      </c>
      <c r="U484" s="19">
        <v>0</v>
      </c>
      <c r="V484" s="36">
        <f t="shared" si="23"/>
        <v>623343.05007839995</v>
      </c>
    </row>
    <row r="485" spans="1:22" ht="23.4" thickBot="1" x14ac:dyDescent="0.35">
      <c r="A485" s="30" t="s">
        <v>152</v>
      </c>
      <c r="B485" s="31">
        <v>10</v>
      </c>
      <c r="C485" s="32" t="s">
        <v>15</v>
      </c>
      <c r="D485" s="31" t="s">
        <v>27</v>
      </c>
      <c r="E485" s="31" t="s">
        <v>21</v>
      </c>
      <c r="F485" s="32" t="s">
        <v>28</v>
      </c>
      <c r="G485" s="31" t="s">
        <v>19</v>
      </c>
      <c r="H485" s="33">
        <v>2882.59</v>
      </c>
      <c r="I485" s="31">
        <v>7.58</v>
      </c>
      <c r="J485" s="31">
        <v>7.47</v>
      </c>
      <c r="K485" s="34">
        <v>0.98499999999999999</v>
      </c>
      <c r="L485" s="31">
        <v>96.09</v>
      </c>
      <c r="M485" s="19">
        <f>H485*INDEX('Pliegos Tarifarios (Huechuraba)'!$B:$B,MATCH($B485,'Pliegos Tarifarios (Huechuraba)'!$A:$A,0))</f>
        <v>379818.70617000002</v>
      </c>
      <c r="N485" s="19">
        <f>I485*INDEX('Pliegos Tarifarios (Huechuraba)'!$C:$C,MATCH($B485,'Pliegos Tarifarios (Huechuraba)'!$A:$A,0))</f>
        <v>26330.37312</v>
      </c>
      <c r="O485" s="19">
        <f>J485*INDEX('Pliegos Tarifarios (Huechuraba)'!$D:$D,MATCH($B485,'Pliegos Tarifarios (Huechuraba)'!$A:$A,0))</f>
        <v>108655.66935</v>
      </c>
      <c r="P485" s="19">
        <f>H485*INDEX('Pliegos Tarifarios (Huechuraba)'!$E:$E,MATCH($B485,'Pliegos Tarifarios (Huechuraba)'!$A:$A,0))</f>
        <v>37542.852160000002</v>
      </c>
      <c r="Q485" s="19" cm="1">
        <f t="array" ref="Q485">H485*_xlfn.IFS(H485&lt;=350,INDEX('Pliegos Tarifarios (Huechuraba)'!$F:$F,MATCH($B485,'Pliegos Tarifarios (Huechuraba)'!$A:$A,0)),H485&lt;=500,INDEX('Pliegos Tarifarios (Huechuraba)'!$G:$G,MATCH($B485,'Pliegos Tarifarios (Huechuraba)'!$A:$A,0)),H485&lt;=1000,INDEX('Pliegos Tarifarios (Huechuraba)'!$H:$H,MATCH($B485,'Pliegos Tarifarios (Huechuraba)'!$A:$A,0)),H485&lt;=5000,INDEX('Pliegos Tarifarios (Huechuraba)'!$I:$I,MATCH($B485,'Pliegos Tarifarios (Huechuraba)'!$A:$A,0)),H485&gt;5000,INDEX('Pliegos Tarifarios (Huechuraba)'!$J:$J,MATCH($B485,'Pliegos Tarifarios (Huechuraba)'!$A:$A,0)))/1.19</f>
        <v>8650.1923445378161</v>
      </c>
      <c r="R485" s="19">
        <f>INDEX('Pliegos Tarifarios (Huechuraba)'!$K:$K,MATCH($B485,'Pliegos Tarifarios (Huechuraba)'!$A:$A,0))</f>
        <v>729.75599999999997</v>
      </c>
      <c r="S485" s="36">
        <f t="shared" si="21"/>
        <v>561727.54914453789</v>
      </c>
      <c r="T485" s="36">
        <f t="shared" si="22"/>
        <v>106728.2343374622</v>
      </c>
      <c r="U485" s="19">
        <v>0</v>
      </c>
      <c r="V485" s="36">
        <f t="shared" si="23"/>
        <v>668455.78348200012</v>
      </c>
    </row>
    <row r="486" spans="1:22" ht="23.4" thickBot="1" x14ac:dyDescent="0.35">
      <c r="A486" s="30" t="s">
        <v>152</v>
      </c>
      <c r="B486" s="31">
        <v>10</v>
      </c>
      <c r="C486" s="32" t="s">
        <v>15</v>
      </c>
      <c r="D486" s="31" t="s">
        <v>29</v>
      </c>
      <c r="E486" s="31" t="s">
        <v>21</v>
      </c>
      <c r="F486" s="32" t="s">
        <v>30</v>
      </c>
      <c r="G486" s="31" t="s">
        <v>19</v>
      </c>
      <c r="H486" s="33">
        <v>1913.86</v>
      </c>
      <c r="I486" s="31">
        <v>5.18</v>
      </c>
      <c r="J486" s="31">
        <v>5.0599999999999996</v>
      </c>
      <c r="K486" s="34">
        <v>0.97799999999999998</v>
      </c>
      <c r="L486" s="31">
        <v>63.8</v>
      </c>
      <c r="M486" s="19">
        <f>H486*INDEX('Pliegos Tarifarios (Huechuraba)'!$B:$B,MATCH($B486,'Pliegos Tarifarios (Huechuraba)'!$A:$A,0))</f>
        <v>252175.93518</v>
      </c>
      <c r="N486" s="19">
        <f>I486*INDEX('Pliegos Tarifarios (Huechuraba)'!$C:$C,MATCH($B486,'Pliegos Tarifarios (Huechuraba)'!$A:$A,0))</f>
        <v>17993.579519999999</v>
      </c>
      <c r="O486" s="19">
        <f>J486*INDEX('Pliegos Tarifarios (Huechuraba)'!$D:$D,MATCH($B486,'Pliegos Tarifarios (Huechuraba)'!$A:$A,0))</f>
        <v>73600.761299999998</v>
      </c>
      <c r="P486" s="19">
        <f>H486*INDEX('Pliegos Tarifarios (Huechuraba)'!$E:$E,MATCH($B486,'Pliegos Tarifarios (Huechuraba)'!$A:$A,0))</f>
        <v>24926.112639999996</v>
      </c>
      <c r="Q486" s="19" cm="1">
        <f t="array" ref="Q486">H486*_xlfn.IFS(H486&lt;=350,INDEX('Pliegos Tarifarios (Huechuraba)'!$F:$F,MATCH($B486,'Pliegos Tarifarios (Huechuraba)'!$A:$A,0)),H486&lt;=500,INDEX('Pliegos Tarifarios (Huechuraba)'!$G:$G,MATCH($B486,'Pliegos Tarifarios (Huechuraba)'!$A:$A,0)),H486&lt;=1000,INDEX('Pliegos Tarifarios (Huechuraba)'!$H:$H,MATCH($B486,'Pliegos Tarifarios (Huechuraba)'!$A:$A,0)),H486&lt;=5000,INDEX('Pliegos Tarifarios (Huechuraba)'!$I:$I,MATCH($B486,'Pliegos Tarifarios (Huechuraba)'!$A:$A,0)),H486&gt;5000,INDEX('Pliegos Tarifarios (Huechuraba)'!$J:$J,MATCH($B486,'Pliegos Tarifarios (Huechuraba)'!$A:$A,0)))/1.19</f>
        <v>5743.1882857142846</v>
      </c>
      <c r="R486" s="19">
        <f>INDEX('Pliegos Tarifarios (Huechuraba)'!$K:$K,MATCH($B486,'Pliegos Tarifarios (Huechuraba)'!$A:$A,0))</f>
        <v>729.75599999999997</v>
      </c>
      <c r="S486" s="36">
        <f t="shared" si="21"/>
        <v>375169.33292571432</v>
      </c>
      <c r="T486" s="36">
        <f t="shared" si="22"/>
        <v>71282.173255885718</v>
      </c>
      <c r="U486" s="19">
        <v>0</v>
      </c>
      <c r="V486" s="36">
        <f t="shared" si="23"/>
        <v>446451.50618160004</v>
      </c>
    </row>
    <row r="487" spans="1:22" ht="23.4" thickBot="1" x14ac:dyDescent="0.35">
      <c r="A487" s="30" t="s">
        <v>152</v>
      </c>
      <c r="B487" s="31">
        <v>10</v>
      </c>
      <c r="C487" s="32" t="s">
        <v>15</v>
      </c>
      <c r="D487" s="31" t="s">
        <v>31</v>
      </c>
      <c r="E487" s="31" t="s">
        <v>21</v>
      </c>
      <c r="F487" s="32" t="s">
        <v>32</v>
      </c>
      <c r="G487" s="31" t="s">
        <v>33</v>
      </c>
      <c r="H487" s="31">
        <v>641.57000000000005</v>
      </c>
      <c r="I487" s="31">
        <v>1.71</v>
      </c>
      <c r="J487" s="31">
        <v>1.71</v>
      </c>
      <c r="K487" s="34">
        <v>1</v>
      </c>
      <c r="L487" s="31">
        <v>21.39</v>
      </c>
      <c r="M487" s="19">
        <f>H487*INDEX('Pliegos Tarifarios (Huechuraba)'!$B:$B,MATCH($B487,'Pliegos Tarifarios (Huechuraba)'!$A:$A,0))</f>
        <v>84535.187910000008</v>
      </c>
      <c r="N487" s="19">
        <f>I487*INDEX('Pliegos Tarifarios (Huechuraba)'!$C:$C,MATCH($B487,'Pliegos Tarifarios (Huechuraba)'!$A:$A,0))</f>
        <v>5939.9654399999999</v>
      </c>
      <c r="O487" s="19">
        <f>J487*INDEX('Pliegos Tarifarios (Huechuraba)'!$D:$D,MATCH($B487,'Pliegos Tarifarios (Huechuraba)'!$A:$A,0))</f>
        <v>24872.984549999997</v>
      </c>
      <c r="P487" s="19">
        <f>H487*INDEX('Pliegos Tarifarios (Huechuraba)'!$E:$E,MATCH($B487,'Pliegos Tarifarios (Huechuraba)'!$A:$A,0))</f>
        <v>8355.8076799999999</v>
      </c>
      <c r="Q487" s="19" cm="1">
        <f t="array" ref="Q487">H487*_xlfn.IFS(H487&lt;=350,INDEX('Pliegos Tarifarios (Huechuraba)'!$F:$F,MATCH($B487,'Pliegos Tarifarios (Huechuraba)'!$A:$A,0)),H487&lt;=500,INDEX('Pliegos Tarifarios (Huechuraba)'!$G:$G,MATCH($B487,'Pliegos Tarifarios (Huechuraba)'!$A:$A,0)),H487&lt;=1000,INDEX('Pliegos Tarifarios (Huechuraba)'!$H:$H,MATCH($B487,'Pliegos Tarifarios (Huechuraba)'!$A:$A,0)),H487&lt;=5000,INDEX('Pliegos Tarifarios (Huechuraba)'!$I:$I,MATCH($B487,'Pliegos Tarifarios (Huechuraba)'!$A:$A,0)),H487&gt;5000,INDEX('Pliegos Tarifarios (Huechuraba)'!$J:$J,MATCH($B487,'Pliegos Tarifarios (Huechuraba)'!$A:$A,0)))/1.19</f>
        <v>1504.724260504202</v>
      </c>
      <c r="R487" s="19">
        <f>INDEX('Pliegos Tarifarios (Huechuraba)'!$K:$K,MATCH($B487,'Pliegos Tarifarios (Huechuraba)'!$A:$A,0))</f>
        <v>729.75599999999997</v>
      </c>
      <c r="S487" s="36">
        <f t="shared" si="21"/>
        <v>125938.42584050419</v>
      </c>
      <c r="T487" s="36">
        <f t="shared" si="22"/>
        <v>23928.300909695798</v>
      </c>
      <c r="U487" s="19">
        <v>0</v>
      </c>
      <c r="V487" s="36">
        <f t="shared" si="23"/>
        <v>149866.72675019997</v>
      </c>
    </row>
    <row r="488" spans="1:22" ht="23.4" thickBot="1" x14ac:dyDescent="0.35">
      <c r="A488" s="30" t="s">
        <v>152</v>
      </c>
      <c r="B488" s="31">
        <v>10</v>
      </c>
      <c r="C488" s="32" t="s">
        <v>15</v>
      </c>
      <c r="D488" s="31" t="s">
        <v>34</v>
      </c>
      <c r="E488" s="31" t="s">
        <v>21</v>
      </c>
      <c r="F488" s="32" t="s">
        <v>35</v>
      </c>
      <c r="G488" s="31" t="s">
        <v>19</v>
      </c>
      <c r="H488" s="33">
        <v>1919.54</v>
      </c>
      <c r="I488" s="31">
        <v>5.0599999999999996</v>
      </c>
      <c r="J488" s="31">
        <v>5.0599999999999996</v>
      </c>
      <c r="K488" s="34">
        <v>1</v>
      </c>
      <c r="L488" s="31">
        <v>63.98</v>
      </c>
      <c r="M488" s="19">
        <f>H488*INDEX('Pliegos Tarifarios (Huechuraba)'!$B:$B,MATCH($B488,'Pliegos Tarifarios (Huechuraba)'!$A:$A,0))</f>
        <v>252924.34901999999</v>
      </c>
      <c r="N488" s="19">
        <f>I488*INDEX('Pliegos Tarifarios (Huechuraba)'!$C:$C,MATCH($B488,'Pliegos Tarifarios (Huechuraba)'!$A:$A,0))</f>
        <v>17576.739839999998</v>
      </c>
      <c r="O488" s="19">
        <f>J488*INDEX('Pliegos Tarifarios (Huechuraba)'!$D:$D,MATCH($B488,'Pliegos Tarifarios (Huechuraba)'!$A:$A,0))</f>
        <v>73600.761299999998</v>
      </c>
      <c r="P488" s="19">
        <f>H488*INDEX('Pliegos Tarifarios (Huechuraba)'!$E:$E,MATCH($B488,'Pliegos Tarifarios (Huechuraba)'!$A:$A,0))</f>
        <v>25000.088959999997</v>
      </c>
      <c r="Q488" s="19" cm="1">
        <f t="array" ref="Q488">H488*_xlfn.IFS(H488&lt;=350,INDEX('Pliegos Tarifarios (Huechuraba)'!$F:$F,MATCH($B488,'Pliegos Tarifarios (Huechuraba)'!$A:$A,0)),H488&lt;=500,INDEX('Pliegos Tarifarios (Huechuraba)'!$G:$G,MATCH($B488,'Pliegos Tarifarios (Huechuraba)'!$A:$A,0)),H488&lt;=1000,INDEX('Pliegos Tarifarios (Huechuraba)'!$H:$H,MATCH($B488,'Pliegos Tarifarios (Huechuraba)'!$A:$A,0)),H488&lt;=5000,INDEX('Pliegos Tarifarios (Huechuraba)'!$I:$I,MATCH($B488,'Pliegos Tarifarios (Huechuraba)'!$A:$A,0)),H488&gt;5000,INDEX('Pliegos Tarifarios (Huechuraba)'!$J:$J,MATCH($B488,'Pliegos Tarifarios (Huechuraba)'!$A:$A,0)))/1.19</f>
        <v>5760.2330588235291</v>
      </c>
      <c r="R488" s="19">
        <f>INDEX('Pliegos Tarifarios (Huechuraba)'!$K:$K,MATCH($B488,'Pliegos Tarifarios (Huechuraba)'!$A:$A,0))</f>
        <v>729.75599999999997</v>
      </c>
      <c r="S488" s="36">
        <f t="shared" si="21"/>
        <v>375591.92817882355</v>
      </c>
      <c r="T488" s="36">
        <f t="shared" si="22"/>
        <v>71362.466353976473</v>
      </c>
      <c r="U488" s="19">
        <v>0</v>
      </c>
      <c r="V488" s="36">
        <f t="shared" si="23"/>
        <v>446954.39453280001</v>
      </c>
    </row>
    <row r="489" spans="1:22" ht="23.4" thickBot="1" x14ac:dyDescent="0.35">
      <c r="A489" s="30" t="s">
        <v>152</v>
      </c>
      <c r="B489" s="31">
        <v>10</v>
      </c>
      <c r="C489" s="32" t="s">
        <v>15</v>
      </c>
      <c r="D489" s="31" t="s">
        <v>36</v>
      </c>
      <c r="E489" s="31" t="s">
        <v>37</v>
      </c>
      <c r="F489" s="32" t="s">
        <v>38</v>
      </c>
      <c r="G489" s="31" t="s">
        <v>33</v>
      </c>
      <c r="H489" s="31">
        <v>800.91</v>
      </c>
      <c r="I489" s="31">
        <v>2.12</v>
      </c>
      <c r="J489" s="31">
        <v>2.11</v>
      </c>
      <c r="K489" s="34">
        <v>0.99399999999999999</v>
      </c>
      <c r="L489" s="31">
        <v>26.7</v>
      </c>
      <c r="M489" s="19">
        <f>H489*INDEX('Pliegos Tarifarios (Huechuraba)'!$B:$B,MATCH($B489,'Pliegos Tarifarios (Huechuraba)'!$A:$A,0))</f>
        <v>105530.30433</v>
      </c>
      <c r="N489" s="19">
        <f>I489*INDEX('Pliegos Tarifarios (Huechuraba)'!$C:$C,MATCH($B489,'Pliegos Tarifarios (Huechuraba)'!$A:$A,0))</f>
        <v>7364.1676800000005</v>
      </c>
      <c r="O489" s="19">
        <f>J489*INDEX('Pliegos Tarifarios (Huechuraba)'!$D:$D,MATCH($B489,'Pliegos Tarifarios (Huechuraba)'!$A:$A,0))</f>
        <v>30691.226549999996</v>
      </c>
      <c r="P489" s="19">
        <f>H489*INDEX('Pliegos Tarifarios (Huechuraba)'!$E:$E,MATCH($B489,'Pliegos Tarifarios (Huechuraba)'!$A:$A,0))</f>
        <v>10431.051839999998</v>
      </c>
      <c r="Q489" s="19" cm="1">
        <f t="array" ref="Q489">H489*_xlfn.IFS(H489&lt;=350,INDEX('Pliegos Tarifarios (Huechuraba)'!$F:$F,MATCH($B489,'Pliegos Tarifarios (Huechuraba)'!$A:$A,0)),H489&lt;=500,INDEX('Pliegos Tarifarios (Huechuraba)'!$G:$G,MATCH($B489,'Pliegos Tarifarios (Huechuraba)'!$A:$A,0)),H489&lt;=1000,INDEX('Pliegos Tarifarios (Huechuraba)'!$H:$H,MATCH($B489,'Pliegos Tarifarios (Huechuraba)'!$A:$A,0)),H489&lt;=5000,INDEX('Pliegos Tarifarios (Huechuraba)'!$I:$I,MATCH($B489,'Pliegos Tarifarios (Huechuraba)'!$A:$A,0)),H489&gt;5000,INDEX('Pliegos Tarifarios (Huechuraba)'!$J:$J,MATCH($B489,'Pliegos Tarifarios (Huechuraba)'!$A:$A,0)))/1.19</f>
        <v>1878.4368151260508</v>
      </c>
      <c r="R489" s="19">
        <f>INDEX('Pliegos Tarifarios (Huechuraba)'!$K:$K,MATCH($B489,'Pliegos Tarifarios (Huechuraba)'!$A:$A,0))</f>
        <v>729.75599999999997</v>
      </c>
      <c r="S489" s="36">
        <f t="shared" si="21"/>
        <v>156624.94321512603</v>
      </c>
      <c r="T489" s="36">
        <f t="shared" si="22"/>
        <v>29758.739210873944</v>
      </c>
      <c r="U489" s="19">
        <v>0</v>
      </c>
      <c r="V489" s="36">
        <f t="shared" si="23"/>
        <v>186383.68242599996</v>
      </c>
    </row>
    <row r="490" spans="1:22" ht="23.4" thickBot="1" x14ac:dyDescent="0.35">
      <c r="A490" s="30" t="s">
        <v>152</v>
      </c>
      <c r="B490" s="31">
        <v>10</v>
      </c>
      <c r="C490" s="32" t="s">
        <v>15</v>
      </c>
      <c r="D490" s="31" t="s">
        <v>39</v>
      </c>
      <c r="E490" s="31" t="s">
        <v>37</v>
      </c>
      <c r="F490" s="32" t="s">
        <v>40</v>
      </c>
      <c r="G490" s="31" t="s">
        <v>33</v>
      </c>
      <c r="H490" s="31">
        <v>639.92999999999995</v>
      </c>
      <c r="I490" s="31">
        <v>1.74</v>
      </c>
      <c r="J490" s="31">
        <v>1.71</v>
      </c>
      <c r="K490" s="34">
        <v>0.98499999999999999</v>
      </c>
      <c r="L490" s="31">
        <v>21.33</v>
      </c>
      <c r="M490" s="19">
        <f>H490*INDEX('Pliegos Tarifarios (Huechuraba)'!$B:$B,MATCH($B490,'Pliegos Tarifarios (Huechuraba)'!$A:$A,0))</f>
        <v>84319.096590000001</v>
      </c>
      <c r="N490" s="19">
        <f>I490*INDEX('Pliegos Tarifarios (Huechuraba)'!$C:$C,MATCH($B490,'Pliegos Tarifarios (Huechuraba)'!$A:$A,0))</f>
        <v>6044.1753600000002</v>
      </c>
      <c r="O490" s="19">
        <f>J490*INDEX('Pliegos Tarifarios (Huechuraba)'!$D:$D,MATCH($B490,'Pliegos Tarifarios (Huechuraba)'!$A:$A,0))</f>
        <v>24872.984549999997</v>
      </c>
      <c r="P490" s="19">
        <f>H490*INDEX('Pliegos Tarifarios (Huechuraba)'!$E:$E,MATCH($B490,'Pliegos Tarifarios (Huechuraba)'!$A:$A,0))</f>
        <v>8334.4483199999995</v>
      </c>
      <c r="Q490" s="19" cm="1">
        <f t="array" ref="Q490">H490*_xlfn.IFS(H490&lt;=350,INDEX('Pliegos Tarifarios (Huechuraba)'!$F:$F,MATCH($B490,'Pliegos Tarifarios (Huechuraba)'!$A:$A,0)),H490&lt;=500,INDEX('Pliegos Tarifarios (Huechuraba)'!$G:$G,MATCH($B490,'Pliegos Tarifarios (Huechuraba)'!$A:$A,0)),H490&lt;=1000,INDEX('Pliegos Tarifarios (Huechuraba)'!$H:$H,MATCH($B490,'Pliegos Tarifarios (Huechuraba)'!$A:$A,0)),H490&lt;=5000,INDEX('Pliegos Tarifarios (Huechuraba)'!$I:$I,MATCH($B490,'Pliegos Tarifarios (Huechuraba)'!$A:$A,0)),H490&gt;5000,INDEX('Pliegos Tarifarios (Huechuraba)'!$J:$J,MATCH($B490,'Pliegos Tarifarios (Huechuraba)'!$A:$A,0)))/1.19</f>
        <v>1500.8778403361346</v>
      </c>
      <c r="R490" s="19">
        <f>INDEX('Pliegos Tarifarios (Huechuraba)'!$K:$K,MATCH($B490,'Pliegos Tarifarios (Huechuraba)'!$A:$A,0))</f>
        <v>729.75599999999997</v>
      </c>
      <c r="S490" s="36">
        <f t="shared" si="21"/>
        <v>125801.33866033611</v>
      </c>
      <c r="T490" s="36">
        <f t="shared" si="22"/>
        <v>23902.254345463862</v>
      </c>
      <c r="U490" s="19">
        <v>0</v>
      </c>
      <c r="V490" s="36">
        <f t="shared" si="23"/>
        <v>149703.59300579998</v>
      </c>
    </row>
    <row r="491" spans="1:22" ht="23.4" thickBot="1" x14ac:dyDescent="0.35">
      <c r="A491" s="30" t="s">
        <v>152</v>
      </c>
      <c r="B491" s="31">
        <v>10</v>
      </c>
      <c r="C491" s="32" t="s">
        <v>15</v>
      </c>
      <c r="D491" s="31" t="s">
        <v>41</v>
      </c>
      <c r="E491" s="31" t="s">
        <v>37</v>
      </c>
      <c r="F491" s="32" t="s">
        <v>42</v>
      </c>
      <c r="G491" s="31" t="s">
        <v>33</v>
      </c>
      <c r="H491" s="33">
        <v>1281.1500000000001</v>
      </c>
      <c r="I491" s="31">
        <v>3.41</v>
      </c>
      <c r="J491" s="31">
        <v>3.38</v>
      </c>
      <c r="K491" s="34">
        <v>0.98899999999999999</v>
      </c>
      <c r="L491" s="31">
        <v>42.7</v>
      </c>
      <c r="M491" s="19">
        <f>H491*INDEX('Pliegos Tarifarios (Huechuraba)'!$B:$B,MATCH($B491,'Pliegos Tarifarios (Huechuraba)'!$A:$A,0))</f>
        <v>168808.16745000001</v>
      </c>
      <c r="N491" s="19">
        <f>I491*INDEX('Pliegos Tarifarios (Huechuraba)'!$C:$C,MATCH($B491,'Pliegos Tarifarios (Huechuraba)'!$A:$A,0))</f>
        <v>11845.194240000001</v>
      </c>
      <c r="O491" s="19">
        <f>J491*INDEX('Pliegos Tarifarios (Huechuraba)'!$D:$D,MATCH($B491,'Pliegos Tarifarios (Huechuraba)'!$A:$A,0))</f>
        <v>49164.144899999999</v>
      </c>
      <c r="P491" s="19">
        <f>H491*INDEX('Pliegos Tarifarios (Huechuraba)'!$E:$E,MATCH($B491,'Pliegos Tarifarios (Huechuraba)'!$A:$A,0))</f>
        <v>16685.6976</v>
      </c>
      <c r="Q491" s="19" cm="1">
        <f t="array" ref="Q491">H491*_xlfn.IFS(H491&lt;=350,INDEX('Pliegos Tarifarios (Huechuraba)'!$F:$F,MATCH($B491,'Pliegos Tarifarios (Huechuraba)'!$A:$A,0)),H491&lt;=500,INDEX('Pliegos Tarifarios (Huechuraba)'!$G:$G,MATCH($B491,'Pliegos Tarifarios (Huechuraba)'!$A:$A,0)),H491&lt;=1000,INDEX('Pliegos Tarifarios (Huechuraba)'!$H:$H,MATCH($B491,'Pliegos Tarifarios (Huechuraba)'!$A:$A,0)),H491&lt;=5000,INDEX('Pliegos Tarifarios (Huechuraba)'!$I:$I,MATCH($B491,'Pliegos Tarifarios (Huechuraba)'!$A:$A,0)),H491&gt;5000,INDEX('Pliegos Tarifarios (Huechuraba)'!$J:$J,MATCH($B491,'Pliegos Tarifarios (Huechuraba)'!$A:$A,0)))/1.19</f>
        <v>3844.5265966386555</v>
      </c>
      <c r="R491" s="19">
        <f>INDEX('Pliegos Tarifarios (Huechuraba)'!$K:$K,MATCH($B491,'Pliegos Tarifarios (Huechuraba)'!$A:$A,0))</f>
        <v>729.75599999999997</v>
      </c>
      <c r="S491" s="36">
        <f t="shared" si="21"/>
        <v>251077.48678663868</v>
      </c>
      <c r="T491" s="36">
        <f t="shared" si="22"/>
        <v>47704.722489461346</v>
      </c>
      <c r="U491" s="19">
        <v>0</v>
      </c>
      <c r="V491" s="36">
        <f t="shared" si="23"/>
        <v>298782.20927610004</v>
      </c>
    </row>
    <row r="492" spans="1:22" ht="23.4" thickBot="1" x14ac:dyDescent="0.35">
      <c r="A492" s="30" t="s">
        <v>152</v>
      </c>
      <c r="B492" s="31">
        <v>10</v>
      </c>
      <c r="C492" s="32" t="s">
        <v>15</v>
      </c>
      <c r="D492" s="31" t="s">
        <v>43</v>
      </c>
      <c r="E492" s="31" t="s">
        <v>37</v>
      </c>
      <c r="F492" s="32" t="s">
        <v>44</v>
      </c>
      <c r="G492" s="31" t="s">
        <v>33</v>
      </c>
      <c r="H492" s="31">
        <v>481.25</v>
      </c>
      <c r="I492" s="31">
        <v>1.31</v>
      </c>
      <c r="J492" s="31">
        <v>1.31</v>
      </c>
      <c r="K492" s="34">
        <v>1</v>
      </c>
      <c r="L492" s="31">
        <v>16.04</v>
      </c>
      <c r="M492" s="19">
        <f>H492*INDEX('Pliegos Tarifarios (Huechuraba)'!$B:$B,MATCH($B492,'Pliegos Tarifarios (Huechuraba)'!$A:$A,0))</f>
        <v>63410.943750000006</v>
      </c>
      <c r="N492" s="19">
        <f>I492*INDEX('Pliegos Tarifarios (Huechuraba)'!$C:$C,MATCH($B492,'Pliegos Tarifarios (Huechuraba)'!$A:$A,0))</f>
        <v>4550.4998400000004</v>
      </c>
      <c r="O492" s="19">
        <f>J492*INDEX('Pliegos Tarifarios (Huechuraba)'!$D:$D,MATCH($B492,'Pliegos Tarifarios (Huechuraba)'!$A:$A,0))</f>
        <v>19054.742549999999</v>
      </c>
      <c r="P492" s="19">
        <f>H492*INDEX('Pliegos Tarifarios (Huechuraba)'!$E:$E,MATCH($B492,'Pliegos Tarifarios (Huechuraba)'!$A:$A,0))</f>
        <v>6267.7999999999993</v>
      </c>
      <c r="Q492" s="19" cm="1">
        <f t="array" ref="Q492">H492*_xlfn.IFS(H492&lt;=350,INDEX('Pliegos Tarifarios (Huechuraba)'!$F:$F,MATCH($B492,'Pliegos Tarifarios (Huechuraba)'!$A:$A,0)),H492&lt;=500,INDEX('Pliegos Tarifarios (Huechuraba)'!$G:$G,MATCH($B492,'Pliegos Tarifarios (Huechuraba)'!$A:$A,0)),H492&lt;=1000,INDEX('Pliegos Tarifarios (Huechuraba)'!$H:$H,MATCH($B492,'Pliegos Tarifarios (Huechuraba)'!$A:$A,0)),H492&lt;=5000,INDEX('Pliegos Tarifarios (Huechuraba)'!$I:$I,MATCH($B492,'Pliegos Tarifarios (Huechuraba)'!$A:$A,0)),H492&gt;5000,INDEX('Pliegos Tarifarios (Huechuraba)'!$J:$J,MATCH($B492,'Pliegos Tarifarios (Huechuraba)'!$A:$A,0)))/1.19</f>
        <v>677.7941176470589</v>
      </c>
      <c r="R492" s="19">
        <f>INDEX('Pliegos Tarifarios (Huechuraba)'!$K:$K,MATCH($B492,'Pliegos Tarifarios (Huechuraba)'!$A:$A,0))</f>
        <v>729.75599999999997</v>
      </c>
      <c r="S492" s="36">
        <f t="shared" si="21"/>
        <v>94691.536257647065</v>
      </c>
      <c r="T492" s="36">
        <f t="shared" si="22"/>
        <v>17991.391888952941</v>
      </c>
      <c r="U492" s="19">
        <v>0</v>
      </c>
      <c r="V492" s="36">
        <f t="shared" si="23"/>
        <v>112682.92814660001</v>
      </c>
    </row>
    <row r="493" spans="1:22" ht="23.4" thickBot="1" x14ac:dyDescent="0.35">
      <c r="A493" s="30" t="s">
        <v>152</v>
      </c>
      <c r="B493" s="31">
        <v>10</v>
      </c>
      <c r="C493" s="32" t="s">
        <v>15</v>
      </c>
      <c r="D493" s="31" t="s">
        <v>45</v>
      </c>
      <c r="E493" s="31" t="s">
        <v>37</v>
      </c>
      <c r="F493" s="32" t="s">
        <v>46</v>
      </c>
      <c r="G493" s="31" t="s">
        <v>33</v>
      </c>
      <c r="H493" s="31">
        <v>481.2</v>
      </c>
      <c r="I493" s="31">
        <v>1.28</v>
      </c>
      <c r="J493" s="31">
        <v>1.28</v>
      </c>
      <c r="K493" s="34">
        <v>1</v>
      </c>
      <c r="L493" s="31">
        <v>16.04</v>
      </c>
      <c r="M493" s="19">
        <f>H493*INDEX('Pliegos Tarifarios (Huechuraba)'!$B:$B,MATCH($B493,'Pliegos Tarifarios (Huechuraba)'!$A:$A,0))</f>
        <v>63404.355600000003</v>
      </c>
      <c r="N493" s="19">
        <f>I493*INDEX('Pliegos Tarifarios (Huechuraba)'!$C:$C,MATCH($B493,'Pliegos Tarifarios (Huechuraba)'!$A:$A,0))</f>
        <v>4446.2899200000002</v>
      </c>
      <c r="O493" s="19">
        <f>J493*INDEX('Pliegos Tarifarios (Huechuraba)'!$D:$D,MATCH($B493,'Pliegos Tarifarios (Huechuraba)'!$A:$A,0))</f>
        <v>18618.374400000001</v>
      </c>
      <c r="P493" s="19">
        <f>H493*INDEX('Pliegos Tarifarios (Huechuraba)'!$E:$E,MATCH($B493,'Pliegos Tarifarios (Huechuraba)'!$A:$A,0))</f>
        <v>6267.148799999999</v>
      </c>
      <c r="Q493" s="19" cm="1">
        <f t="array" ref="Q493">H493*_xlfn.IFS(H493&lt;=350,INDEX('Pliegos Tarifarios (Huechuraba)'!$F:$F,MATCH($B493,'Pliegos Tarifarios (Huechuraba)'!$A:$A,0)),H493&lt;=500,INDEX('Pliegos Tarifarios (Huechuraba)'!$G:$G,MATCH($B493,'Pliegos Tarifarios (Huechuraba)'!$A:$A,0)),H493&lt;=1000,INDEX('Pliegos Tarifarios (Huechuraba)'!$H:$H,MATCH($B493,'Pliegos Tarifarios (Huechuraba)'!$A:$A,0)),H493&lt;=5000,INDEX('Pliegos Tarifarios (Huechuraba)'!$I:$I,MATCH($B493,'Pliegos Tarifarios (Huechuraba)'!$A:$A,0)),H493&gt;5000,INDEX('Pliegos Tarifarios (Huechuraba)'!$J:$J,MATCH($B493,'Pliegos Tarifarios (Huechuraba)'!$A:$A,0)))/1.19</f>
        <v>677.72369747899165</v>
      </c>
      <c r="R493" s="19">
        <f>INDEX('Pliegos Tarifarios (Huechuraba)'!$K:$K,MATCH($B493,'Pliegos Tarifarios (Huechuraba)'!$A:$A,0))</f>
        <v>729.75599999999997</v>
      </c>
      <c r="S493" s="36">
        <f t="shared" si="21"/>
        <v>94143.64841747898</v>
      </c>
      <c r="T493" s="36">
        <f t="shared" si="22"/>
        <v>17887.293199321008</v>
      </c>
      <c r="U493" s="19">
        <v>0</v>
      </c>
      <c r="V493" s="36">
        <f t="shared" si="23"/>
        <v>112030.94161679999</v>
      </c>
    </row>
    <row r="494" spans="1:22" ht="23.4" thickBot="1" x14ac:dyDescent="0.35">
      <c r="A494" s="30" t="s">
        <v>152</v>
      </c>
      <c r="B494" s="31">
        <v>10</v>
      </c>
      <c r="C494" s="32" t="s">
        <v>15</v>
      </c>
      <c r="D494" s="31" t="s">
        <v>47</v>
      </c>
      <c r="E494" s="31" t="s">
        <v>37</v>
      </c>
      <c r="F494" s="32" t="s">
        <v>48</v>
      </c>
      <c r="G494" s="31" t="s">
        <v>33</v>
      </c>
      <c r="H494" s="31">
        <v>963.86</v>
      </c>
      <c r="I494" s="31">
        <v>2.57</v>
      </c>
      <c r="J494" s="31">
        <v>2.5099999999999998</v>
      </c>
      <c r="K494" s="34">
        <v>0.97499999999999998</v>
      </c>
      <c r="L494" s="31">
        <v>32.130000000000003</v>
      </c>
      <c r="M494" s="19">
        <f>H494*INDEX('Pliegos Tarifarios (Huechuraba)'!$B:$B,MATCH($B494,'Pliegos Tarifarios (Huechuraba)'!$A:$A,0))</f>
        <v>127001.08518000001</v>
      </c>
      <c r="N494" s="19">
        <f>I494*INDEX('Pliegos Tarifarios (Huechuraba)'!$C:$C,MATCH($B494,'Pliegos Tarifarios (Huechuraba)'!$A:$A,0))</f>
        <v>8927.3164799999995</v>
      </c>
      <c r="O494" s="19">
        <f>J494*INDEX('Pliegos Tarifarios (Huechuraba)'!$D:$D,MATCH($B494,'Pliegos Tarifarios (Huechuraba)'!$A:$A,0))</f>
        <v>36509.468549999998</v>
      </c>
      <c r="P494" s="19">
        <f>H494*INDEX('Pliegos Tarifarios (Huechuraba)'!$E:$E,MATCH($B494,'Pliegos Tarifarios (Huechuraba)'!$A:$A,0))</f>
        <v>12553.31264</v>
      </c>
      <c r="Q494" s="19" cm="1">
        <f t="array" ref="Q494">H494*_xlfn.IFS(H494&lt;=350,INDEX('Pliegos Tarifarios (Huechuraba)'!$F:$F,MATCH($B494,'Pliegos Tarifarios (Huechuraba)'!$A:$A,0)),H494&lt;=500,INDEX('Pliegos Tarifarios (Huechuraba)'!$G:$G,MATCH($B494,'Pliegos Tarifarios (Huechuraba)'!$A:$A,0)),H494&lt;=1000,INDEX('Pliegos Tarifarios (Huechuraba)'!$H:$H,MATCH($B494,'Pliegos Tarifarios (Huechuraba)'!$A:$A,0)),H494&lt;=5000,INDEX('Pliegos Tarifarios (Huechuraba)'!$I:$I,MATCH($B494,'Pliegos Tarifarios (Huechuraba)'!$A:$A,0)),H494&gt;5000,INDEX('Pliegos Tarifarios (Huechuraba)'!$J:$J,MATCH($B494,'Pliegos Tarifarios (Huechuraba)'!$A:$A,0)))/1.19</f>
        <v>2260.6161848739503</v>
      </c>
      <c r="R494" s="19">
        <f>INDEX('Pliegos Tarifarios (Huechuraba)'!$K:$K,MATCH($B494,'Pliegos Tarifarios (Huechuraba)'!$A:$A,0))</f>
        <v>729.75599999999997</v>
      </c>
      <c r="S494" s="36">
        <f t="shared" si="21"/>
        <v>187981.55503487392</v>
      </c>
      <c r="T494" s="36">
        <f t="shared" si="22"/>
        <v>35716.495456626042</v>
      </c>
      <c r="U494" s="19">
        <v>0</v>
      </c>
      <c r="V494" s="36">
        <f t="shared" si="23"/>
        <v>223698.05049149995</v>
      </c>
    </row>
    <row r="495" spans="1:22" ht="23.4" thickBot="1" x14ac:dyDescent="0.35">
      <c r="A495" s="30" t="s">
        <v>152</v>
      </c>
      <c r="B495" s="31">
        <v>10</v>
      </c>
      <c r="C495" s="32" t="s">
        <v>15</v>
      </c>
      <c r="D495" s="31" t="s">
        <v>49</v>
      </c>
      <c r="E495" s="31" t="s">
        <v>50</v>
      </c>
      <c r="F495" s="32" t="s">
        <v>51</v>
      </c>
      <c r="G495" s="31" t="s">
        <v>33</v>
      </c>
      <c r="H495" s="31">
        <v>962.55</v>
      </c>
      <c r="I495" s="31">
        <v>2.5299999999999998</v>
      </c>
      <c r="J495" s="31">
        <v>2.52</v>
      </c>
      <c r="K495" s="34">
        <v>0.995</v>
      </c>
      <c r="L495" s="31">
        <v>32.08</v>
      </c>
      <c r="M495" s="19">
        <f>H495*INDEX('Pliegos Tarifarios (Huechuraba)'!$B:$B,MATCH($B495,'Pliegos Tarifarios (Huechuraba)'!$A:$A,0))</f>
        <v>126828.47564999999</v>
      </c>
      <c r="N495" s="19">
        <f>I495*INDEX('Pliegos Tarifarios (Huechuraba)'!$C:$C,MATCH($B495,'Pliegos Tarifarios (Huechuraba)'!$A:$A,0))</f>
        <v>8788.3699199999992</v>
      </c>
      <c r="O495" s="19">
        <f>J495*INDEX('Pliegos Tarifarios (Huechuraba)'!$D:$D,MATCH($B495,'Pliegos Tarifarios (Huechuraba)'!$A:$A,0))</f>
        <v>36654.924599999998</v>
      </c>
      <c r="P495" s="19">
        <f>H495*INDEX('Pliegos Tarifarios (Huechuraba)'!$E:$E,MATCH($B495,'Pliegos Tarifarios (Huechuraba)'!$A:$A,0))</f>
        <v>12536.251199999999</v>
      </c>
      <c r="Q495" s="19" cm="1">
        <f t="array" ref="Q495">H495*_xlfn.IFS(H495&lt;=350,INDEX('Pliegos Tarifarios (Huechuraba)'!$F:$F,MATCH($B495,'Pliegos Tarifarios (Huechuraba)'!$A:$A,0)),H495&lt;=500,INDEX('Pliegos Tarifarios (Huechuraba)'!$G:$G,MATCH($B495,'Pliegos Tarifarios (Huechuraba)'!$A:$A,0)),H495&lt;=1000,INDEX('Pliegos Tarifarios (Huechuraba)'!$H:$H,MATCH($B495,'Pliegos Tarifarios (Huechuraba)'!$A:$A,0)),H495&lt;=5000,INDEX('Pliegos Tarifarios (Huechuraba)'!$I:$I,MATCH($B495,'Pliegos Tarifarios (Huechuraba)'!$A:$A,0)),H495&gt;5000,INDEX('Pliegos Tarifarios (Huechuraba)'!$J:$J,MATCH($B495,'Pliegos Tarifarios (Huechuraba)'!$A:$A,0)))/1.19</f>
        <v>2257.5437394957989</v>
      </c>
      <c r="R495" s="19">
        <f>INDEX('Pliegos Tarifarios (Huechuraba)'!$K:$K,MATCH($B495,'Pliegos Tarifarios (Huechuraba)'!$A:$A,0))</f>
        <v>729.75599999999997</v>
      </c>
      <c r="S495" s="36">
        <f t="shared" si="21"/>
        <v>187795.3211094958</v>
      </c>
      <c r="T495" s="36">
        <f t="shared" si="22"/>
        <v>35681.111010804205</v>
      </c>
      <c r="U495" s="19">
        <v>0</v>
      </c>
      <c r="V495" s="36">
        <f t="shared" si="23"/>
        <v>223476.43212030001</v>
      </c>
    </row>
    <row r="496" spans="1:22" ht="23.4" thickBot="1" x14ac:dyDescent="0.35">
      <c r="A496" s="30" t="s">
        <v>152</v>
      </c>
      <c r="B496" s="31">
        <v>10</v>
      </c>
      <c r="C496" s="32" t="s">
        <v>15</v>
      </c>
      <c r="D496" s="31" t="s">
        <v>52</v>
      </c>
      <c r="E496" s="31" t="s">
        <v>50</v>
      </c>
      <c r="F496" s="32" t="s">
        <v>53</v>
      </c>
      <c r="G496" s="31" t="s">
        <v>33</v>
      </c>
      <c r="H496" s="31">
        <v>962.98</v>
      </c>
      <c r="I496" s="31">
        <v>2.52</v>
      </c>
      <c r="J496" s="31">
        <v>2.52</v>
      </c>
      <c r="K496" s="34">
        <v>1</v>
      </c>
      <c r="L496" s="31">
        <v>32.1</v>
      </c>
      <c r="M496" s="19">
        <f>H496*INDEX('Pliegos Tarifarios (Huechuraba)'!$B:$B,MATCH($B496,'Pliegos Tarifarios (Huechuraba)'!$A:$A,0))</f>
        <v>126885.13374</v>
      </c>
      <c r="N496" s="19">
        <f>I496*INDEX('Pliegos Tarifarios (Huechuraba)'!$C:$C,MATCH($B496,'Pliegos Tarifarios (Huechuraba)'!$A:$A,0))</f>
        <v>8753.63328</v>
      </c>
      <c r="O496" s="19">
        <f>J496*INDEX('Pliegos Tarifarios (Huechuraba)'!$D:$D,MATCH($B496,'Pliegos Tarifarios (Huechuraba)'!$A:$A,0))</f>
        <v>36654.924599999998</v>
      </c>
      <c r="P496" s="19">
        <f>H496*INDEX('Pliegos Tarifarios (Huechuraba)'!$E:$E,MATCH($B496,'Pliegos Tarifarios (Huechuraba)'!$A:$A,0))</f>
        <v>12541.85152</v>
      </c>
      <c r="Q496" s="19" cm="1">
        <f t="array" ref="Q496">H496*_xlfn.IFS(H496&lt;=350,INDEX('Pliegos Tarifarios (Huechuraba)'!$F:$F,MATCH($B496,'Pliegos Tarifarios (Huechuraba)'!$A:$A,0)),H496&lt;=500,INDEX('Pliegos Tarifarios (Huechuraba)'!$G:$G,MATCH($B496,'Pliegos Tarifarios (Huechuraba)'!$A:$A,0)),H496&lt;=1000,INDEX('Pliegos Tarifarios (Huechuraba)'!$H:$H,MATCH($B496,'Pliegos Tarifarios (Huechuraba)'!$A:$A,0)),H496&lt;=5000,INDEX('Pliegos Tarifarios (Huechuraba)'!$I:$I,MATCH($B496,'Pliegos Tarifarios (Huechuraba)'!$A:$A,0)),H496&gt;5000,INDEX('Pliegos Tarifarios (Huechuraba)'!$J:$J,MATCH($B496,'Pliegos Tarifarios (Huechuraba)'!$A:$A,0)))/1.19</f>
        <v>2258.5522521008411</v>
      </c>
      <c r="R496" s="19">
        <f>INDEX('Pliegos Tarifarios (Huechuraba)'!$K:$K,MATCH($B496,'Pliegos Tarifarios (Huechuraba)'!$A:$A,0))</f>
        <v>729.75599999999997</v>
      </c>
      <c r="S496" s="36">
        <f t="shared" si="21"/>
        <v>187823.85139210083</v>
      </c>
      <c r="T496" s="36">
        <f t="shared" si="22"/>
        <v>35686.531764499159</v>
      </c>
      <c r="U496" s="19">
        <v>0</v>
      </c>
      <c r="V496" s="36">
        <f t="shared" si="23"/>
        <v>223510.3831566</v>
      </c>
    </row>
    <row r="497" spans="1:22" ht="23.4" thickBot="1" x14ac:dyDescent="0.35">
      <c r="A497" s="30" t="s">
        <v>152</v>
      </c>
      <c r="B497" s="31">
        <v>10</v>
      </c>
      <c r="C497" s="32" t="s">
        <v>15</v>
      </c>
      <c r="D497" s="31" t="s">
        <v>54</v>
      </c>
      <c r="E497" s="31" t="s">
        <v>55</v>
      </c>
      <c r="F497" s="32" t="s">
        <v>56</v>
      </c>
      <c r="G497" s="31" t="s">
        <v>33</v>
      </c>
      <c r="H497" s="31">
        <v>480.79</v>
      </c>
      <c r="I497" s="31">
        <v>1.28</v>
      </c>
      <c r="J497" s="31">
        <v>1.28</v>
      </c>
      <c r="K497" s="34">
        <v>1</v>
      </c>
      <c r="L497" s="31">
        <v>16.03</v>
      </c>
      <c r="M497" s="19">
        <f>H497*INDEX('Pliegos Tarifarios (Huechuraba)'!$B:$B,MATCH($B497,'Pliegos Tarifarios (Huechuraba)'!$A:$A,0))</f>
        <v>63350.332770000008</v>
      </c>
      <c r="N497" s="19">
        <f>I497*INDEX('Pliegos Tarifarios (Huechuraba)'!$C:$C,MATCH($B497,'Pliegos Tarifarios (Huechuraba)'!$A:$A,0))</f>
        <v>4446.2899200000002</v>
      </c>
      <c r="O497" s="19">
        <f>J497*INDEX('Pliegos Tarifarios (Huechuraba)'!$D:$D,MATCH($B497,'Pliegos Tarifarios (Huechuraba)'!$A:$A,0))</f>
        <v>18618.374400000001</v>
      </c>
      <c r="P497" s="19">
        <f>H497*INDEX('Pliegos Tarifarios (Huechuraba)'!$E:$E,MATCH($B497,'Pliegos Tarifarios (Huechuraba)'!$A:$A,0))</f>
        <v>6261.8089600000003</v>
      </c>
      <c r="Q497" s="19" cm="1">
        <f t="array" ref="Q497">H497*_xlfn.IFS(H497&lt;=350,INDEX('Pliegos Tarifarios (Huechuraba)'!$F:$F,MATCH($B497,'Pliegos Tarifarios (Huechuraba)'!$A:$A,0)),H497&lt;=500,INDEX('Pliegos Tarifarios (Huechuraba)'!$G:$G,MATCH($B497,'Pliegos Tarifarios (Huechuraba)'!$A:$A,0)),H497&lt;=1000,INDEX('Pliegos Tarifarios (Huechuraba)'!$H:$H,MATCH($B497,'Pliegos Tarifarios (Huechuraba)'!$A:$A,0)),H497&lt;=5000,INDEX('Pliegos Tarifarios (Huechuraba)'!$I:$I,MATCH($B497,'Pliegos Tarifarios (Huechuraba)'!$A:$A,0)),H497&gt;5000,INDEX('Pliegos Tarifarios (Huechuraba)'!$J:$J,MATCH($B497,'Pliegos Tarifarios (Huechuraba)'!$A:$A,0)))/1.19</f>
        <v>677.14625210084046</v>
      </c>
      <c r="R497" s="19">
        <f>INDEX('Pliegos Tarifarios (Huechuraba)'!$K:$K,MATCH($B497,'Pliegos Tarifarios (Huechuraba)'!$A:$A,0))</f>
        <v>729.75599999999997</v>
      </c>
      <c r="S497" s="36">
        <f t="shared" si="21"/>
        <v>94083.708302100829</v>
      </c>
      <c r="T497" s="36">
        <f t="shared" si="22"/>
        <v>17875.904577399157</v>
      </c>
      <c r="U497" s="19">
        <v>0</v>
      </c>
      <c r="V497" s="36">
        <f t="shared" si="23"/>
        <v>111959.61287949998</v>
      </c>
    </row>
    <row r="498" spans="1:22" ht="23.4" thickBot="1" x14ac:dyDescent="0.35">
      <c r="A498" s="30" t="s">
        <v>152</v>
      </c>
      <c r="B498" s="31">
        <v>10</v>
      </c>
      <c r="C498" s="32" t="s">
        <v>15</v>
      </c>
      <c r="D498" s="31" t="s">
        <v>57</v>
      </c>
      <c r="E498" s="31" t="s">
        <v>58</v>
      </c>
      <c r="F498" s="32" t="s">
        <v>59</v>
      </c>
      <c r="G498" s="31" t="s">
        <v>33</v>
      </c>
      <c r="H498" s="31">
        <v>320.22000000000003</v>
      </c>
      <c r="I498" s="31">
        <v>0.87</v>
      </c>
      <c r="J498" s="31">
        <v>0.86</v>
      </c>
      <c r="K498" s="34">
        <v>0.98899999999999999</v>
      </c>
      <c r="L498" s="31">
        <v>10.67</v>
      </c>
      <c r="M498" s="19">
        <f>H498*INDEX('Pliegos Tarifarios (Huechuraba)'!$B:$B,MATCH($B498,'Pliegos Tarifarios (Huechuraba)'!$A:$A,0))</f>
        <v>42193.147860000005</v>
      </c>
      <c r="N498" s="19">
        <f>I498*INDEX('Pliegos Tarifarios (Huechuraba)'!$C:$C,MATCH($B498,'Pliegos Tarifarios (Huechuraba)'!$A:$A,0))</f>
        <v>3022.0876800000001</v>
      </c>
      <c r="O498" s="19">
        <f>J498*INDEX('Pliegos Tarifarios (Huechuraba)'!$D:$D,MATCH($B498,'Pliegos Tarifarios (Huechuraba)'!$A:$A,0))</f>
        <v>12509.220299999999</v>
      </c>
      <c r="P498" s="19">
        <f>H498*INDEX('Pliegos Tarifarios (Huechuraba)'!$E:$E,MATCH($B498,'Pliegos Tarifarios (Huechuraba)'!$A:$A,0))</f>
        <v>4170.5452800000003</v>
      </c>
      <c r="Q498" s="19" cm="1">
        <f t="array" ref="Q498">H498*_xlfn.IFS(H498&lt;=350,INDEX('Pliegos Tarifarios (Huechuraba)'!$F:$F,MATCH($B498,'Pliegos Tarifarios (Huechuraba)'!$A:$A,0)),H498&lt;=500,INDEX('Pliegos Tarifarios (Huechuraba)'!$G:$G,MATCH($B498,'Pliegos Tarifarios (Huechuraba)'!$A:$A,0)),H498&lt;=1000,INDEX('Pliegos Tarifarios (Huechuraba)'!$H:$H,MATCH($B498,'Pliegos Tarifarios (Huechuraba)'!$A:$A,0)),H498&lt;=5000,INDEX('Pliegos Tarifarios (Huechuraba)'!$I:$I,MATCH($B498,'Pliegos Tarifarios (Huechuraba)'!$A:$A,0)),H498&gt;5000,INDEX('Pliegos Tarifarios (Huechuraba)'!$J:$J,MATCH($B498,'Pliegos Tarifarios (Huechuraba)'!$A:$A,0)))/1.19</f>
        <v>210.96847058823533</v>
      </c>
      <c r="R498" s="19">
        <f>INDEX('Pliegos Tarifarios (Huechuraba)'!$K:$K,MATCH($B498,'Pliegos Tarifarios (Huechuraba)'!$A:$A,0))</f>
        <v>729.75599999999997</v>
      </c>
      <c r="S498" s="36">
        <f t="shared" si="21"/>
        <v>62835.725590588234</v>
      </c>
      <c r="T498" s="36">
        <f t="shared" si="22"/>
        <v>11938.787862211764</v>
      </c>
      <c r="U498" s="19">
        <v>0</v>
      </c>
      <c r="V498" s="36">
        <f t="shared" si="23"/>
        <v>74774.513452799991</v>
      </c>
    </row>
    <row r="499" spans="1:22" ht="23.4" thickBot="1" x14ac:dyDescent="0.35">
      <c r="A499" s="30" t="s">
        <v>152</v>
      </c>
      <c r="B499" s="31">
        <v>10</v>
      </c>
      <c r="C499" s="32" t="s">
        <v>15</v>
      </c>
      <c r="D499" s="31" t="s">
        <v>60</v>
      </c>
      <c r="E499" s="31" t="s">
        <v>61</v>
      </c>
      <c r="F499" s="32" t="s">
        <v>62</v>
      </c>
      <c r="G499" s="31" t="s">
        <v>33</v>
      </c>
      <c r="H499" s="31">
        <v>320.01</v>
      </c>
      <c r="I499" s="31">
        <v>0.85</v>
      </c>
      <c r="J499" s="31">
        <v>0.83</v>
      </c>
      <c r="K499" s="34">
        <v>0.97699999999999998</v>
      </c>
      <c r="L499" s="31">
        <v>10.67</v>
      </c>
      <c r="M499" s="19">
        <f>H499*INDEX('Pliegos Tarifarios (Huechuraba)'!$B:$B,MATCH($B499,'Pliegos Tarifarios (Huechuraba)'!$A:$A,0))</f>
        <v>42165.477630000001</v>
      </c>
      <c r="N499" s="19">
        <f>I499*INDEX('Pliegos Tarifarios (Huechuraba)'!$C:$C,MATCH($B499,'Pliegos Tarifarios (Huechuraba)'!$A:$A,0))</f>
        <v>2952.6143999999999</v>
      </c>
      <c r="O499" s="19">
        <f>J499*INDEX('Pliegos Tarifarios (Huechuraba)'!$D:$D,MATCH($B499,'Pliegos Tarifarios (Huechuraba)'!$A:$A,0))</f>
        <v>12072.852149999999</v>
      </c>
      <c r="P499" s="19">
        <f>H499*INDEX('Pliegos Tarifarios (Huechuraba)'!$E:$E,MATCH($B499,'Pliegos Tarifarios (Huechuraba)'!$A:$A,0))</f>
        <v>4167.8102399999998</v>
      </c>
      <c r="Q499" s="19" cm="1">
        <f t="array" ref="Q499">H499*_xlfn.IFS(H499&lt;=350,INDEX('Pliegos Tarifarios (Huechuraba)'!$F:$F,MATCH($B499,'Pliegos Tarifarios (Huechuraba)'!$A:$A,0)),H499&lt;=500,INDEX('Pliegos Tarifarios (Huechuraba)'!$G:$G,MATCH($B499,'Pliegos Tarifarios (Huechuraba)'!$A:$A,0)),H499&lt;=1000,INDEX('Pliegos Tarifarios (Huechuraba)'!$H:$H,MATCH($B499,'Pliegos Tarifarios (Huechuraba)'!$A:$A,0)),H499&lt;=5000,INDEX('Pliegos Tarifarios (Huechuraba)'!$I:$I,MATCH($B499,'Pliegos Tarifarios (Huechuraba)'!$A:$A,0)),H499&gt;5000,INDEX('Pliegos Tarifarios (Huechuraba)'!$J:$J,MATCH($B499,'Pliegos Tarifarios (Huechuraba)'!$A:$A,0)))/1.19</f>
        <v>210.83011764705884</v>
      </c>
      <c r="R499" s="19">
        <f>INDEX('Pliegos Tarifarios (Huechuraba)'!$K:$K,MATCH($B499,'Pliegos Tarifarios (Huechuraba)'!$A:$A,0))</f>
        <v>729.75599999999997</v>
      </c>
      <c r="S499" s="36">
        <f t="shared" si="21"/>
        <v>62299.340537647055</v>
      </c>
      <c r="T499" s="36">
        <f t="shared" si="22"/>
        <v>11836.87470215294</v>
      </c>
      <c r="U499" s="19">
        <v>0</v>
      </c>
      <c r="V499" s="36">
        <f t="shared" si="23"/>
        <v>74136.215239799989</v>
      </c>
    </row>
    <row r="500" spans="1:22" ht="23.4" thickBot="1" x14ac:dyDescent="0.35">
      <c r="A500" s="30" t="s">
        <v>152</v>
      </c>
      <c r="B500" s="31">
        <v>10</v>
      </c>
      <c r="C500" s="32" t="s">
        <v>15</v>
      </c>
      <c r="D500" s="31" t="s">
        <v>63</v>
      </c>
      <c r="E500" s="31" t="s">
        <v>64</v>
      </c>
      <c r="F500" s="32" t="s">
        <v>65</v>
      </c>
      <c r="G500" s="31" t="s">
        <v>33</v>
      </c>
      <c r="H500" s="31">
        <v>320.52</v>
      </c>
      <c r="I500" s="31">
        <v>0.85</v>
      </c>
      <c r="J500" s="31">
        <v>0.83</v>
      </c>
      <c r="K500" s="34">
        <v>0.97799999999999998</v>
      </c>
      <c r="L500" s="31">
        <v>10.68</v>
      </c>
      <c r="M500" s="19">
        <f>H500*INDEX('Pliegos Tarifarios (Huechuraba)'!$B:$B,MATCH($B500,'Pliegos Tarifarios (Huechuraba)'!$A:$A,0))</f>
        <v>42232.676760000002</v>
      </c>
      <c r="N500" s="19">
        <f>I500*INDEX('Pliegos Tarifarios (Huechuraba)'!$C:$C,MATCH($B500,'Pliegos Tarifarios (Huechuraba)'!$A:$A,0))</f>
        <v>2952.6143999999999</v>
      </c>
      <c r="O500" s="19">
        <f>J500*INDEX('Pliegos Tarifarios (Huechuraba)'!$D:$D,MATCH($B500,'Pliegos Tarifarios (Huechuraba)'!$A:$A,0))</f>
        <v>12072.852149999999</v>
      </c>
      <c r="P500" s="19">
        <f>H500*INDEX('Pliegos Tarifarios (Huechuraba)'!$E:$E,MATCH($B500,'Pliegos Tarifarios (Huechuraba)'!$A:$A,0))</f>
        <v>4174.4524799999999</v>
      </c>
      <c r="Q500" s="19" cm="1">
        <f t="array" ref="Q500">H500*_xlfn.IFS(H500&lt;=350,INDEX('Pliegos Tarifarios (Huechuraba)'!$F:$F,MATCH($B500,'Pliegos Tarifarios (Huechuraba)'!$A:$A,0)),H500&lt;=500,INDEX('Pliegos Tarifarios (Huechuraba)'!$G:$G,MATCH($B500,'Pliegos Tarifarios (Huechuraba)'!$A:$A,0)),H500&lt;=1000,INDEX('Pliegos Tarifarios (Huechuraba)'!$H:$H,MATCH($B500,'Pliegos Tarifarios (Huechuraba)'!$A:$A,0)),H500&lt;=5000,INDEX('Pliegos Tarifarios (Huechuraba)'!$I:$I,MATCH($B500,'Pliegos Tarifarios (Huechuraba)'!$A:$A,0)),H500&gt;5000,INDEX('Pliegos Tarifarios (Huechuraba)'!$J:$J,MATCH($B500,'Pliegos Tarifarios (Huechuraba)'!$A:$A,0)))/1.19</f>
        <v>211.16611764705883</v>
      </c>
      <c r="R500" s="19">
        <f>INDEX('Pliegos Tarifarios (Huechuraba)'!$K:$K,MATCH($B500,'Pliegos Tarifarios (Huechuraba)'!$A:$A,0))</f>
        <v>729.75599999999997</v>
      </c>
      <c r="S500" s="36">
        <f t="shared" si="21"/>
        <v>62373.517907647059</v>
      </c>
      <c r="T500" s="36">
        <f t="shared" si="22"/>
        <v>11850.968402452942</v>
      </c>
      <c r="U500" s="19">
        <v>0</v>
      </c>
      <c r="V500" s="36">
        <f t="shared" si="23"/>
        <v>74224.486310100008</v>
      </c>
    </row>
    <row r="501" spans="1:22" ht="23.4" thickBot="1" x14ac:dyDescent="0.35">
      <c r="A501" s="30" t="s">
        <v>152</v>
      </c>
      <c r="B501" s="31">
        <v>10</v>
      </c>
      <c r="C501" s="32" t="s">
        <v>15</v>
      </c>
      <c r="D501" s="31" t="s">
        <v>66</v>
      </c>
      <c r="E501" s="31" t="s">
        <v>37</v>
      </c>
      <c r="F501" s="32" t="s">
        <v>67</v>
      </c>
      <c r="G501" s="31" t="s">
        <v>33</v>
      </c>
      <c r="H501" s="31">
        <v>640.03</v>
      </c>
      <c r="I501" s="31">
        <v>1.71</v>
      </c>
      <c r="J501" s="31">
        <v>1.71</v>
      </c>
      <c r="K501" s="34">
        <v>1</v>
      </c>
      <c r="L501" s="31">
        <v>21.33</v>
      </c>
      <c r="M501" s="19">
        <f>H501*INDEX('Pliegos Tarifarios (Huechuraba)'!$B:$B,MATCH($B501,'Pliegos Tarifarios (Huechuraba)'!$A:$A,0))</f>
        <v>84332.272889999993</v>
      </c>
      <c r="N501" s="19">
        <f>I501*INDEX('Pliegos Tarifarios (Huechuraba)'!$C:$C,MATCH($B501,'Pliegos Tarifarios (Huechuraba)'!$A:$A,0))</f>
        <v>5939.9654399999999</v>
      </c>
      <c r="O501" s="19">
        <f>J501*INDEX('Pliegos Tarifarios (Huechuraba)'!$D:$D,MATCH($B501,'Pliegos Tarifarios (Huechuraba)'!$A:$A,0))</f>
        <v>24872.984549999997</v>
      </c>
      <c r="P501" s="19">
        <f>H501*INDEX('Pliegos Tarifarios (Huechuraba)'!$E:$E,MATCH($B501,'Pliegos Tarifarios (Huechuraba)'!$A:$A,0))</f>
        <v>8335.7507199999982</v>
      </c>
      <c r="Q501" s="19" cm="1">
        <f t="array" ref="Q501">H501*_xlfn.IFS(H501&lt;=350,INDEX('Pliegos Tarifarios (Huechuraba)'!$F:$F,MATCH($B501,'Pliegos Tarifarios (Huechuraba)'!$A:$A,0)),H501&lt;=500,INDEX('Pliegos Tarifarios (Huechuraba)'!$G:$G,MATCH($B501,'Pliegos Tarifarios (Huechuraba)'!$A:$A,0)),H501&lt;=1000,INDEX('Pliegos Tarifarios (Huechuraba)'!$H:$H,MATCH($B501,'Pliegos Tarifarios (Huechuraba)'!$A:$A,0)),H501&lt;=5000,INDEX('Pliegos Tarifarios (Huechuraba)'!$I:$I,MATCH($B501,'Pliegos Tarifarios (Huechuraba)'!$A:$A,0)),H501&gt;5000,INDEX('Pliegos Tarifarios (Huechuraba)'!$J:$J,MATCH($B501,'Pliegos Tarifarios (Huechuraba)'!$A:$A,0)))/1.19</f>
        <v>1501.1123781512606</v>
      </c>
      <c r="R501" s="19">
        <f>INDEX('Pliegos Tarifarios (Huechuraba)'!$K:$K,MATCH($B501,'Pliegos Tarifarios (Huechuraba)'!$A:$A,0))</f>
        <v>729.75599999999997</v>
      </c>
      <c r="S501" s="36">
        <f t="shared" si="21"/>
        <v>125711.84197815123</v>
      </c>
      <c r="T501" s="36">
        <f t="shared" si="22"/>
        <v>23885.249975848736</v>
      </c>
      <c r="U501" s="19">
        <v>0</v>
      </c>
      <c r="V501" s="36">
        <f t="shared" si="23"/>
        <v>149597.09195399997</v>
      </c>
    </row>
    <row r="502" spans="1:22" ht="23.4" thickBot="1" x14ac:dyDescent="0.35">
      <c r="A502" s="30" t="s">
        <v>152</v>
      </c>
      <c r="B502" s="31">
        <v>10</v>
      </c>
      <c r="C502" s="32" t="s">
        <v>15</v>
      </c>
      <c r="D502" s="31" t="s">
        <v>68</v>
      </c>
      <c r="E502" s="31" t="s">
        <v>37</v>
      </c>
      <c r="F502" s="32" t="s">
        <v>69</v>
      </c>
      <c r="G502" s="31" t="s">
        <v>33</v>
      </c>
      <c r="H502" s="31">
        <v>640.22</v>
      </c>
      <c r="I502" s="31">
        <v>1.71</v>
      </c>
      <c r="J502" s="31">
        <v>1.69</v>
      </c>
      <c r="K502" s="34">
        <v>0.98899999999999999</v>
      </c>
      <c r="L502" s="31">
        <v>21.34</v>
      </c>
      <c r="M502" s="19">
        <f>H502*INDEX('Pliegos Tarifarios (Huechuraba)'!$B:$B,MATCH($B502,'Pliegos Tarifarios (Huechuraba)'!$A:$A,0))</f>
        <v>84357.307860000001</v>
      </c>
      <c r="N502" s="19">
        <f>I502*INDEX('Pliegos Tarifarios (Huechuraba)'!$C:$C,MATCH($B502,'Pliegos Tarifarios (Huechuraba)'!$A:$A,0))</f>
        <v>5939.9654399999999</v>
      </c>
      <c r="O502" s="19">
        <f>J502*INDEX('Pliegos Tarifarios (Huechuraba)'!$D:$D,MATCH($B502,'Pliegos Tarifarios (Huechuraba)'!$A:$A,0))</f>
        <v>24582.07245</v>
      </c>
      <c r="P502" s="19">
        <f>H502*INDEX('Pliegos Tarifarios (Huechuraba)'!$E:$E,MATCH($B502,'Pliegos Tarifarios (Huechuraba)'!$A:$A,0))</f>
        <v>8338.2252800000006</v>
      </c>
      <c r="Q502" s="19" cm="1">
        <f t="array" ref="Q502">H502*_xlfn.IFS(H502&lt;=350,INDEX('Pliegos Tarifarios (Huechuraba)'!$F:$F,MATCH($B502,'Pliegos Tarifarios (Huechuraba)'!$A:$A,0)),H502&lt;=500,INDEX('Pliegos Tarifarios (Huechuraba)'!$G:$G,MATCH($B502,'Pliegos Tarifarios (Huechuraba)'!$A:$A,0)),H502&lt;=1000,INDEX('Pliegos Tarifarios (Huechuraba)'!$H:$H,MATCH($B502,'Pliegos Tarifarios (Huechuraba)'!$A:$A,0)),H502&lt;=5000,INDEX('Pliegos Tarifarios (Huechuraba)'!$I:$I,MATCH($B502,'Pliegos Tarifarios (Huechuraba)'!$A:$A,0)),H502&gt;5000,INDEX('Pliegos Tarifarios (Huechuraba)'!$J:$J,MATCH($B502,'Pliegos Tarifarios (Huechuraba)'!$A:$A,0)))/1.19</f>
        <v>1501.5580000000002</v>
      </c>
      <c r="R502" s="19">
        <f>INDEX('Pliegos Tarifarios (Huechuraba)'!$K:$K,MATCH($B502,'Pliegos Tarifarios (Huechuraba)'!$A:$A,0))</f>
        <v>729.75599999999997</v>
      </c>
      <c r="S502" s="36">
        <f t="shared" si="21"/>
        <v>125448.88503</v>
      </c>
      <c r="T502" s="36">
        <f t="shared" si="22"/>
        <v>23835.2881557</v>
      </c>
      <c r="U502" s="19">
        <v>0</v>
      </c>
      <c r="V502" s="36">
        <f t="shared" si="23"/>
        <v>149284.1731857</v>
      </c>
    </row>
    <row r="503" spans="1:22" ht="23.4" thickBot="1" x14ac:dyDescent="0.35">
      <c r="A503" s="30" t="s">
        <v>152</v>
      </c>
      <c r="B503" s="31">
        <v>10</v>
      </c>
      <c r="C503" s="32" t="s">
        <v>15</v>
      </c>
      <c r="D503" s="31" t="s">
        <v>70</v>
      </c>
      <c r="E503" s="31" t="s">
        <v>37</v>
      </c>
      <c r="F503" s="32" t="s">
        <v>71</v>
      </c>
      <c r="G503" s="31" t="s">
        <v>33</v>
      </c>
      <c r="H503" s="31">
        <v>641.16</v>
      </c>
      <c r="I503" s="31">
        <v>1.68</v>
      </c>
      <c r="J503" s="31">
        <v>1.67</v>
      </c>
      <c r="K503" s="34">
        <v>0.99099999999999999</v>
      </c>
      <c r="L503" s="31">
        <v>21.37</v>
      </c>
      <c r="M503" s="19">
        <f>H503*INDEX('Pliegos Tarifarios (Huechuraba)'!$B:$B,MATCH($B503,'Pliegos Tarifarios (Huechuraba)'!$A:$A,0))</f>
        <v>84481.165080000006</v>
      </c>
      <c r="N503" s="19">
        <f>I503*INDEX('Pliegos Tarifarios (Huechuraba)'!$C:$C,MATCH($B503,'Pliegos Tarifarios (Huechuraba)'!$A:$A,0))</f>
        <v>5835.7555199999997</v>
      </c>
      <c r="O503" s="19">
        <f>J503*INDEX('Pliegos Tarifarios (Huechuraba)'!$D:$D,MATCH($B503,'Pliegos Tarifarios (Huechuraba)'!$A:$A,0))</f>
        <v>24291.160349999998</v>
      </c>
      <c r="P503" s="19">
        <f>H503*INDEX('Pliegos Tarifarios (Huechuraba)'!$E:$E,MATCH($B503,'Pliegos Tarifarios (Huechuraba)'!$A:$A,0))</f>
        <v>8350.4678399999993</v>
      </c>
      <c r="Q503" s="19" cm="1">
        <f t="array" ref="Q503">H503*_xlfn.IFS(H503&lt;=350,INDEX('Pliegos Tarifarios (Huechuraba)'!$F:$F,MATCH($B503,'Pliegos Tarifarios (Huechuraba)'!$A:$A,0)),H503&lt;=500,INDEX('Pliegos Tarifarios (Huechuraba)'!$G:$G,MATCH($B503,'Pliegos Tarifarios (Huechuraba)'!$A:$A,0)),H503&lt;=1000,INDEX('Pliegos Tarifarios (Huechuraba)'!$H:$H,MATCH($B503,'Pliegos Tarifarios (Huechuraba)'!$A:$A,0)),H503&lt;=5000,INDEX('Pliegos Tarifarios (Huechuraba)'!$I:$I,MATCH($B503,'Pliegos Tarifarios (Huechuraba)'!$A:$A,0)),H503&gt;5000,INDEX('Pliegos Tarifarios (Huechuraba)'!$J:$J,MATCH($B503,'Pliegos Tarifarios (Huechuraba)'!$A:$A,0)))/1.19</f>
        <v>1503.762655462185</v>
      </c>
      <c r="R503" s="19">
        <f>INDEX('Pliegos Tarifarios (Huechuraba)'!$K:$K,MATCH($B503,'Pliegos Tarifarios (Huechuraba)'!$A:$A,0))</f>
        <v>729.75599999999997</v>
      </c>
      <c r="S503" s="36">
        <f t="shared" si="21"/>
        <v>125192.06744546218</v>
      </c>
      <c r="T503" s="36">
        <f t="shared" si="22"/>
        <v>23786.492814637815</v>
      </c>
      <c r="U503" s="19">
        <v>0</v>
      </c>
      <c r="V503" s="36">
        <f t="shared" si="23"/>
        <v>148978.5602601</v>
      </c>
    </row>
    <row r="504" spans="1:22" ht="23.4" thickBot="1" x14ac:dyDescent="0.35">
      <c r="A504" s="30" t="s">
        <v>152</v>
      </c>
      <c r="B504" s="31">
        <v>10</v>
      </c>
      <c r="C504" s="32" t="s">
        <v>15</v>
      </c>
      <c r="D504" s="31" t="s">
        <v>72</v>
      </c>
      <c r="E504" s="31" t="s">
        <v>73</v>
      </c>
      <c r="F504" s="32" t="s">
        <v>74</v>
      </c>
      <c r="G504" s="31" t="s">
        <v>33</v>
      </c>
      <c r="H504" s="31">
        <v>799.9</v>
      </c>
      <c r="I504" s="31">
        <v>2.13</v>
      </c>
      <c r="J504" s="31">
        <v>2.13</v>
      </c>
      <c r="K504" s="34">
        <v>1</v>
      </c>
      <c r="L504" s="31">
        <v>26.66</v>
      </c>
      <c r="M504" s="19">
        <f>H504*INDEX('Pliegos Tarifarios (Huechuraba)'!$B:$B,MATCH($B504,'Pliegos Tarifarios (Huechuraba)'!$A:$A,0))</f>
        <v>105397.2237</v>
      </c>
      <c r="N504" s="19">
        <f>I504*INDEX('Pliegos Tarifarios (Huechuraba)'!$C:$C,MATCH($B504,'Pliegos Tarifarios (Huechuraba)'!$A:$A,0))</f>
        <v>7398.9043199999996</v>
      </c>
      <c r="O504" s="19">
        <f>J504*INDEX('Pliegos Tarifarios (Huechuraba)'!$D:$D,MATCH($B504,'Pliegos Tarifarios (Huechuraba)'!$A:$A,0))</f>
        <v>30982.138649999997</v>
      </c>
      <c r="P504" s="19">
        <f>H504*INDEX('Pliegos Tarifarios (Huechuraba)'!$E:$E,MATCH($B504,'Pliegos Tarifarios (Huechuraba)'!$A:$A,0))</f>
        <v>10417.897599999998</v>
      </c>
      <c r="Q504" s="19" cm="1">
        <f t="array" ref="Q504">H504*_xlfn.IFS(H504&lt;=350,INDEX('Pliegos Tarifarios (Huechuraba)'!$F:$F,MATCH($B504,'Pliegos Tarifarios (Huechuraba)'!$A:$A,0)),H504&lt;=500,INDEX('Pliegos Tarifarios (Huechuraba)'!$G:$G,MATCH($B504,'Pliegos Tarifarios (Huechuraba)'!$A:$A,0)),H504&lt;=1000,INDEX('Pliegos Tarifarios (Huechuraba)'!$H:$H,MATCH($B504,'Pliegos Tarifarios (Huechuraba)'!$A:$A,0)),H504&lt;=5000,INDEX('Pliegos Tarifarios (Huechuraba)'!$I:$I,MATCH($B504,'Pliegos Tarifarios (Huechuraba)'!$A:$A,0)),H504&gt;5000,INDEX('Pliegos Tarifarios (Huechuraba)'!$J:$J,MATCH($B504,'Pliegos Tarifarios (Huechuraba)'!$A:$A,0)))/1.19</f>
        <v>1876.0679831932778</v>
      </c>
      <c r="R504" s="19">
        <f>INDEX('Pliegos Tarifarios (Huechuraba)'!$K:$K,MATCH($B504,'Pliegos Tarifarios (Huechuraba)'!$A:$A,0))</f>
        <v>729.75599999999997</v>
      </c>
      <c r="S504" s="36">
        <f t="shared" si="21"/>
        <v>156801.98825319327</v>
      </c>
      <c r="T504" s="36">
        <f t="shared" si="22"/>
        <v>29792.377768106722</v>
      </c>
      <c r="U504" s="19">
        <v>0</v>
      </c>
      <c r="V504" s="36">
        <f t="shared" si="23"/>
        <v>186594.3660213</v>
      </c>
    </row>
    <row r="505" spans="1:22" ht="23.4" thickBot="1" x14ac:dyDescent="0.35">
      <c r="A505" s="30" t="s">
        <v>152</v>
      </c>
      <c r="B505" s="31">
        <v>10</v>
      </c>
      <c r="C505" s="32" t="s">
        <v>15</v>
      </c>
      <c r="D505" s="31" t="s">
        <v>75</v>
      </c>
      <c r="E505" s="31" t="s">
        <v>76</v>
      </c>
      <c r="F505" s="32" t="s">
        <v>77</v>
      </c>
      <c r="G505" s="31" t="s">
        <v>19</v>
      </c>
      <c r="H505" s="33">
        <v>1281.71</v>
      </c>
      <c r="I505" s="31">
        <v>3.41</v>
      </c>
      <c r="J505" s="31">
        <v>3.38</v>
      </c>
      <c r="K505" s="34">
        <v>0.99099999999999999</v>
      </c>
      <c r="L505" s="31">
        <v>42.72</v>
      </c>
      <c r="M505" s="19">
        <f>H505*INDEX('Pliegos Tarifarios (Huechuraba)'!$B:$B,MATCH($B505,'Pliegos Tarifarios (Huechuraba)'!$A:$A,0))</f>
        <v>168881.95473</v>
      </c>
      <c r="N505" s="19">
        <f>I505*INDEX('Pliegos Tarifarios (Huechuraba)'!$C:$C,MATCH($B505,'Pliegos Tarifarios (Huechuraba)'!$A:$A,0))</f>
        <v>11845.194240000001</v>
      </c>
      <c r="O505" s="19">
        <f>J505*INDEX('Pliegos Tarifarios (Huechuraba)'!$D:$D,MATCH($B505,'Pliegos Tarifarios (Huechuraba)'!$A:$A,0))</f>
        <v>49164.144899999999</v>
      </c>
      <c r="P505" s="19">
        <f>H505*INDEX('Pliegos Tarifarios (Huechuraba)'!$E:$E,MATCH($B505,'Pliegos Tarifarios (Huechuraba)'!$A:$A,0))</f>
        <v>16692.991040000001</v>
      </c>
      <c r="Q505" s="19" cm="1">
        <f t="array" ref="Q505">H505*_xlfn.IFS(H505&lt;=350,INDEX('Pliegos Tarifarios (Huechuraba)'!$F:$F,MATCH($B505,'Pliegos Tarifarios (Huechuraba)'!$A:$A,0)),H505&lt;=500,INDEX('Pliegos Tarifarios (Huechuraba)'!$G:$G,MATCH($B505,'Pliegos Tarifarios (Huechuraba)'!$A:$A,0)),H505&lt;=1000,INDEX('Pliegos Tarifarios (Huechuraba)'!$H:$H,MATCH($B505,'Pliegos Tarifarios (Huechuraba)'!$A:$A,0)),H505&lt;=5000,INDEX('Pliegos Tarifarios (Huechuraba)'!$I:$I,MATCH($B505,'Pliegos Tarifarios (Huechuraba)'!$A:$A,0)),H505&gt;5000,INDEX('Pliegos Tarifarios (Huechuraba)'!$J:$J,MATCH($B505,'Pliegos Tarifarios (Huechuraba)'!$A:$A,0)))/1.19</f>
        <v>3846.2070672268906</v>
      </c>
      <c r="R505" s="19">
        <f>INDEX('Pliegos Tarifarios (Huechuraba)'!$K:$K,MATCH($B505,'Pliegos Tarifarios (Huechuraba)'!$A:$A,0))</f>
        <v>729.75599999999997</v>
      </c>
      <c r="S505" s="36">
        <f t="shared" si="21"/>
        <v>251160.24797722689</v>
      </c>
      <c r="T505" s="36">
        <f t="shared" si="22"/>
        <v>47720.447115673109</v>
      </c>
      <c r="U505" s="19">
        <v>0</v>
      </c>
      <c r="V505" s="36">
        <f t="shared" si="23"/>
        <v>298880.69509290002</v>
      </c>
    </row>
    <row r="506" spans="1:22" ht="23.4" thickBot="1" x14ac:dyDescent="0.35">
      <c r="A506" s="30" t="s">
        <v>152</v>
      </c>
      <c r="B506" s="31">
        <v>10</v>
      </c>
      <c r="C506" s="32" t="s">
        <v>15</v>
      </c>
      <c r="D506" s="31" t="s">
        <v>78</v>
      </c>
      <c r="E506" s="31" t="s">
        <v>76</v>
      </c>
      <c r="F506" s="32" t="s">
        <v>79</v>
      </c>
      <c r="G506" s="31" t="s">
        <v>19</v>
      </c>
      <c r="H506" s="31">
        <v>960.22</v>
      </c>
      <c r="I506" s="31">
        <v>2.54</v>
      </c>
      <c r="J506" s="31">
        <v>2.54</v>
      </c>
      <c r="K506" s="34">
        <v>1</v>
      </c>
      <c r="L506" s="31">
        <v>32.01</v>
      </c>
      <c r="M506" s="19">
        <f>H506*INDEX('Pliegos Tarifarios (Huechuraba)'!$B:$B,MATCH($B506,'Pliegos Tarifarios (Huechuraba)'!$A:$A,0))</f>
        <v>126521.46786</v>
      </c>
      <c r="N506" s="19">
        <f>I506*INDEX('Pliegos Tarifarios (Huechuraba)'!$C:$C,MATCH($B506,'Pliegos Tarifarios (Huechuraba)'!$A:$A,0))</f>
        <v>8823.1065600000002</v>
      </c>
      <c r="O506" s="19">
        <f>J506*INDEX('Pliegos Tarifarios (Huechuraba)'!$D:$D,MATCH($B506,'Pliegos Tarifarios (Huechuraba)'!$A:$A,0))</f>
        <v>36945.8367</v>
      </c>
      <c r="P506" s="19">
        <f>H506*INDEX('Pliegos Tarifarios (Huechuraba)'!$E:$E,MATCH($B506,'Pliegos Tarifarios (Huechuraba)'!$A:$A,0))</f>
        <v>12505.905279999999</v>
      </c>
      <c r="Q506" s="19" cm="1">
        <f t="array" ref="Q506">H506*_xlfn.IFS(H506&lt;=350,INDEX('Pliegos Tarifarios (Huechuraba)'!$F:$F,MATCH($B506,'Pliegos Tarifarios (Huechuraba)'!$A:$A,0)),H506&lt;=500,INDEX('Pliegos Tarifarios (Huechuraba)'!$G:$G,MATCH($B506,'Pliegos Tarifarios (Huechuraba)'!$A:$A,0)),H506&lt;=1000,INDEX('Pliegos Tarifarios (Huechuraba)'!$H:$H,MATCH($B506,'Pliegos Tarifarios (Huechuraba)'!$A:$A,0)),H506&lt;=5000,INDEX('Pliegos Tarifarios (Huechuraba)'!$I:$I,MATCH($B506,'Pliegos Tarifarios (Huechuraba)'!$A:$A,0)),H506&gt;5000,INDEX('Pliegos Tarifarios (Huechuraba)'!$J:$J,MATCH($B506,'Pliegos Tarifarios (Huechuraba)'!$A:$A,0)))/1.19</f>
        <v>2252.079008403362</v>
      </c>
      <c r="R506" s="19">
        <f>INDEX('Pliegos Tarifarios (Huechuraba)'!$K:$K,MATCH($B506,'Pliegos Tarifarios (Huechuraba)'!$A:$A,0))</f>
        <v>729.75599999999997</v>
      </c>
      <c r="S506" s="36">
        <f t="shared" si="21"/>
        <v>187778.15140840336</v>
      </c>
      <c r="T506" s="36">
        <f t="shared" si="22"/>
        <v>35677.848767596639</v>
      </c>
      <c r="U506" s="19">
        <v>0</v>
      </c>
      <c r="V506" s="36">
        <f t="shared" si="23"/>
        <v>223456.000176</v>
      </c>
    </row>
    <row r="507" spans="1:22" ht="23.4" thickBot="1" x14ac:dyDescent="0.35">
      <c r="A507" s="30" t="s">
        <v>152</v>
      </c>
      <c r="B507" s="31">
        <v>10</v>
      </c>
      <c r="C507" s="32" t="s">
        <v>15</v>
      </c>
      <c r="D507" s="31" t="s">
        <v>80</v>
      </c>
      <c r="E507" s="31" t="s">
        <v>81</v>
      </c>
      <c r="F507" s="32" t="s">
        <v>82</v>
      </c>
      <c r="G507" s="31" t="s">
        <v>19</v>
      </c>
      <c r="H507" s="31">
        <v>800.56</v>
      </c>
      <c r="I507" s="31">
        <v>2.14</v>
      </c>
      <c r="J507" s="31">
        <v>2.06</v>
      </c>
      <c r="K507" s="34">
        <v>0.96</v>
      </c>
      <c r="L507" s="31">
        <v>26.69</v>
      </c>
      <c r="M507" s="19">
        <f>H507*INDEX('Pliegos Tarifarios (Huechuraba)'!$B:$B,MATCH($B507,'Pliegos Tarifarios (Huechuraba)'!$A:$A,0))</f>
        <v>105484.18728</v>
      </c>
      <c r="N507" s="19">
        <f>I507*INDEX('Pliegos Tarifarios (Huechuraba)'!$C:$C,MATCH($B507,'Pliegos Tarifarios (Huechuraba)'!$A:$A,0))</f>
        <v>7433.6409600000006</v>
      </c>
      <c r="O507" s="19">
        <f>J507*INDEX('Pliegos Tarifarios (Huechuraba)'!$D:$D,MATCH($B507,'Pliegos Tarifarios (Huechuraba)'!$A:$A,0))</f>
        <v>29963.9463</v>
      </c>
      <c r="P507" s="19">
        <f>H507*INDEX('Pliegos Tarifarios (Huechuraba)'!$E:$E,MATCH($B507,'Pliegos Tarifarios (Huechuraba)'!$A:$A,0))</f>
        <v>10426.493439999998</v>
      </c>
      <c r="Q507" s="19" cm="1">
        <f t="array" ref="Q507">H507*_xlfn.IFS(H507&lt;=350,INDEX('Pliegos Tarifarios (Huechuraba)'!$F:$F,MATCH($B507,'Pliegos Tarifarios (Huechuraba)'!$A:$A,0)),H507&lt;=500,INDEX('Pliegos Tarifarios (Huechuraba)'!$G:$G,MATCH($B507,'Pliegos Tarifarios (Huechuraba)'!$A:$A,0)),H507&lt;=1000,INDEX('Pliegos Tarifarios (Huechuraba)'!$H:$H,MATCH($B507,'Pliegos Tarifarios (Huechuraba)'!$A:$A,0)),H507&lt;=5000,INDEX('Pliegos Tarifarios (Huechuraba)'!$I:$I,MATCH($B507,'Pliegos Tarifarios (Huechuraba)'!$A:$A,0)),H507&gt;5000,INDEX('Pliegos Tarifarios (Huechuraba)'!$J:$J,MATCH($B507,'Pliegos Tarifarios (Huechuraba)'!$A:$A,0)))/1.19</f>
        <v>1877.6159327731093</v>
      </c>
      <c r="R507" s="19">
        <f>INDEX('Pliegos Tarifarios (Huechuraba)'!$K:$K,MATCH($B507,'Pliegos Tarifarios (Huechuraba)'!$A:$A,0))</f>
        <v>729.75599999999997</v>
      </c>
      <c r="S507" s="36">
        <f t="shared" si="21"/>
        <v>155915.6399127731</v>
      </c>
      <c r="T507" s="36">
        <f t="shared" si="22"/>
        <v>29623.97158342689</v>
      </c>
      <c r="U507" s="19">
        <v>0</v>
      </c>
      <c r="V507" s="36">
        <f t="shared" si="23"/>
        <v>185539.6114962</v>
      </c>
    </row>
    <row r="508" spans="1:22" ht="23.4" thickBot="1" x14ac:dyDescent="0.35">
      <c r="A508" s="30" t="s">
        <v>152</v>
      </c>
      <c r="B508" s="31">
        <v>10</v>
      </c>
      <c r="C508" s="32" t="s">
        <v>15</v>
      </c>
      <c r="D508" s="31" t="s">
        <v>83</v>
      </c>
      <c r="E508" s="31" t="s">
        <v>81</v>
      </c>
      <c r="F508" s="32" t="s">
        <v>84</v>
      </c>
      <c r="G508" s="31" t="s">
        <v>19</v>
      </c>
      <c r="H508" s="31">
        <v>533.98</v>
      </c>
      <c r="I508" s="31">
        <v>1.45</v>
      </c>
      <c r="J508" s="31">
        <v>1.39</v>
      </c>
      <c r="K508" s="34">
        <v>0.95899999999999996</v>
      </c>
      <c r="L508" s="31">
        <v>17.8</v>
      </c>
      <c r="M508" s="19">
        <f>H508*INDEX('Pliegos Tarifarios (Huechuraba)'!$B:$B,MATCH($B508,'Pliegos Tarifarios (Huechuraba)'!$A:$A,0))</f>
        <v>70358.80674</v>
      </c>
      <c r="N508" s="19">
        <f>I508*INDEX('Pliegos Tarifarios (Huechuraba)'!$C:$C,MATCH($B508,'Pliegos Tarifarios (Huechuraba)'!$A:$A,0))</f>
        <v>5036.8128000000006</v>
      </c>
      <c r="O508" s="19">
        <f>J508*INDEX('Pliegos Tarifarios (Huechuraba)'!$D:$D,MATCH($B508,'Pliegos Tarifarios (Huechuraba)'!$A:$A,0))</f>
        <v>20218.390949999997</v>
      </c>
      <c r="P508" s="19">
        <f>H508*INDEX('Pliegos Tarifarios (Huechuraba)'!$E:$E,MATCH($B508,'Pliegos Tarifarios (Huechuraba)'!$A:$A,0))</f>
        <v>6954.5555199999999</v>
      </c>
      <c r="Q508" s="19" cm="1">
        <f t="array" ref="Q508">H508*_xlfn.IFS(H508&lt;=350,INDEX('Pliegos Tarifarios (Huechuraba)'!$F:$F,MATCH($B508,'Pliegos Tarifarios (Huechuraba)'!$A:$A,0)),H508&lt;=500,INDEX('Pliegos Tarifarios (Huechuraba)'!$G:$G,MATCH($B508,'Pliegos Tarifarios (Huechuraba)'!$A:$A,0)),H508&lt;=1000,INDEX('Pliegos Tarifarios (Huechuraba)'!$H:$H,MATCH($B508,'Pliegos Tarifarios (Huechuraba)'!$A:$A,0)),H508&lt;=5000,INDEX('Pliegos Tarifarios (Huechuraba)'!$I:$I,MATCH($B508,'Pliegos Tarifarios (Huechuraba)'!$A:$A,0)),H508&gt;5000,INDEX('Pliegos Tarifarios (Huechuraba)'!$J:$J,MATCH($B508,'Pliegos Tarifarios (Huechuraba)'!$A:$A,0)))/1.19</f>
        <v>1252.3850252100842</v>
      </c>
      <c r="R508" s="19">
        <f>INDEX('Pliegos Tarifarios (Huechuraba)'!$K:$K,MATCH($B508,'Pliegos Tarifarios (Huechuraba)'!$A:$A,0))</f>
        <v>729.75599999999997</v>
      </c>
      <c r="S508" s="36">
        <f t="shared" si="21"/>
        <v>104550.70703521007</v>
      </c>
      <c r="T508" s="36">
        <f t="shared" si="22"/>
        <v>19864.634336689913</v>
      </c>
      <c r="U508" s="19">
        <v>0</v>
      </c>
      <c r="V508" s="36">
        <f t="shared" si="23"/>
        <v>124415.34137189998</v>
      </c>
    </row>
    <row r="509" spans="1:22" ht="23.4" thickBot="1" x14ac:dyDescent="0.35">
      <c r="A509" s="30" t="s">
        <v>152</v>
      </c>
      <c r="B509" s="31">
        <v>10</v>
      </c>
      <c r="C509" s="32" t="s">
        <v>15</v>
      </c>
      <c r="D509" s="31" t="s">
        <v>85</v>
      </c>
      <c r="E509" s="31" t="s">
        <v>81</v>
      </c>
      <c r="F509" s="32" t="s">
        <v>86</v>
      </c>
      <c r="G509" s="31" t="s">
        <v>19</v>
      </c>
      <c r="H509" s="31">
        <v>640.79</v>
      </c>
      <c r="I509" s="31">
        <v>1.7</v>
      </c>
      <c r="J509" s="31">
        <v>1.7</v>
      </c>
      <c r="K509" s="34">
        <v>1</v>
      </c>
      <c r="L509" s="31">
        <v>21.36</v>
      </c>
      <c r="M509" s="19">
        <f>H509*INDEX('Pliegos Tarifarios (Huechuraba)'!$B:$B,MATCH($B509,'Pliegos Tarifarios (Huechuraba)'!$A:$A,0))</f>
        <v>84432.412769999995</v>
      </c>
      <c r="N509" s="19">
        <f>I509*INDEX('Pliegos Tarifarios (Huechuraba)'!$C:$C,MATCH($B509,'Pliegos Tarifarios (Huechuraba)'!$A:$A,0))</f>
        <v>5905.2287999999999</v>
      </c>
      <c r="O509" s="19">
        <f>J509*INDEX('Pliegos Tarifarios (Huechuraba)'!$D:$D,MATCH($B509,'Pliegos Tarifarios (Huechuraba)'!$A:$A,0))</f>
        <v>24727.5285</v>
      </c>
      <c r="P509" s="19">
        <f>H509*INDEX('Pliegos Tarifarios (Huechuraba)'!$E:$E,MATCH($B509,'Pliegos Tarifarios (Huechuraba)'!$A:$A,0))</f>
        <v>8345.6489599999986</v>
      </c>
      <c r="Q509" s="19" cm="1">
        <f t="array" ref="Q509">H509*_xlfn.IFS(H509&lt;=350,INDEX('Pliegos Tarifarios (Huechuraba)'!$F:$F,MATCH($B509,'Pliegos Tarifarios (Huechuraba)'!$A:$A,0)),H509&lt;=500,INDEX('Pliegos Tarifarios (Huechuraba)'!$G:$G,MATCH($B509,'Pliegos Tarifarios (Huechuraba)'!$A:$A,0)),H509&lt;=1000,INDEX('Pliegos Tarifarios (Huechuraba)'!$H:$H,MATCH($B509,'Pliegos Tarifarios (Huechuraba)'!$A:$A,0)),H509&lt;=5000,INDEX('Pliegos Tarifarios (Huechuraba)'!$I:$I,MATCH($B509,'Pliegos Tarifarios (Huechuraba)'!$A:$A,0)),H509&gt;5000,INDEX('Pliegos Tarifarios (Huechuraba)'!$J:$J,MATCH($B509,'Pliegos Tarifarios (Huechuraba)'!$A:$A,0)))/1.19</f>
        <v>1502.8948655462186</v>
      </c>
      <c r="R509" s="19">
        <f>INDEX('Pliegos Tarifarios (Huechuraba)'!$K:$K,MATCH($B509,'Pliegos Tarifarios (Huechuraba)'!$A:$A,0))</f>
        <v>729.75599999999997</v>
      </c>
      <c r="S509" s="36">
        <f t="shared" si="21"/>
        <v>125643.46989554619</v>
      </c>
      <c r="T509" s="36">
        <f t="shared" si="22"/>
        <v>23872.259280153776</v>
      </c>
      <c r="U509" s="19">
        <v>0</v>
      </c>
      <c r="V509" s="36">
        <f t="shared" si="23"/>
        <v>149515.72917569996</v>
      </c>
    </row>
    <row r="510" spans="1:22" ht="23.4" thickBot="1" x14ac:dyDescent="0.35">
      <c r="A510" s="30" t="s">
        <v>152</v>
      </c>
      <c r="B510" s="31">
        <v>10</v>
      </c>
      <c r="C510" s="32" t="s">
        <v>15</v>
      </c>
      <c r="D510" s="31" t="s">
        <v>87</v>
      </c>
      <c r="E510" s="31" t="s">
        <v>81</v>
      </c>
      <c r="F510" s="32" t="s">
        <v>88</v>
      </c>
      <c r="G510" s="31" t="s">
        <v>19</v>
      </c>
      <c r="H510" s="31">
        <v>640.74</v>
      </c>
      <c r="I510" s="31">
        <v>1.73</v>
      </c>
      <c r="J510" s="31">
        <v>1.71</v>
      </c>
      <c r="K510" s="34">
        <v>0.98599999999999999</v>
      </c>
      <c r="L510" s="31">
        <v>21.36</v>
      </c>
      <c r="M510" s="19">
        <f>H510*INDEX('Pliegos Tarifarios (Huechuraba)'!$B:$B,MATCH($B510,'Pliegos Tarifarios (Huechuraba)'!$A:$A,0))</f>
        <v>84425.824619999999</v>
      </c>
      <c r="N510" s="19">
        <f>I510*INDEX('Pliegos Tarifarios (Huechuraba)'!$C:$C,MATCH($B510,'Pliegos Tarifarios (Huechuraba)'!$A:$A,0))</f>
        <v>6009.4387200000001</v>
      </c>
      <c r="O510" s="19">
        <f>J510*INDEX('Pliegos Tarifarios (Huechuraba)'!$D:$D,MATCH($B510,'Pliegos Tarifarios (Huechuraba)'!$A:$A,0))</f>
        <v>24872.984549999997</v>
      </c>
      <c r="P510" s="19">
        <f>H510*INDEX('Pliegos Tarifarios (Huechuraba)'!$E:$E,MATCH($B510,'Pliegos Tarifarios (Huechuraba)'!$A:$A,0))</f>
        <v>8344.9977600000002</v>
      </c>
      <c r="Q510" s="19" cm="1">
        <f t="array" ref="Q510">H510*_xlfn.IFS(H510&lt;=350,INDEX('Pliegos Tarifarios (Huechuraba)'!$F:$F,MATCH($B510,'Pliegos Tarifarios (Huechuraba)'!$A:$A,0)),H510&lt;=500,INDEX('Pliegos Tarifarios (Huechuraba)'!$G:$G,MATCH($B510,'Pliegos Tarifarios (Huechuraba)'!$A:$A,0)),H510&lt;=1000,INDEX('Pliegos Tarifarios (Huechuraba)'!$H:$H,MATCH($B510,'Pliegos Tarifarios (Huechuraba)'!$A:$A,0)),H510&lt;=5000,INDEX('Pliegos Tarifarios (Huechuraba)'!$I:$I,MATCH($B510,'Pliegos Tarifarios (Huechuraba)'!$A:$A,0)),H510&gt;5000,INDEX('Pliegos Tarifarios (Huechuraba)'!$J:$J,MATCH($B510,'Pliegos Tarifarios (Huechuraba)'!$A:$A,0)))/1.19</f>
        <v>1502.7775966386557</v>
      </c>
      <c r="R510" s="19">
        <f>INDEX('Pliegos Tarifarios (Huechuraba)'!$K:$K,MATCH($B510,'Pliegos Tarifarios (Huechuraba)'!$A:$A,0))</f>
        <v>729.75599999999997</v>
      </c>
      <c r="S510" s="36">
        <f t="shared" si="21"/>
        <v>125885.77924663865</v>
      </c>
      <c r="T510" s="36">
        <f t="shared" si="22"/>
        <v>23918.298056861342</v>
      </c>
      <c r="U510" s="19">
        <v>0</v>
      </c>
      <c r="V510" s="36">
        <f t="shared" si="23"/>
        <v>149804.07730349997</v>
      </c>
    </row>
    <row r="511" spans="1:22" ht="23.4" thickBot="1" x14ac:dyDescent="0.35">
      <c r="A511" s="30" t="s">
        <v>152</v>
      </c>
      <c r="B511" s="31">
        <v>10</v>
      </c>
      <c r="C511" s="32" t="s">
        <v>15</v>
      </c>
      <c r="D511" s="31" t="s">
        <v>89</v>
      </c>
      <c r="E511" s="31" t="s">
        <v>81</v>
      </c>
      <c r="F511" s="32" t="s">
        <v>90</v>
      </c>
      <c r="G511" s="31" t="s">
        <v>19</v>
      </c>
      <c r="H511" s="31">
        <v>642.25</v>
      </c>
      <c r="I511" s="31">
        <v>1.73</v>
      </c>
      <c r="J511" s="31">
        <v>1.69</v>
      </c>
      <c r="K511" s="34">
        <v>0.97699999999999998</v>
      </c>
      <c r="L511" s="31">
        <v>21.41</v>
      </c>
      <c r="M511" s="19">
        <f>H511*INDEX('Pliegos Tarifarios (Huechuraba)'!$B:$B,MATCH($B511,'Pliegos Tarifarios (Huechuraba)'!$A:$A,0))</f>
        <v>84624.786749999999</v>
      </c>
      <c r="N511" s="19">
        <f>I511*INDEX('Pliegos Tarifarios (Huechuraba)'!$C:$C,MATCH($B511,'Pliegos Tarifarios (Huechuraba)'!$A:$A,0))</f>
        <v>6009.4387200000001</v>
      </c>
      <c r="O511" s="19">
        <f>J511*INDEX('Pliegos Tarifarios (Huechuraba)'!$D:$D,MATCH($B511,'Pliegos Tarifarios (Huechuraba)'!$A:$A,0))</f>
        <v>24582.07245</v>
      </c>
      <c r="P511" s="19">
        <f>H511*INDEX('Pliegos Tarifarios (Huechuraba)'!$E:$E,MATCH($B511,'Pliegos Tarifarios (Huechuraba)'!$A:$A,0))</f>
        <v>8364.6639999999989</v>
      </c>
      <c r="Q511" s="19" cm="1">
        <f t="array" ref="Q511">H511*_xlfn.IFS(H511&lt;=350,INDEX('Pliegos Tarifarios (Huechuraba)'!$F:$F,MATCH($B511,'Pliegos Tarifarios (Huechuraba)'!$A:$A,0)),H511&lt;=500,INDEX('Pliegos Tarifarios (Huechuraba)'!$G:$G,MATCH($B511,'Pliegos Tarifarios (Huechuraba)'!$A:$A,0)),H511&lt;=1000,INDEX('Pliegos Tarifarios (Huechuraba)'!$H:$H,MATCH($B511,'Pliegos Tarifarios (Huechuraba)'!$A:$A,0)),H511&lt;=5000,INDEX('Pliegos Tarifarios (Huechuraba)'!$I:$I,MATCH($B511,'Pliegos Tarifarios (Huechuraba)'!$A:$A,0)),H511&gt;5000,INDEX('Pliegos Tarifarios (Huechuraba)'!$J:$J,MATCH($B511,'Pliegos Tarifarios (Huechuraba)'!$A:$A,0)))/1.19</f>
        <v>1506.3191176470591</v>
      </c>
      <c r="R511" s="19">
        <f>INDEX('Pliegos Tarifarios (Huechuraba)'!$K:$K,MATCH($B511,'Pliegos Tarifarios (Huechuraba)'!$A:$A,0))</f>
        <v>729.75599999999997</v>
      </c>
      <c r="S511" s="36">
        <f t="shared" si="21"/>
        <v>125817.03703764707</v>
      </c>
      <c r="T511" s="36">
        <f t="shared" si="22"/>
        <v>23905.237037152943</v>
      </c>
      <c r="U511" s="19">
        <v>0</v>
      </c>
      <c r="V511" s="36">
        <f t="shared" si="23"/>
        <v>149722.27407480002</v>
      </c>
    </row>
    <row r="512" spans="1:22" ht="23.4" thickBot="1" x14ac:dyDescent="0.35">
      <c r="A512" s="30" t="s">
        <v>152</v>
      </c>
      <c r="B512" s="31">
        <v>10</v>
      </c>
      <c r="C512" s="32" t="s">
        <v>15</v>
      </c>
      <c r="D512" s="31" t="s">
        <v>91</v>
      </c>
      <c r="E512" s="31" t="s">
        <v>81</v>
      </c>
      <c r="F512" s="32" t="s">
        <v>92</v>
      </c>
      <c r="G512" s="31" t="s">
        <v>19</v>
      </c>
      <c r="H512" s="31">
        <v>798.95</v>
      </c>
      <c r="I512" s="31">
        <v>2.17</v>
      </c>
      <c r="J512" s="31">
        <v>2.1</v>
      </c>
      <c r="K512" s="34">
        <v>0.96599999999999997</v>
      </c>
      <c r="L512" s="31">
        <v>26.63</v>
      </c>
      <c r="M512" s="19">
        <f>H512*INDEX('Pliegos Tarifarios (Huechuraba)'!$B:$B,MATCH($B512,'Pliegos Tarifarios (Huechuraba)'!$A:$A,0))</f>
        <v>105272.04885000001</v>
      </c>
      <c r="N512" s="19">
        <f>I512*INDEX('Pliegos Tarifarios (Huechuraba)'!$C:$C,MATCH($B512,'Pliegos Tarifarios (Huechuraba)'!$A:$A,0))</f>
        <v>7537.85088</v>
      </c>
      <c r="O512" s="19">
        <f>J512*INDEX('Pliegos Tarifarios (Huechuraba)'!$D:$D,MATCH($B512,'Pliegos Tarifarios (Huechuraba)'!$A:$A,0))</f>
        <v>30545.770499999999</v>
      </c>
      <c r="P512" s="19">
        <f>H512*INDEX('Pliegos Tarifarios (Huechuraba)'!$E:$E,MATCH($B512,'Pliegos Tarifarios (Huechuraba)'!$A:$A,0))</f>
        <v>10405.524799999999</v>
      </c>
      <c r="Q512" s="19" cm="1">
        <f t="array" ref="Q512">H512*_xlfn.IFS(H512&lt;=350,INDEX('Pliegos Tarifarios (Huechuraba)'!$F:$F,MATCH($B512,'Pliegos Tarifarios (Huechuraba)'!$A:$A,0)),H512&lt;=500,INDEX('Pliegos Tarifarios (Huechuraba)'!$G:$G,MATCH($B512,'Pliegos Tarifarios (Huechuraba)'!$A:$A,0)),H512&lt;=1000,INDEX('Pliegos Tarifarios (Huechuraba)'!$H:$H,MATCH($B512,'Pliegos Tarifarios (Huechuraba)'!$A:$A,0)),H512&lt;=5000,INDEX('Pliegos Tarifarios (Huechuraba)'!$I:$I,MATCH($B512,'Pliegos Tarifarios (Huechuraba)'!$A:$A,0)),H512&gt;5000,INDEX('Pliegos Tarifarios (Huechuraba)'!$J:$J,MATCH($B512,'Pliegos Tarifarios (Huechuraba)'!$A:$A,0)))/1.19</f>
        <v>1873.8398739495804</v>
      </c>
      <c r="R512" s="19">
        <f>INDEX('Pliegos Tarifarios (Huechuraba)'!$K:$K,MATCH($B512,'Pliegos Tarifarios (Huechuraba)'!$A:$A,0))</f>
        <v>729.75599999999997</v>
      </c>
      <c r="S512" s="36">
        <f t="shared" si="21"/>
        <v>156364.79090394959</v>
      </c>
      <c r="T512" s="36">
        <f t="shared" si="22"/>
        <v>29709.310271750423</v>
      </c>
      <c r="U512" s="19">
        <v>0</v>
      </c>
      <c r="V512" s="36">
        <f t="shared" si="23"/>
        <v>186074.10117570002</v>
      </c>
    </row>
    <row r="513" spans="1:22" ht="23.4" thickBot="1" x14ac:dyDescent="0.35">
      <c r="A513" s="30" t="s">
        <v>152</v>
      </c>
      <c r="B513" s="31">
        <v>10</v>
      </c>
      <c r="C513" s="32" t="s">
        <v>15</v>
      </c>
      <c r="D513" s="31" t="s">
        <v>93</v>
      </c>
      <c r="E513" s="31" t="s">
        <v>94</v>
      </c>
      <c r="F513" s="32" t="s">
        <v>95</v>
      </c>
      <c r="G513" s="31" t="s">
        <v>19</v>
      </c>
      <c r="H513" s="31">
        <v>640.55999999999995</v>
      </c>
      <c r="I513" s="31">
        <v>1.69</v>
      </c>
      <c r="J513" s="31">
        <v>1.65</v>
      </c>
      <c r="K513" s="34">
        <v>0.97699999999999998</v>
      </c>
      <c r="L513" s="31">
        <v>21.35</v>
      </c>
      <c r="M513" s="19">
        <f>H513*INDEX('Pliegos Tarifarios (Huechuraba)'!$B:$B,MATCH($B513,'Pliegos Tarifarios (Huechuraba)'!$A:$A,0))</f>
        <v>84402.107279999997</v>
      </c>
      <c r="N513" s="19">
        <f>I513*INDEX('Pliegos Tarifarios (Huechuraba)'!$C:$C,MATCH($B513,'Pliegos Tarifarios (Huechuraba)'!$A:$A,0))</f>
        <v>5870.4921599999998</v>
      </c>
      <c r="O513" s="19">
        <f>J513*INDEX('Pliegos Tarifarios (Huechuraba)'!$D:$D,MATCH($B513,'Pliegos Tarifarios (Huechuraba)'!$A:$A,0))</f>
        <v>24000.248249999997</v>
      </c>
      <c r="P513" s="19">
        <f>H513*INDEX('Pliegos Tarifarios (Huechuraba)'!$E:$E,MATCH($B513,'Pliegos Tarifarios (Huechuraba)'!$A:$A,0))</f>
        <v>8342.6534399999982</v>
      </c>
      <c r="Q513" s="19" cm="1">
        <f t="array" ref="Q513">H513*_xlfn.IFS(H513&lt;=350,INDEX('Pliegos Tarifarios (Huechuraba)'!$F:$F,MATCH($B513,'Pliegos Tarifarios (Huechuraba)'!$A:$A,0)),H513&lt;=500,INDEX('Pliegos Tarifarios (Huechuraba)'!$G:$G,MATCH($B513,'Pliegos Tarifarios (Huechuraba)'!$A:$A,0)),H513&lt;=1000,INDEX('Pliegos Tarifarios (Huechuraba)'!$H:$H,MATCH($B513,'Pliegos Tarifarios (Huechuraba)'!$A:$A,0)),H513&lt;=5000,INDEX('Pliegos Tarifarios (Huechuraba)'!$I:$I,MATCH($B513,'Pliegos Tarifarios (Huechuraba)'!$A:$A,0)),H513&gt;5000,INDEX('Pliegos Tarifarios (Huechuraba)'!$J:$J,MATCH($B513,'Pliegos Tarifarios (Huechuraba)'!$A:$A,0)))/1.19</f>
        <v>1502.3554285714285</v>
      </c>
      <c r="R513" s="19">
        <f>INDEX('Pliegos Tarifarios (Huechuraba)'!$K:$K,MATCH($B513,'Pliegos Tarifarios (Huechuraba)'!$A:$A,0))</f>
        <v>729.75599999999997</v>
      </c>
      <c r="S513" s="36">
        <f t="shared" si="21"/>
        <v>124847.61255857142</v>
      </c>
      <c r="T513" s="36">
        <f t="shared" si="22"/>
        <v>23721.046386128568</v>
      </c>
      <c r="U513" s="19">
        <v>0</v>
      </c>
      <c r="V513" s="36">
        <f t="shared" si="23"/>
        <v>148568.65894469997</v>
      </c>
    </row>
    <row r="514" spans="1:22" ht="23.4" thickBot="1" x14ac:dyDescent="0.35">
      <c r="A514" s="30" t="s">
        <v>152</v>
      </c>
      <c r="B514" s="31">
        <v>10</v>
      </c>
      <c r="C514" s="32" t="s">
        <v>15</v>
      </c>
      <c r="D514" s="31" t="s">
        <v>96</v>
      </c>
      <c r="E514" s="31" t="s">
        <v>97</v>
      </c>
      <c r="F514" s="32" t="s">
        <v>98</v>
      </c>
      <c r="G514" s="31" t="s">
        <v>19</v>
      </c>
      <c r="H514" s="31">
        <v>961.3</v>
      </c>
      <c r="I514" s="31">
        <v>2.61</v>
      </c>
      <c r="J514" s="31">
        <v>2.54</v>
      </c>
      <c r="K514" s="34">
        <v>0.97299999999999998</v>
      </c>
      <c r="L514" s="31">
        <v>32.04</v>
      </c>
      <c r="M514" s="19">
        <f>H514*INDEX('Pliegos Tarifarios (Huechuraba)'!$B:$B,MATCH($B514,'Pliegos Tarifarios (Huechuraba)'!$A:$A,0))</f>
        <v>126663.77189999999</v>
      </c>
      <c r="N514" s="19">
        <f>I514*INDEX('Pliegos Tarifarios (Huechuraba)'!$C:$C,MATCH($B514,'Pliegos Tarifarios (Huechuraba)'!$A:$A,0))</f>
        <v>9066.2630399999998</v>
      </c>
      <c r="O514" s="19">
        <f>J514*INDEX('Pliegos Tarifarios (Huechuraba)'!$D:$D,MATCH($B514,'Pliegos Tarifarios (Huechuraba)'!$A:$A,0))</f>
        <v>36945.8367</v>
      </c>
      <c r="P514" s="19">
        <f>H514*INDEX('Pliegos Tarifarios (Huechuraba)'!$E:$E,MATCH($B514,'Pliegos Tarifarios (Huechuraba)'!$A:$A,0))</f>
        <v>12519.971199999998</v>
      </c>
      <c r="Q514" s="19" cm="1">
        <f t="array" ref="Q514">H514*_xlfn.IFS(H514&lt;=350,INDEX('Pliegos Tarifarios (Huechuraba)'!$F:$F,MATCH($B514,'Pliegos Tarifarios (Huechuraba)'!$A:$A,0)),H514&lt;=500,INDEX('Pliegos Tarifarios (Huechuraba)'!$G:$G,MATCH($B514,'Pliegos Tarifarios (Huechuraba)'!$A:$A,0)),H514&lt;=1000,INDEX('Pliegos Tarifarios (Huechuraba)'!$H:$H,MATCH($B514,'Pliegos Tarifarios (Huechuraba)'!$A:$A,0)),H514&lt;=5000,INDEX('Pliegos Tarifarios (Huechuraba)'!$I:$I,MATCH($B514,'Pliegos Tarifarios (Huechuraba)'!$A:$A,0)),H514&gt;5000,INDEX('Pliegos Tarifarios (Huechuraba)'!$J:$J,MATCH($B514,'Pliegos Tarifarios (Huechuraba)'!$A:$A,0)))/1.19</f>
        <v>2254.6120168067232</v>
      </c>
      <c r="R514" s="19">
        <f>INDEX('Pliegos Tarifarios (Huechuraba)'!$K:$K,MATCH($B514,'Pliegos Tarifarios (Huechuraba)'!$A:$A,0))</f>
        <v>729.75599999999997</v>
      </c>
      <c r="S514" s="36">
        <f t="shared" si="21"/>
        <v>188180.21085680669</v>
      </c>
      <c r="T514" s="36">
        <f t="shared" si="22"/>
        <v>35754.240062793273</v>
      </c>
      <c r="U514" s="19">
        <v>0</v>
      </c>
      <c r="V514" s="36">
        <f t="shared" si="23"/>
        <v>223934.45091959997</v>
      </c>
    </row>
    <row r="515" spans="1:22" ht="23.4" thickBot="1" x14ac:dyDescent="0.35">
      <c r="A515" s="30" t="s">
        <v>152</v>
      </c>
      <c r="B515" s="31">
        <v>10</v>
      </c>
      <c r="C515" s="32" t="s">
        <v>15</v>
      </c>
      <c r="D515" s="31" t="s">
        <v>99</v>
      </c>
      <c r="E515" s="31" t="s">
        <v>94</v>
      </c>
      <c r="F515" s="32" t="s">
        <v>100</v>
      </c>
      <c r="G515" s="31" t="s">
        <v>19</v>
      </c>
      <c r="H515" s="31">
        <v>961.68</v>
      </c>
      <c r="I515" s="31">
        <v>2.56</v>
      </c>
      <c r="J515" s="31">
        <v>2.56</v>
      </c>
      <c r="K515" s="34">
        <v>1</v>
      </c>
      <c r="L515" s="31">
        <v>32.06</v>
      </c>
      <c r="M515" s="19">
        <f>H515*INDEX('Pliegos Tarifarios (Huechuraba)'!$B:$B,MATCH($B515,'Pliegos Tarifarios (Huechuraba)'!$A:$A,0))</f>
        <v>126713.84183999999</v>
      </c>
      <c r="N515" s="19">
        <f>I515*INDEX('Pliegos Tarifarios (Huechuraba)'!$C:$C,MATCH($B515,'Pliegos Tarifarios (Huechuraba)'!$A:$A,0))</f>
        <v>8892.5798400000003</v>
      </c>
      <c r="O515" s="19">
        <f>J515*INDEX('Pliegos Tarifarios (Huechuraba)'!$D:$D,MATCH($B515,'Pliegos Tarifarios (Huechuraba)'!$A:$A,0))</f>
        <v>37236.748800000001</v>
      </c>
      <c r="P515" s="19">
        <f>H515*INDEX('Pliegos Tarifarios (Huechuraba)'!$E:$E,MATCH($B515,'Pliegos Tarifarios (Huechuraba)'!$A:$A,0))</f>
        <v>12524.920319999999</v>
      </c>
      <c r="Q515" s="19" cm="1">
        <f t="array" ref="Q515">H515*_xlfn.IFS(H515&lt;=350,INDEX('Pliegos Tarifarios (Huechuraba)'!$F:$F,MATCH($B515,'Pliegos Tarifarios (Huechuraba)'!$A:$A,0)),H515&lt;=500,INDEX('Pliegos Tarifarios (Huechuraba)'!$G:$G,MATCH($B515,'Pliegos Tarifarios (Huechuraba)'!$A:$A,0)),H515&lt;=1000,INDEX('Pliegos Tarifarios (Huechuraba)'!$H:$H,MATCH($B515,'Pliegos Tarifarios (Huechuraba)'!$A:$A,0)),H515&lt;=5000,INDEX('Pliegos Tarifarios (Huechuraba)'!$I:$I,MATCH($B515,'Pliegos Tarifarios (Huechuraba)'!$A:$A,0)),H515&gt;5000,INDEX('Pliegos Tarifarios (Huechuraba)'!$J:$J,MATCH($B515,'Pliegos Tarifarios (Huechuraba)'!$A:$A,0)))/1.19</f>
        <v>2255.503260504202</v>
      </c>
      <c r="R515" s="19">
        <f>INDEX('Pliegos Tarifarios (Huechuraba)'!$K:$K,MATCH($B515,'Pliegos Tarifarios (Huechuraba)'!$A:$A,0))</f>
        <v>729.75599999999997</v>
      </c>
      <c r="S515" s="36">
        <f t="shared" si="21"/>
        <v>188353.35006050419</v>
      </c>
      <c r="T515" s="36">
        <f t="shared" si="22"/>
        <v>35787.136511495795</v>
      </c>
      <c r="U515" s="19">
        <v>0</v>
      </c>
      <c r="V515" s="36">
        <f t="shared" si="23"/>
        <v>224140.48657199999</v>
      </c>
    </row>
    <row r="516" spans="1:22" ht="23.4" thickBot="1" x14ac:dyDescent="0.35">
      <c r="A516" s="30" t="s">
        <v>152</v>
      </c>
      <c r="B516" s="31">
        <v>10</v>
      </c>
      <c r="C516" s="32" t="s">
        <v>15</v>
      </c>
      <c r="D516" s="31" t="s">
        <v>101</v>
      </c>
      <c r="E516" s="31" t="s">
        <v>102</v>
      </c>
      <c r="F516" s="32" t="s">
        <v>103</v>
      </c>
      <c r="G516" s="31" t="s">
        <v>19</v>
      </c>
      <c r="H516" s="33">
        <v>2563.67</v>
      </c>
      <c r="I516" s="31">
        <v>6.77</v>
      </c>
      <c r="J516" s="31">
        <v>6.77</v>
      </c>
      <c r="K516" s="34">
        <v>1</v>
      </c>
      <c r="L516" s="31">
        <v>85.46</v>
      </c>
      <c r="M516" s="19">
        <f>H516*INDEX('Pliegos Tarifarios (Huechuraba)'!$B:$B,MATCH($B516,'Pliegos Tarifarios (Huechuraba)'!$A:$A,0))</f>
        <v>337796.85021</v>
      </c>
      <c r="N516" s="19">
        <f>I516*INDEX('Pliegos Tarifarios (Huechuraba)'!$C:$C,MATCH($B516,'Pliegos Tarifarios (Huechuraba)'!$A:$A,0))</f>
        <v>23516.705279999998</v>
      </c>
      <c r="O516" s="19">
        <f>J516*INDEX('Pliegos Tarifarios (Huechuraba)'!$D:$D,MATCH($B516,'Pliegos Tarifarios (Huechuraba)'!$A:$A,0))</f>
        <v>98473.745849999992</v>
      </c>
      <c r="P516" s="19">
        <f>H516*INDEX('Pliegos Tarifarios (Huechuraba)'!$E:$E,MATCH($B516,'Pliegos Tarifarios (Huechuraba)'!$A:$A,0))</f>
        <v>33389.238079999996</v>
      </c>
      <c r="Q516" s="19" cm="1">
        <f t="array" ref="Q516">H516*_xlfn.IFS(H516&lt;=350,INDEX('Pliegos Tarifarios (Huechuraba)'!$F:$F,MATCH($B516,'Pliegos Tarifarios (Huechuraba)'!$A:$A,0)),H516&lt;=500,INDEX('Pliegos Tarifarios (Huechuraba)'!$G:$G,MATCH($B516,'Pliegos Tarifarios (Huechuraba)'!$A:$A,0)),H516&lt;=1000,INDEX('Pliegos Tarifarios (Huechuraba)'!$H:$H,MATCH($B516,'Pliegos Tarifarios (Huechuraba)'!$A:$A,0)),H516&lt;=5000,INDEX('Pliegos Tarifarios (Huechuraba)'!$I:$I,MATCH($B516,'Pliegos Tarifarios (Huechuraba)'!$A:$A,0)),H516&gt;5000,INDEX('Pliegos Tarifarios (Huechuraba)'!$J:$J,MATCH($B516,'Pliegos Tarifarios (Huechuraba)'!$A:$A,0)))/1.19</f>
        <v>7693.1643445378159</v>
      </c>
      <c r="R516" s="19">
        <f>INDEX('Pliegos Tarifarios (Huechuraba)'!$K:$K,MATCH($B516,'Pliegos Tarifarios (Huechuraba)'!$A:$A,0))</f>
        <v>729.75599999999997</v>
      </c>
      <c r="S516" s="36">
        <f t="shared" si="21"/>
        <v>501599.45976453781</v>
      </c>
      <c r="T516" s="36">
        <f t="shared" si="22"/>
        <v>95303.89735526219</v>
      </c>
      <c r="U516" s="19">
        <v>0</v>
      </c>
      <c r="V516" s="36">
        <f t="shared" si="23"/>
        <v>596903.35711980006</v>
      </c>
    </row>
    <row r="517" spans="1:22" ht="23.4" thickBot="1" x14ac:dyDescent="0.35">
      <c r="A517" s="30" t="s">
        <v>152</v>
      </c>
      <c r="B517" s="31">
        <v>10</v>
      </c>
      <c r="C517" s="32" t="s">
        <v>15</v>
      </c>
      <c r="D517" s="31" t="s">
        <v>104</v>
      </c>
      <c r="E517" s="31" t="s">
        <v>105</v>
      </c>
      <c r="F517" s="32" t="s">
        <v>106</v>
      </c>
      <c r="G517" s="31" t="s">
        <v>19</v>
      </c>
      <c r="H517" s="33">
        <v>1921.66</v>
      </c>
      <c r="I517" s="31">
        <v>5.0599999999999996</v>
      </c>
      <c r="J517" s="31">
        <v>4.99</v>
      </c>
      <c r="K517" s="34">
        <v>0.98599999999999999</v>
      </c>
      <c r="L517" s="31">
        <v>64.06</v>
      </c>
      <c r="M517" s="19">
        <f>H517*INDEX('Pliegos Tarifarios (Huechuraba)'!$B:$B,MATCH($B517,'Pliegos Tarifarios (Huechuraba)'!$A:$A,0))</f>
        <v>253203.68658000001</v>
      </c>
      <c r="N517" s="19">
        <f>I517*INDEX('Pliegos Tarifarios (Huechuraba)'!$C:$C,MATCH($B517,'Pliegos Tarifarios (Huechuraba)'!$A:$A,0))</f>
        <v>17576.739839999998</v>
      </c>
      <c r="O517" s="19">
        <f>J517*INDEX('Pliegos Tarifarios (Huechuraba)'!$D:$D,MATCH($B517,'Pliegos Tarifarios (Huechuraba)'!$A:$A,0))</f>
        <v>72582.568950000001</v>
      </c>
      <c r="P517" s="19">
        <f>H517*INDEX('Pliegos Tarifarios (Huechuraba)'!$E:$E,MATCH($B517,'Pliegos Tarifarios (Huechuraba)'!$A:$A,0))</f>
        <v>25027.699840000001</v>
      </c>
      <c r="Q517" s="19" cm="1">
        <f t="array" ref="Q517">H517*_xlfn.IFS(H517&lt;=350,INDEX('Pliegos Tarifarios (Huechuraba)'!$F:$F,MATCH($B517,'Pliegos Tarifarios (Huechuraba)'!$A:$A,0)),H517&lt;=500,INDEX('Pliegos Tarifarios (Huechuraba)'!$G:$G,MATCH($B517,'Pliegos Tarifarios (Huechuraba)'!$A:$A,0)),H517&lt;=1000,INDEX('Pliegos Tarifarios (Huechuraba)'!$H:$H,MATCH($B517,'Pliegos Tarifarios (Huechuraba)'!$A:$A,0)),H517&lt;=5000,INDEX('Pliegos Tarifarios (Huechuraba)'!$I:$I,MATCH($B517,'Pliegos Tarifarios (Huechuraba)'!$A:$A,0)),H517&gt;5000,INDEX('Pliegos Tarifarios (Huechuraba)'!$J:$J,MATCH($B517,'Pliegos Tarifarios (Huechuraba)'!$A:$A,0)))/1.19</f>
        <v>5766.5948403361344</v>
      </c>
      <c r="R517" s="19">
        <f>INDEX('Pliegos Tarifarios (Huechuraba)'!$K:$K,MATCH($B517,'Pliegos Tarifarios (Huechuraba)'!$A:$A,0))</f>
        <v>729.75599999999997</v>
      </c>
      <c r="S517" s="36">
        <f t="shared" ref="S517:S580" si="24">SUM(M517:R517)</f>
        <v>374887.04605033615</v>
      </c>
      <c r="T517" s="36">
        <f t="shared" ref="T517:T580" si="25">S517*0.19</f>
        <v>71228.538749563872</v>
      </c>
      <c r="U517" s="19">
        <v>0</v>
      </c>
      <c r="V517" s="36">
        <f t="shared" ref="V517:V580" si="26">SUM(S517:T517)</f>
        <v>446115.58479990001</v>
      </c>
    </row>
    <row r="518" spans="1:22" ht="23.4" thickBot="1" x14ac:dyDescent="0.35">
      <c r="A518" s="30" t="s">
        <v>152</v>
      </c>
      <c r="B518" s="31">
        <v>10</v>
      </c>
      <c r="C518" s="32" t="s">
        <v>15</v>
      </c>
      <c r="D518" s="31" t="s">
        <v>107</v>
      </c>
      <c r="E518" s="31" t="s">
        <v>108</v>
      </c>
      <c r="F518" s="32" t="s">
        <v>109</v>
      </c>
      <c r="G518" s="31" t="s">
        <v>33</v>
      </c>
      <c r="H518" s="31">
        <v>640.61</v>
      </c>
      <c r="I518" s="31">
        <v>1.72</v>
      </c>
      <c r="J518" s="31">
        <v>1.72</v>
      </c>
      <c r="K518" s="34">
        <v>1</v>
      </c>
      <c r="L518" s="31">
        <v>21.35</v>
      </c>
      <c r="M518" s="19">
        <f>H518*INDEX('Pliegos Tarifarios (Huechuraba)'!$B:$B,MATCH($B518,'Pliegos Tarifarios (Huechuraba)'!$A:$A,0))</f>
        <v>84408.695430000007</v>
      </c>
      <c r="N518" s="19">
        <f>I518*INDEX('Pliegos Tarifarios (Huechuraba)'!$C:$C,MATCH($B518,'Pliegos Tarifarios (Huechuraba)'!$A:$A,0))</f>
        <v>5974.70208</v>
      </c>
      <c r="O518" s="19">
        <f>J518*INDEX('Pliegos Tarifarios (Huechuraba)'!$D:$D,MATCH($B518,'Pliegos Tarifarios (Huechuraba)'!$A:$A,0))</f>
        <v>25018.440599999998</v>
      </c>
      <c r="P518" s="19">
        <f>H518*INDEX('Pliegos Tarifarios (Huechuraba)'!$E:$E,MATCH($B518,'Pliegos Tarifarios (Huechuraba)'!$A:$A,0))</f>
        <v>8343.3046400000003</v>
      </c>
      <c r="Q518" s="19" cm="1">
        <f t="array" ref="Q518">H518*_xlfn.IFS(H518&lt;=350,INDEX('Pliegos Tarifarios (Huechuraba)'!$F:$F,MATCH($B518,'Pliegos Tarifarios (Huechuraba)'!$A:$A,0)),H518&lt;=500,INDEX('Pliegos Tarifarios (Huechuraba)'!$G:$G,MATCH($B518,'Pliegos Tarifarios (Huechuraba)'!$A:$A,0)),H518&lt;=1000,INDEX('Pliegos Tarifarios (Huechuraba)'!$H:$H,MATCH($B518,'Pliegos Tarifarios (Huechuraba)'!$A:$A,0)),H518&lt;=5000,INDEX('Pliegos Tarifarios (Huechuraba)'!$I:$I,MATCH($B518,'Pliegos Tarifarios (Huechuraba)'!$A:$A,0)),H518&gt;5000,INDEX('Pliegos Tarifarios (Huechuraba)'!$J:$J,MATCH($B518,'Pliegos Tarifarios (Huechuraba)'!$A:$A,0)))/1.19</f>
        <v>1502.4726974789919</v>
      </c>
      <c r="R518" s="19">
        <f>INDEX('Pliegos Tarifarios (Huechuraba)'!$K:$K,MATCH($B518,'Pliegos Tarifarios (Huechuraba)'!$A:$A,0))</f>
        <v>729.75599999999997</v>
      </c>
      <c r="S518" s="36">
        <f t="shared" si="24"/>
        <v>125977.371447479</v>
      </c>
      <c r="T518" s="36">
        <f t="shared" si="25"/>
        <v>23935.700575021012</v>
      </c>
      <c r="U518" s="19">
        <v>0</v>
      </c>
      <c r="V518" s="36">
        <f t="shared" si="26"/>
        <v>149913.07202250001</v>
      </c>
    </row>
    <row r="519" spans="1:22" ht="23.4" thickBot="1" x14ac:dyDescent="0.35">
      <c r="A519" s="30" t="s">
        <v>152</v>
      </c>
      <c r="B519" s="31">
        <v>10</v>
      </c>
      <c r="C519" s="32" t="s">
        <v>15</v>
      </c>
      <c r="D519" s="31" t="s">
        <v>110</v>
      </c>
      <c r="E519" s="31" t="s">
        <v>108</v>
      </c>
      <c r="F519" s="32" t="s">
        <v>111</v>
      </c>
      <c r="G519" s="31" t="s">
        <v>33</v>
      </c>
      <c r="H519" s="33">
        <v>1175.3599999999999</v>
      </c>
      <c r="I519" s="31">
        <v>3.09</v>
      </c>
      <c r="J519" s="31">
        <v>3.09</v>
      </c>
      <c r="K519" s="34">
        <v>1</v>
      </c>
      <c r="L519" s="31">
        <v>39.18</v>
      </c>
      <c r="M519" s="19">
        <f>H519*INDEX('Pliegos Tarifarios (Huechuraba)'!$B:$B,MATCH($B519,'Pliegos Tarifarios (Huechuraba)'!$A:$A,0))</f>
        <v>154868.95968</v>
      </c>
      <c r="N519" s="19">
        <f>I519*INDEX('Pliegos Tarifarios (Huechuraba)'!$C:$C,MATCH($B519,'Pliegos Tarifarios (Huechuraba)'!$A:$A,0))</f>
        <v>10733.62176</v>
      </c>
      <c r="O519" s="19">
        <f>J519*INDEX('Pliegos Tarifarios (Huechuraba)'!$D:$D,MATCH($B519,'Pliegos Tarifarios (Huechuraba)'!$A:$A,0))</f>
        <v>44945.919449999994</v>
      </c>
      <c r="P519" s="19">
        <f>H519*INDEX('Pliegos Tarifarios (Huechuraba)'!$E:$E,MATCH($B519,'Pliegos Tarifarios (Huechuraba)'!$A:$A,0))</f>
        <v>15307.888639999997</v>
      </c>
      <c r="Q519" s="19" cm="1">
        <f t="array" ref="Q519">H519*_xlfn.IFS(H519&lt;=350,INDEX('Pliegos Tarifarios (Huechuraba)'!$F:$F,MATCH($B519,'Pliegos Tarifarios (Huechuraba)'!$A:$A,0)),H519&lt;=500,INDEX('Pliegos Tarifarios (Huechuraba)'!$G:$G,MATCH($B519,'Pliegos Tarifarios (Huechuraba)'!$A:$A,0)),H519&lt;=1000,INDEX('Pliegos Tarifarios (Huechuraba)'!$H:$H,MATCH($B519,'Pliegos Tarifarios (Huechuraba)'!$A:$A,0)),H519&lt;=5000,INDEX('Pliegos Tarifarios (Huechuraba)'!$I:$I,MATCH($B519,'Pliegos Tarifarios (Huechuraba)'!$A:$A,0)),H519&gt;5000,INDEX('Pliegos Tarifarios (Huechuraba)'!$J:$J,MATCH($B519,'Pliegos Tarifarios (Huechuraba)'!$A:$A,0)))/1.19</f>
        <v>3527.0676974789912</v>
      </c>
      <c r="R519" s="19">
        <f>INDEX('Pliegos Tarifarios (Huechuraba)'!$K:$K,MATCH($B519,'Pliegos Tarifarios (Huechuraba)'!$A:$A,0))</f>
        <v>729.75599999999997</v>
      </c>
      <c r="S519" s="36">
        <f t="shared" si="24"/>
        <v>230113.21322747896</v>
      </c>
      <c r="T519" s="36">
        <f t="shared" si="25"/>
        <v>43721.510513221001</v>
      </c>
      <c r="U519" s="19">
        <v>0</v>
      </c>
      <c r="V519" s="36">
        <f t="shared" si="26"/>
        <v>273834.72374069993</v>
      </c>
    </row>
    <row r="520" spans="1:22" ht="23.4" thickBot="1" x14ac:dyDescent="0.35">
      <c r="A520" s="30" t="s">
        <v>152</v>
      </c>
      <c r="B520" s="31">
        <v>10</v>
      </c>
      <c r="C520" s="32" t="s">
        <v>15</v>
      </c>
      <c r="D520" s="31" t="s">
        <v>112</v>
      </c>
      <c r="E520" s="31" t="s">
        <v>113</v>
      </c>
      <c r="F520" s="32" t="s">
        <v>114</v>
      </c>
      <c r="G520" s="31" t="s">
        <v>33</v>
      </c>
      <c r="H520" s="31">
        <v>426.6</v>
      </c>
      <c r="I520" s="31">
        <v>1.17</v>
      </c>
      <c r="J520" s="31">
        <v>1.1299999999999999</v>
      </c>
      <c r="K520" s="34">
        <v>0.97</v>
      </c>
      <c r="L520" s="31">
        <v>14.22</v>
      </c>
      <c r="M520" s="19">
        <f>H520*INDEX('Pliegos Tarifarios (Huechuraba)'!$B:$B,MATCH($B520,'Pliegos Tarifarios (Huechuraba)'!$A:$A,0))</f>
        <v>56210.095800000003</v>
      </c>
      <c r="N520" s="19">
        <f>I520*INDEX('Pliegos Tarifarios (Huechuraba)'!$C:$C,MATCH($B520,'Pliegos Tarifarios (Huechuraba)'!$A:$A,0))</f>
        <v>4064.1868800000002</v>
      </c>
      <c r="O520" s="19">
        <f>J520*INDEX('Pliegos Tarifarios (Huechuraba)'!$D:$D,MATCH($B520,'Pliegos Tarifarios (Huechuraba)'!$A:$A,0))</f>
        <v>16436.533649999998</v>
      </c>
      <c r="P520" s="19">
        <f>H520*INDEX('Pliegos Tarifarios (Huechuraba)'!$E:$E,MATCH($B520,'Pliegos Tarifarios (Huechuraba)'!$A:$A,0))</f>
        <v>5556.0384000000004</v>
      </c>
      <c r="Q520" s="19" cm="1">
        <f t="array" ref="Q520">H520*_xlfn.IFS(H520&lt;=350,INDEX('Pliegos Tarifarios (Huechuraba)'!$F:$F,MATCH($B520,'Pliegos Tarifarios (Huechuraba)'!$A:$A,0)),H520&lt;=500,INDEX('Pliegos Tarifarios (Huechuraba)'!$G:$G,MATCH($B520,'Pliegos Tarifarios (Huechuraba)'!$A:$A,0)),H520&lt;=1000,INDEX('Pliegos Tarifarios (Huechuraba)'!$H:$H,MATCH($B520,'Pliegos Tarifarios (Huechuraba)'!$A:$A,0)),H520&lt;=5000,INDEX('Pliegos Tarifarios (Huechuraba)'!$I:$I,MATCH($B520,'Pliegos Tarifarios (Huechuraba)'!$A:$A,0)),H520&gt;5000,INDEX('Pliegos Tarifarios (Huechuraba)'!$J:$J,MATCH($B520,'Pliegos Tarifarios (Huechuraba)'!$A:$A,0)))/1.19</f>
        <v>600.82487394957991</v>
      </c>
      <c r="R520" s="19">
        <f>INDEX('Pliegos Tarifarios (Huechuraba)'!$K:$K,MATCH($B520,'Pliegos Tarifarios (Huechuraba)'!$A:$A,0))</f>
        <v>729.75599999999997</v>
      </c>
      <c r="S520" s="36">
        <f t="shared" si="24"/>
        <v>83597.435603949576</v>
      </c>
      <c r="T520" s="36">
        <f t="shared" si="25"/>
        <v>15883.51276475042</v>
      </c>
      <c r="U520" s="19">
        <v>0</v>
      </c>
      <c r="V520" s="36">
        <f t="shared" si="26"/>
        <v>99480.948368699988</v>
      </c>
    </row>
    <row r="521" spans="1:22" ht="23.4" thickBot="1" x14ac:dyDescent="0.35">
      <c r="A521" s="30" t="s">
        <v>152</v>
      </c>
      <c r="B521" s="31">
        <v>10</v>
      </c>
      <c r="C521" s="32" t="s">
        <v>15</v>
      </c>
      <c r="D521" s="31" t="s">
        <v>115</v>
      </c>
      <c r="E521" s="31" t="s">
        <v>116</v>
      </c>
      <c r="F521" s="32" t="s">
        <v>117</v>
      </c>
      <c r="G521" s="31" t="s">
        <v>33</v>
      </c>
      <c r="H521" s="31">
        <v>481.09</v>
      </c>
      <c r="I521" s="31">
        <v>1.28</v>
      </c>
      <c r="J521" s="31">
        <v>1.26</v>
      </c>
      <c r="K521" s="34">
        <v>0.98299999999999998</v>
      </c>
      <c r="L521" s="31">
        <v>16.04</v>
      </c>
      <c r="M521" s="19">
        <f>H521*INDEX('Pliegos Tarifarios (Huechuraba)'!$B:$B,MATCH($B521,'Pliegos Tarifarios (Huechuraba)'!$A:$A,0))</f>
        <v>63389.861669999998</v>
      </c>
      <c r="N521" s="19">
        <f>I521*INDEX('Pliegos Tarifarios (Huechuraba)'!$C:$C,MATCH($B521,'Pliegos Tarifarios (Huechuraba)'!$A:$A,0))</f>
        <v>4446.2899200000002</v>
      </c>
      <c r="O521" s="19">
        <f>J521*INDEX('Pliegos Tarifarios (Huechuraba)'!$D:$D,MATCH($B521,'Pliegos Tarifarios (Huechuraba)'!$A:$A,0))</f>
        <v>18327.462299999999</v>
      </c>
      <c r="P521" s="19">
        <f>H521*INDEX('Pliegos Tarifarios (Huechuraba)'!$E:$E,MATCH($B521,'Pliegos Tarifarios (Huechuraba)'!$A:$A,0))</f>
        <v>6265.716159999999</v>
      </c>
      <c r="Q521" s="19" cm="1">
        <f t="array" ref="Q521">H521*_xlfn.IFS(H521&lt;=350,INDEX('Pliegos Tarifarios (Huechuraba)'!$F:$F,MATCH($B521,'Pliegos Tarifarios (Huechuraba)'!$A:$A,0)),H521&lt;=500,INDEX('Pliegos Tarifarios (Huechuraba)'!$G:$G,MATCH($B521,'Pliegos Tarifarios (Huechuraba)'!$A:$A,0)),H521&lt;=1000,INDEX('Pliegos Tarifarios (Huechuraba)'!$H:$H,MATCH($B521,'Pliegos Tarifarios (Huechuraba)'!$A:$A,0)),H521&lt;=5000,INDEX('Pliegos Tarifarios (Huechuraba)'!$I:$I,MATCH($B521,'Pliegos Tarifarios (Huechuraba)'!$A:$A,0)),H521&gt;5000,INDEX('Pliegos Tarifarios (Huechuraba)'!$J:$J,MATCH($B521,'Pliegos Tarifarios (Huechuraba)'!$A:$A,0)))/1.19</f>
        <v>677.56877310924381</v>
      </c>
      <c r="R521" s="19">
        <f>INDEX('Pliegos Tarifarios (Huechuraba)'!$K:$K,MATCH($B521,'Pliegos Tarifarios (Huechuraba)'!$A:$A,0))</f>
        <v>729.75599999999997</v>
      </c>
      <c r="S521" s="36">
        <f t="shared" si="24"/>
        <v>93836.654823109231</v>
      </c>
      <c r="T521" s="36">
        <f t="shared" si="25"/>
        <v>17828.964416390754</v>
      </c>
      <c r="U521" s="19">
        <v>0</v>
      </c>
      <c r="V521" s="36">
        <f t="shared" si="26"/>
        <v>111665.61923949998</v>
      </c>
    </row>
    <row r="522" spans="1:22" ht="23.4" thickBot="1" x14ac:dyDescent="0.35">
      <c r="A522" s="30" t="s">
        <v>152</v>
      </c>
      <c r="B522" s="31">
        <v>10</v>
      </c>
      <c r="C522" s="32" t="s">
        <v>15</v>
      </c>
      <c r="D522" s="31" t="s">
        <v>118</v>
      </c>
      <c r="E522" s="31" t="s">
        <v>119</v>
      </c>
      <c r="F522" s="32" t="s">
        <v>120</v>
      </c>
      <c r="G522" s="31" t="s">
        <v>33</v>
      </c>
      <c r="H522" s="31">
        <v>79.95</v>
      </c>
      <c r="I522" s="31">
        <v>0.21</v>
      </c>
      <c r="J522" s="31">
        <v>0.21</v>
      </c>
      <c r="K522" s="34">
        <v>0.97899999999999998</v>
      </c>
      <c r="L522" s="31">
        <v>2.66</v>
      </c>
      <c r="M522" s="19">
        <f>H522*INDEX('Pliegos Tarifarios (Huechuraba)'!$B:$B,MATCH($B522,'Pliegos Tarifarios (Huechuraba)'!$A:$A,0))</f>
        <v>10534.451850000001</v>
      </c>
      <c r="N522" s="19">
        <f>I522*INDEX('Pliegos Tarifarios (Huechuraba)'!$C:$C,MATCH($B522,'Pliegos Tarifarios (Huechuraba)'!$A:$A,0))</f>
        <v>729.46943999999996</v>
      </c>
      <c r="O522" s="19">
        <f>J522*INDEX('Pliegos Tarifarios (Huechuraba)'!$D:$D,MATCH($B522,'Pliegos Tarifarios (Huechuraba)'!$A:$A,0))</f>
        <v>3054.5770499999999</v>
      </c>
      <c r="P522" s="19">
        <f>H522*INDEX('Pliegos Tarifarios (Huechuraba)'!$E:$E,MATCH($B522,'Pliegos Tarifarios (Huechuraba)'!$A:$A,0))</f>
        <v>1041.2688000000001</v>
      </c>
      <c r="Q522" s="19" cm="1">
        <f t="array" ref="Q522">H522*_xlfn.IFS(H522&lt;=350,INDEX('Pliegos Tarifarios (Huechuraba)'!$F:$F,MATCH($B522,'Pliegos Tarifarios (Huechuraba)'!$A:$A,0)),H522&lt;=500,INDEX('Pliegos Tarifarios (Huechuraba)'!$G:$G,MATCH($B522,'Pliegos Tarifarios (Huechuraba)'!$A:$A,0)),H522&lt;=1000,INDEX('Pliegos Tarifarios (Huechuraba)'!$H:$H,MATCH($B522,'Pliegos Tarifarios (Huechuraba)'!$A:$A,0)),H522&lt;=5000,INDEX('Pliegos Tarifarios (Huechuraba)'!$I:$I,MATCH($B522,'Pliegos Tarifarios (Huechuraba)'!$A:$A,0)),H522&gt;5000,INDEX('Pliegos Tarifarios (Huechuraba)'!$J:$J,MATCH($B522,'Pliegos Tarifarios (Huechuraba)'!$A:$A,0)))/1.19</f>
        <v>52.672941176470594</v>
      </c>
      <c r="R522" s="19">
        <f>INDEX('Pliegos Tarifarios (Huechuraba)'!$K:$K,MATCH($B522,'Pliegos Tarifarios (Huechuraba)'!$A:$A,0))</f>
        <v>729.75599999999997</v>
      </c>
      <c r="S522" s="36">
        <f t="shared" si="24"/>
        <v>16142.196081176471</v>
      </c>
      <c r="T522" s="36">
        <f t="shared" si="25"/>
        <v>3067.0172554235296</v>
      </c>
      <c r="U522" s="19">
        <v>0</v>
      </c>
      <c r="V522" s="36">
        <f t="shared" si="26"/>
        <v>19209.213336600002</v>
      </c>
    </row>
    <row r="523" spans="1:22" ht="23.4" thickBot="1" x14ac:dyDescent="0.35">
      <c r="A523" s="30" t="s">
        <v>152</v>
      </c>
      <c r="B523" s="31">
        <v>10</v>
      </c>
      <c r="C523" s="32" t="s">
        <v>15</v>
      </c>
      <c r="D523" s="31" t="s">
        <v>121</v>
      </c>
      <c r="E523" s="31" t="s">
        <v>119</v>
      </c>
      <c r="F523" s="32" t="s">
        <v>122</v>
      </c>
      <c r="G523" s="31" t="s">
        <v>33</v>
      </c>
      <c r="H523" s="31">
        <v>80.150000000000006</v>
      </c>
      <c r="I523" s="31">
        <v>0.22</v>
      </c>
      <c r="J523" s="31">
        <v>0.22</v>
      </c>
      <c r="K523" s="34">
        <v>0.99399999999999999</v>
      </c>
      <c r="L523" s="31">
        <v>2.67</v>
      </c>
      <c r="M523" s="19">
        <f>H523*INDEX('Pliegos Tarifarios (Huechuraba)'!$B:$B,MATCH($B523,'Pliegos Tarifarios (Huechuraba)'!$A:$A,0))</f>
        <v>10560.804450000001</v>
      </c>
      <c r="N523" s="19">
        <f>I523*INDEX('Pliegos Tarifarios (Huechuraba)'!$C:$C,MATCH($B523,'Pliegos Tarifarios (Huechuraba)'!$A:$A,0))</f>
        <v>764.20608000000004</v>
      </c>
      <c r="O523" s="19">
        <f>J523*INDEX('Pliegos Tarifarios (Huechuraba)'!$D:$D,MATCH($B523,'Pliegos Tarifarios (Huechuraba)'!$A:$A,0))</f>
        <v>3200.0331000000001</v>
      </c>
      <c r="P523" s="19">
        <f>H523*INDEX('Pliegos Tarifarios (Huechuraba)'!$E:$E,MATCH($B523,'Pliegos Tarifarios (Huechuraba)'!$A:$A,0))</f>
        <v>1043.8735999999999</v>
      </c>
      <c r="Q523" s="19" cm="1">
        <f t="array" ref="Q523">H523*_xlfn.IFS(H523&lt;=350,INDEX('Pliegos Tarifarios (Huechuraba)'!$F:$F,MATCH($B523,'Pliegos Tarifarios (Huechuraba)'!$A:$A,0)),H523&lt;=500,INDEX('Pliegos Tarifarios (Huechuraba)'!$G:$G,MATCH($B523,'Pliegos Tarifarios (Huechuraba)'!$A:$A,0)),H523&lt;=1000,INDEX('Pliegos Tarifarios (Huechuraba)'!$H:$H,MATCH($B523,'Pliegos Tarifarios (Huechuraba)'!$A:$A,0)),H523&lt;=5000,INDEX('Pliegos Tarifarios (Huechuraba)'!$I:$I,MATCH($B523,'Pliegos Tarifarios (Huechuraba)'!$A:$A,0)),H523&gt;5000,INDEX('Pliegos Tarifarios (Huechuraba)'!$J:$J,MATCH($B523,'Pliegos Tarifarios (Huechuraba)'!$A:$A,0)))/1.19</f>
        <v>52.804705882352948</v>
      </c>
      <c r="R523" s="19">
        <f>INDEX('Pliegos Tarifarios (Huechuraba)'!$K:$K,MATCH($B523,'Pliegos Tarifarios (Huechuraba)'!$A:$A,0))</f>
        <v>729.75599999999997</v>
      </c>
      <c r="S523" s="36">
        <f t="shared" si="24"/>
        <v>16351.477935882354</v>
      </c>
      <c r="T523" s="36">
        <f t="shared" si="25"/>
        <v>3106.7808078176472</v>
      </c>
      <c r="U523" s="19">
        <v>0</v>
      </c>
      <c r="V523" s="36">
        <f t="shared" si="26"/>
        <v>19458.2587437</v>
      </c>
    </row>
    <row r="524" spans="1:22" ht="23.4" thickBot="1" x14ac:dyDescent="0.35">
      <c r="A524" s="30" t="s">
        <v>152</v>
      </c>
      <c r="B524" s="31">
        <v>10</v>
      </c>
      <c r="C524" s="32" t="s">
        <v>15</v>
      </c>
      <c r="D524" s="31" t="s">
        <v>123</v>
      </c>
      <c r="E524" s="31" t="s">
        <v>124</v>
      </c>
      <c r="F524" s="32" t="s">
        <v>125</v>
      </c>
      <c r="G524" s="31" t="s">
        <v>33</v>
      </c>
      <c r="H524" s="31">
        <v>80.23</v>
      </c>
      <c r="I524" s="31">
        <v>0.22</v>
      </c>
      <c r="J524" s="31">
        <v>0.22</v>
      </c>
      <c r="K524" s="34">
        <v>1</v>
      </c>
      <c r="L524" s="31">
        <v>2.67</v>
      </c>
      <c r="M524" s="19">
        <f>H524*INDEX('Pliegos Tarifarios (Huechuraba)'!$B:$B,MATCH($B524,'Pliegos Tarifarios (Huechuraba)'!$A:$A,0))</f>
        <v>10571.345490000002</v>
      </c>
      <c r="N524" s="19">
        <f>I524*INDEX('Pliegos Tarifarios (Huechuraba)'!$C:$C,MATCH($B524,'Pliegos Tarifarios (Huechuraba)'!$A:$A,0))</f>
        <v>764.20608000000004</v>
      </c>
      <c r="O524" s="19">
        <f>J524*INDEX('Pliegos Tarifarios (Huechuraba)'!$D:$D,MATCH($B524,'Pliegos Tarifarios (Huechuraba)'!$A:$A,0))</f>
        <v>3200.0331000000001</v>
      </c>
      <c r="P524" s="19">
        <f>H524*INDEX('Pliegos Tarifarios (Huechuraba)'!$E:$E,MATCH($B524,'Pliegos Tarifarios (Huechuraba)'!$A:$A,0))</f>
        <v>1044.91552</v>
      </c>
      <c r="Q524" s="19" cm="1">
        <f t="array" ref="Q524">H524*_xlfn.IFS(H524&lt;=350,INDEX('Pliegos Tarifarios (Huechuraba)'!$F:$F,MATCH($B524,'Pliegos Tarifarios (Huechuraba)'!$A:$A,0)),H524&lt;=500,INDEX('Pliegos Tarifarios (Huechuraba)'!$G:$G,MATCH($B524,'Pliegos Tarifarios (Huechuraba)'!$A:$A,0)),H524&lt;=1000,INDEX('Pliegos Tarifarios (Huechuraba)'!$H:$H,MATCH($B524,'Pliegos Tarifarios (Huechuraba)'!$A:$A,0)),H524&lt;=5000,INDEX('Pliegos Tarifarios (Huechuraba)'!$I:$I,MATCH($B524,'Pliegos Tarifarios (Huechuraba)'!$A:$A,0)),H524&gt;5000,INDEX('Pliegos Tarifarios (Huechuraba)'!$J:$J,MATCH($B524,'Pliegos Tarifarios (Huechuraba)'!$A:$A,0)))/1.19</f>
        <v>52.857411764705894</v>
      </c>
      <c r="R524" s="19">
        <f>INDEX('Pliegos Tarifarios (Huechuraba)'!$K:$K,MATCH($B524,'Pliegos Tarifarios (Huechuraba)'!$A:$A,0))</f>
        <v>729.75599999999997</v>
      </c>
      <c r="S524" s="36">
        <f t="shared" si="24"/>
        <v>16363.113601764708</v>
      </c>
      <c r="T524" s="36">
        <f t="shared" si="25"/>
        <v>3108.9915843352946</v>
      </c>
      <c r="U524" s="19">
        <v>0</v>
      </c>
      <c r="V524" s="36">
        <f t="shared" si="26"/>
        <v>19472.105186100001</v>
      </c>
    </row>
    <row r="525" spans="1:22" ht="23.4" thickBot="1" x14ac:dyDescent="0.35">
      <c r="A525" s="30" t="s">
        <v>152</v>
      </c>
      <c r="B525" s="31">
        <v>10</v>
      </c>
      <c r="C525" s="32" t="s">
        <v>15</v>
      </c>
      <c r="D525" s="31" t="s">
        <v>126</v>
      </c>
      <c r="E525" s="31" t="s">
        <v>124</v>
      </c>
      <c r="F525" s="32" t="s">
        <v>127</v>
      </c>
      <c r="G525" s="31" t="s">
        <v>33</v>
      </c>
      <c r="H525" s="31">
        <v>133.32</v>
      </c>
      <c r="I525" s="31">
        <v>0.36</v>
      </c>
      <c r="J525" s="31">
        <v>0.35</v>
      </c>
      <c r="K525" s="34">
        <v>0.96899999999999997</v>
      </c>
      <c r="L525" s="31">
        <v>4.4400000000000004</v>
      </c>
      <c r="M525" s="19">
        <f>H525*INDEX('Pliegos Tarifarios (Huechuraba)'!$B:$B,MATCH($B525,'Pliegos Tarifarios (Huechuraba)'!$A:$A,0))</f>
        <v>17566.64316</v>
      </c>
      <c r="N525" s="19">
        <f>I525*INDEX('Pliegos Tarifarios (Huechuraba)'!$C:$C,MATCH($B525,'Pliegos Tarifarios (Huechuraba)'!$A:$A,0))</f>
        <v>1250.5190400000001</v>
      </c>
      <c r="O525" s="19">
        <f>J525*INDEX('Pliegos Tarifarios (Huechuraba)'!$D:$D,MATCH($B525,'Pliegos Tarifarios (Huechuraba)'!$A:$A,0))</f>
        <v>5090.9617499999995</v>
      </c>
      <c r="P525" s="19">
        <f>H525*INDEX('Pliegos Tarifarios (Huechuraba)'!$E:$E,MATCH($B525,'Pliegos Tarifarios (Huechuraba)'!$A:$A,0))</f>
        <v>1736.3596799999998</v>
      </c>
      <c r="Q525" s="19" cm="1">
        <f t="array" ref="Q525">H525*_xlfn.IFS(H525&lt;=350,INDEX('Pliegos Tarifarios (Huechuraba)'!$F:$F,MATCH($B525,'Pliegos Tarifarios (Huechuraba)'!$A:$A,0)),H525&lt;=500,INDEX('Pliegos Tarifarios (Huechuraba)'!$G:$G,MATCH($B525,'Pliegos Tarifarios (Huechuraba)'!$A:$A,0)),H525&lt;=1000,INDEX('Pliegos Tarifarios (Huechuraba)'!$H:$H,MATCH($B525,'Pliegos Tarifarios (Huechuraba)'!$A:$A,0)),H525&lt;=5000,INDEX('Pliegos Tarifarios (Huechuraba)'!$I:$I,MATCH($B525,'Pliegos Tarifarios (Huechuraba)'!$A:$A,0)),H525&gt;5000,INDEX('Pliegos Tarifarios (Huechuraba)'!$J:$J,MATCH($B525,'Pliegos Tarifarios (Huechuraba)'!$A:$A,0)))/1.19</f>
        <v>87.834352941176476</v>
      </c>
      <c r="R525" s="19">
        <f>INDEX('Pliegos Tarifarios (Huechuraba)'!$K:$K,MATCH($B525,'Pliegos Tarifarios (Huechuraba)'!$A:$A,0))</f>
        <v>729.75599999999997</v>
      </c>
      <c r="S525" s="36">
        <f t="shared" si="24"/>
        <v>26462.073982941176</v>
      </c>
      <c r="T525" s="36">
        <f t="shared" si="25"/>
        <v>5027.7940567588239</v>
      </c>
      <c r="U525" s="19">
        <v>0</v>
      </c>
      <c r="V525" s="36">
        <f t="shared" si="26"/>
        <v>31489.868039699999</v>
      </c>
    </row>
    <row r="526" spans="1:22" ht="23.4" thickBot="1" x14ac:dyDescent="0.35">
      <c r="A526" s="30" t="s">
        <v>152</v>
      </c>
      <c r="B526" s="31">
        <v>10</v>
      </c>
      <c r="C526" s="32" t="s">
        <v>15</v>
      </c>
      <c r="D526" s="31" t="s">
        <v>128</v>
      </c>
      <c r="E526" s="31" t="s">
        <v>124</v>
      </c>
      <c r="F526" s="32" t="s">
        <v>129</v>
      </c>
      <c r="G526" s="31" t="s">
        <v>33</v>
      </c>
      <c r="H526" s="31">
        <v>80.03</v>
      </c>
      <c r="I526" s="31">
        <v>0.21</v>
      </c>
      <c r="J526" s="31">
        <v>0.21</v>
      </c>
      <c r="K526" s="34">
        <v>1</v>
      </c>
      <c r="L526" s="31">
        <v>2.67</v>
      </c>
      <c r="M526" s="19">
        <f>H526*INDEX('Pliegos Tarifarios (Huechuraba)'!$B:$B,MATCH($B526,'Pliegos Tarifarios (Huechuraba)'!$A:$A,0))</f>
        <v>10544.992890000001</v>
      </c>
      <c r="N526" s="19">
        <f>I526*INDEX('Pliegos Tarifarios (Huechuraba)'!$C:$C,MATCH($B526,'Pliegos Tarifarios (Huechuraba)'!$A:$A,0))</f>
        <v>729.46943999999996</v>
      </c>
      <c r="O526" s="19">
        <f>J526*INDEX('Pliegos Tarifarios (Huechuraba)'!$D:$D,MATCH($B526,'Pliegos Tarifarios (Huechuraba)'!$A:$A,0))</f>
        <v>3054.5770499999999</v>
      </c>
      <c r="P526" s="19">
        <f>H526*INDEX('Pliegos Tarifarios (Huechuraba)'!$E:$E,MATCH($B526,'Pliegos Tarifarios (Huechuraba)'!$A:$A,0))</f>
        <v>1042.3107199999999</v>
      </c>
      <c r="Q526" s="19" cm="1">
        <f t="array" ref="Q526">H526*_xlfn.IFS(H526&lt;=350,INDEX('Pliegos Tarifarios (Huechuraba)'!$F:$F,MATCH($B526,'Pliegos Tarifarios (Huechuraba)'!$A:$A,0)),H526&lt;=500,INDEX('Pliegos Tarifarios (Huechuraba)'!$G:$G,MATCH($B526,'Pliegos Tarifarios (Huechuraba)'!$A:$A,0)),H526&lt;=1000,INDEX('Pliegos Tarifarios (Huechuraba)'!$H:$H,MATCH($B526,'Pliegos Tarifarios (Huechuraba)'!$A:$A,0)),H526&lt;=5000,INDEX('Pliegos Tarifarios (Huechuraba)'!$I:$I,MATCH($B526,'Pliegos Tarifarios (Huechuraba)'!$A:$A,0)),H526&gt;5000,INDEX('Pliegos Tarifarios (Huechuraba)'!$J:$J,MATCH($B526,'Pliegos Tarifarios (Huechuraba)'!$A:$A,0)))/1.19</f>
        <v>52.725647058823533</v>
      </c>
      <c r="R526" s="19">
        <f>INDEX('Pliegos Tarifarios (Huechuraba)'!$K:$K,MATCH($B526,'Pliegos Tarifarios (Huechuraba)'!$A:$A,0))</f>
        <v>729.75599999999997</v>
      </c>
      <c r="S526" s="36">
        <f t="shared" si="24"/>
        <v>16153.831747058824</v>
      </c>
      <c r="T526" s="36">
        <f t="shared" si="25"/>
        <v>3069.2280319411766</v>
      </c>
      <c r="U526" s="19">
        <v>0</v>
      </c>
      <c r="V526" s="36">
        <f t="shared" si="26"/>
        <v>19223.059779000003</v>
      </c>
    </row>
    <row r="527" spans="1:22" ht="23.4" thickBot="1" x14ac:dyDescent="0.35">
      <c r="A527" s="30" t="s">
        <v>152</v>
      </c>
      <c r="B527" s="31">
        <v>10</v>
      </c>
      <c r="C527" s="32" t="s">
        <v>15</v>
      </c>
      <c r="D527" s="31" t="s">
        <v>130</v>
      </c>
      <c r="E527" s="31" t="s">
        <v>124</v>
      </c>
      <c r="F527" s="32" t="s">
        <v>131</v>
      </c>
      <c r="G527" s="31" t="s">
        <v>33</v>
      </c>
      <c r="H527" s="31">
        <v>80.2</v>
      </c>
      <c r="I527" s="31">
        <v>0.22</v>
      </c>
      <c r="J527" s="31">
        <v>0.21</v>
      </c>
      <c r="K527" s="34">
        <v>0.96799999999999997</v>
      </c>
      <c r="L527" s="31">
        <v>2.67</v>
      </c>
      <c r="M527" s="19">
        <f>H527*INDEX('Pliegos Tarifarios (Huechuraba)'!$B:$B,MATCH($B527,'Pliegos Tarifarios (Huechuraba)'!$A:$A,0))</f>
        <v>10567.392600000001</v>
      </c>
      <c r="N527" s="19">
        <f>I527*INDEX('Pliegos Tarifarios (Huechuraba)'!$C:$C,MATCH($B527,'Pliegos Tarifarios (Huechuraba)'!$A:$A,0))</f>
        <v>764.20608000000004</v>
      </c>
      <c r="O527" s="19">
        <f>J527*INDEX('Pliegos Tarifarios (Huechuraba)'!$D:$D,MATCH($B527,'Pliegos Tarifarios (Huechuraba)'!$A:$A,0))</f>
        <v>3054.5770499999999</v>
      </c>
      <c r="P527" s="19">
        <f>H527*INDEX('Pliegos Tarifarios (Huechuraba)'!$E:$E,MATCH($B527,'Pliegos Tarifarios (Huechuraba)'!$A:$A,0))</f>
        <v>1044.5247999999999</v>
      </c>
      <c r="Q527" s="19" cm="1">
        <f t="array" ref="Q527">H527*_xlfn.IFS(H527&lt;=350,INDEX('Pliegos Tarifarios (Huechuraba)'!$F:$F,MATCH($B527,'Pliegos Tarifarios (Huechuraba)'!$A:$A,0)),H527&lt;=500,INDEX('Pliegos Tarifarios (Huechuraba)'!$G:$G,MATCH($B527,'Pliegos Tarifarios (Huechuraba)'!$A:$A,0)),H527&lt;=1000,INDEX('Pliegos Tarifarios (Huechuraba)'!$H:$H,MATCH($B527,'Pliegos Tarifarios (Huechuraba)'!$A:$A,0)),H527&lt;=5000,INDEX('Pliegos Tarifarios (Huechuraba)'!$I:$I,MATCH($B527,'Pliegos Tarifarios (Huechuraba)'!$A:$A,0)),H527&gt;5000,INDEX('Pliegos Tarifarios (Huechuraba)'!$J:$J,MATCH($B527,'Pliegos Tarifarios (Huechuraba)'!$A:$A,0)))/1.19</f>
        <v>52.837647058823535</v>
      </c>
      <c r="R527" s="19">
        <f>INDEX('Pliegos Tarifarios (Huechuraba)'!$K:$K,MATCH($B527,'Pliegos Tarifarios (Huechuraba)'!$A:$A,0))</f>
        <v>729.75599999999997</v>
      </c>
      <c r="S527" s="36">
        <f t="shared" si="24"/>
        <v>16213.294177058822</v>
      </c>
      <c r="T527" s="36">
        <f t="shared" si="25"/>
        <v>3080.5258936411765</v>
      </c>
      <c r="U527" s="19">
        <v>0</v>
      </c>
      <c r="V527" s="36">
        <f t="shared" si="26"/>
        <v>19293.8200707</v>
      </c>
    </row>
    <row r="528" spans="1:22" ht="23.4" thickBot="1" x14ac:dyDescent="0.35">
      <c r="A528" s="30" t="s">
        <v>152</v>
      </c>
      <c r="B528" s="31">
        <v>10</v>
      </c>
      <c r="C528" s="32" t="s">
        <v>15</v>
      </c>
      <c r="D528" s="31" t="s">
        <v>132</v>
      </c>
      <c r="E528" s="31" t="s">
        <v>124</v>
      </c>
      <c r="F528" s="32" t="s">
        <v>133</v>
      </c>
      <c r="G528" s="31" t="s">
        <v>33</v>
      </c>
      <c r="H528" s="31">
        <v>80.099999999999994</v>
      </c>
      <c r="I528" s="31">
        <v>0.21</v>
      </c>
      <c r="J528" s="31">
        <v>0.21</v>
      </c>
      <c r="K528" s="34">
        <v>1</v>
      </c>
      <c r="L528" s="31">
        <v>2.67</v>
      </c>
      <c r="M528" s="19">
        <f>H528*INDEX('Pliegos Tarifarios (Huechuraba)'!$B:$B,MATCH($B528,'Pliegos Tarifarios (Huechuraba)'!$A:$A,0))</f>
        <v>10554.2163</v>
      </c>
      <c r="N528" s="19">
        <f>I528*INDEX('Pliegos Tarifarios (Huechuraba)'!$C:$C,MATCH($B528,'Pliegos Tarifarios (Huechuraba)'!$A:$A,0))</f>
        <v>729.46943999999996</v>
      </c>
      <c r="O528" s="19">
        <f>J528*INDEX('Pliegos Tarifarios (Huechuraba)'!$D:$D,MATCH($B528,'Pliegos Tarifarios (Huechuraba)'!$A:$A,0))</f>
        <v>3054.5770499999999</v>
      </c>
      <c r="P528" s="19">
        <f>H528*INDEX('Pliegos Tarifarios (Huechuraba)'!$E:$E,MATCH($B528,'Pliegos Tarifarios (Huechuraba)'!$A:$A,0))</f>
        <v>1043.2223999999999</v>
      </c>
      <c r="Q528" s="19" cm="1">
        <f t="array" ref="Q528">H528*_xlfn.IFS(H528&lt;=350,INDEX('Pliegos Tarifarios (Huechuraba)'!$F:$F,MATCH($B528,'Pliegos Tarifarios (Huechuraba)'!$A:$A,0)),H528&lt;=500,INDEX('Pliegos Tarifarios (Huechuraba)'!$G:$G,MATCH($B528,'Pliegos Tarifarios (Huechuraba)'!$A:$A,0)),H528&lt;=1000,INDEX('Pliegos Tarifarios (Huechuraba)'!$H:$H,MATCH($B528,'Pliegos Tarifarios (Huechuraba)'!$A:$A,0)),H528&lt;=5000,INDEX('Pliegos Tarifarios (Huechuraba)'!$I:$I,MATCH($B528,'Pliegos Tarifarios (Huechuraba)'!$A:$A,0)),H528&gt;5000,INDEX('Pliegos Tarifarios (Huechuraba)'!$J:$J,MATCH($B528,'Pliegos Tarifarios (Huechuraba)'!$A:$A,0)))/1.19</f>
        <v>52.771764705882354</v>
      </c>
      <c r="R528" s="19">
        <f>INDEX('Pliegos Tarifarios (Huechuraba)'!$K:$K,MATCH($B528,'Pliegos Tarifarios (Huechuraba)'!$A:$A,0))</f>
        <v>729.75599999999997</v>
      </c>
      <c r="S528" s="36">
        <f t="shared" si="24"/>
        <v>16164.012954705882</v>
      </c>
      <c r="T528" s="36">
        <f t="shared" si="25"/>
        <v>3071.1624613941176</v>
      </c>
      <c r="U528" s="19">
        <v>0</v>
      </c>
      <c r="V528" s="36">
        <f t="shared" si="26"/>
        <v>19235.175416099999</v>
      </c>
    </row>
    <row r="529" spans="1:22" ht="23.4" thickBot="1" x14ac:dyDescent="0.35">
      <c r="A529" s="30" t="s">
        <v>152</v>
      </c>
      <c r="B529" s="31">
        <v>10</v>
      </c>
      <c r="C529" s="32" t="s">
        <v>15</v>
      </c>
      <c r="D529" s="31" t="s">
        <v>134</v>
      </c>
      <c r="E529" s="31" t="s">
        <v>124</v>
      </c>
      <c r="F529" s="32" t="s">
        <v>135</v>
      </c>
      <c r="G529" s="31" t="s">
        <v>33</v>
      </c>
      <c r="H529" s="31">
        <v>160.35</v>
      </c>
      <c r="I529" s="31">
        <v>0.43</v>
      </c>
      <c r="J529" s="31">
        <v>0.42</v>
      </c>
      <c r="K529" s="34">
        <v>0.98</v>
      </c>
      <c r="L529" s="31">
        <v>5.35</v>
      </c>
      <c r="M529" s="19">
        <f>H529*INDEX('Pliegos Tarifarios (Huechuraba)'!$B:$B,MATCH($B529,'Pliegos Tarifarios (Huechuraba)'!$A:$A,0))</f>
        <v>21128.197049999999</v>
      </c>
      <c r="N529" s="19">
        <f>I529*INDEX('Pliegos Tarifarios (Huechuraba)'!$C:$C,MATCH($B529,'Pliegos Tarifarios (Huechuraba)'!$A:$A,0))</f>
        <v>1493.67552</v>
      </c>
      <c r="O529" s="19">
        <f>J529*INDEX('Pliegos Tarifarios (Huechuraba)'!$D:$D,MATCH($B529,'Pliegos Tarifarios (Huechuraba)'!$A:$A,0))</f>
        <v>6109.1540999999997</v>
      </c>
      <c r="P529" s="19">
        <f>H529*INDEX('Pliegos Tarifarios (Huechuraba)'!$E:$E,MATCH($B529,'Pliegos Tarifarios (Huechuraba)'!$A:$A,0))</f>
        <v>2088.3983999999996</v>
      </c>
      <c r="Q529" s="19" cm="1">
        <f t="array" ref="Q529">H529*_xlfn.IFS(H529&lt;=350,INDEX('Pliegos Tarifarios (Huechuraba)'!$F:$F,MATCH($B529,'Pliegos Tarifarios (Huechuraba)'!$A:$A,0)),H529&lt;=500,INDEX('Pliegos Tarifarios (Huechuraba)'!$G:$G,MATCH($B529,'Pliegos Tarifarios (Huechuraba)'!$A:$A,0)),H529&lt;=1000,INDEX('Pliegos Tarifarios (Huechuraba)'!$H:$H,MATCH($B529,'Pliegos Tarifarios (Huechuraba)'!$A:$A,0)),H529&lt;=5000,INDEX('Pliegos Tarifarios (Huechuraba)'!$I:$I,MATCH($B529,'Pliegos Tarifarios (Huechuraba)'!$A:$A,0)),H529&gt;5000,INDEX('Pliegos Tarifarios (Huechuraba)'!$J:$J,MATCH($B529,'Pliegos Tarifarios (Huechuraba)'!$A:$A,0)))/1.19</f>
        <v>105.64235294117647</v>
      </c>
      <c r="R529" s="19">
        <f>INDEX('Pliegos Tarifarios (Huechuraba)'!$K:$K,MATCH($B529,'Pliegos Tarifarios (Huechuraba)'!$A:$A,0))</f>
        <v>729.75599999999997</v>
      </c>
      <c r="S529" s="36">
        <f t="shared" si="24"/>
        <v>31654.823422941176</v>
      </c>
      <c r="T529" s="36">
        <f t="shared" si="25"/>
        <v>6014.4164503588236</v>
      </c>
      <c r="U529" s="19">
        <v>0</v>
      </c>
      <c r="V529" s="36">
        <f t="shared" si="26"/>
        <v>37669.239873300001</v>
      </c>
    </row>
    <row r="530" spans="1:22" ht="23.4" thickBot="1" x14ac:dyDescent="0.35">
      <c r="A530" s="30" t="s">
        <v>152</v>
      </c>
      <c r="B530" s="31">
        <v>10</v>
      </c>
      <c r="C530" s="32" t="s">
        <v>15</v>
      </c>
      <c r="D530" s="31" t="s">
        <v>136</v>
      </c>
      <c r="E530" s="31" t="s">
        <v>124</v>
      </c>
      <c r="F530" s="32" t="s">
        <v>137</v>
      </c>
      <c r="G530" s="31" t="s">
        <v>33</v>
      </c>
      <c r="H530" s="31">
        <v>160.32</v>
      </c>
      <c r="I530" s="31">
        <v>0.43</v>
      </c>
      <c r="J530" s="31">
        <v>0.42</v>
      </c>
      <c r="K530" s="34">
        <v>0.98799999999999999</v>
      </c>
      <c r="L530" s="31">
        <v>5.34</v>
      </c>
      <c r="M530" s="19">
        <f>H530*INDEX('Pliegos Tarifarios (Huechuraba)'!$B:$B,MATCH($B530,'Pliegos Tarifarios (Huechuraba)'!$A:$A,0))</f>
        <v>21124.244159999998</v>
      </c>
      <c r="N530" s="19">
        <f>I530*INDEX('Pliegos Tarifarios (Huechuraba)'!$C:$C,MATCH($B530,'Pliegos Tarifarios (Huechuraba)'!$A:$A,0))</f>
        <v>1493.67552</v>
      </c>
      <c r="O530" s="19">
        <f>J530*INDEX('Pliegos Tarifarios (Huechuraba)'!$D:$D,MATCH($B530,'Pliegos Tarifarios (Huechuraba)'!$A:$A,0))</f>
        <v>6109.1540999999997</v>
      </c>
      <c r="P530" s="19">
        <f>H530*INDEX('Pliegos Tarifarios (Huechuraba)'!$E:$E,MATCH($B530,'Pliegos Tarifarios (Huechuraba)'!$A:$A,0))</f>
        <v>2088.0076799999997</v>
      </c>
      <c r="Q530" s="19" cm="1">
        <f t="array" ref="Q530">H530*_xlfn.IFS(H530&lt;=350,INDEX('Pliegos Tarifarios (Huechuraba)'!$F:$F,MATCH($B530,'Pliegos Tarifarios (Huechuraba)'!$A:$A,0)),H530&lt;=500,INDEX('Pliegos Tarifarios (Huechuraba)'!$G:$G,MATCH($B530,'Pliegos Tarifarios (Huechuraba)'!$A:$A,0)),H530&lt;=1000,INDEX('Pliegos Tarifarios (Huechuraba)'!$H:$H,MATCH($B530,'Pliegos Tarifarios (Huechuraba)'!$A:$A,0)),H530&lt;=5000,INDEX('Pliegos Tarifarios (Huechuraba)'!$I:$I,MATCH($B530,'Pliegos Tarifarios (Huechuraba)'!$A:$A,0)),H530&gt;5000,INDEX('Pliegos Tarifarios (Huechuraba)'!$J:$J,MATCH($B530,'Pliegos Tarifarios (Huechuraba)'!$A:$A,0)))/1.19</f>
        <v>105.62258823529412</v>
      </c>
      <c r="R530" s="19">
        <f>INDEX('Pliegos Tarifarios (Huechuraba)'!$K:$K,MATCH($B530,'Pliegos Tarifarios (Huechuraba)'!$A:$A,0))</f>
        <v>729.75599999999997</v>
      </c>
      <c r="S530" s="36">
        <f t="shared" si="24"/>
        <v>31650.460048235294</v>
      </c>
      <c r="T530" s="36">
        <f t="shared" si="25"/>
        <v>6013.5874091647056</v>
      </c>
      <c r="U530" s="19">
        <v>0</v>
      </c>
      <c r="V530" s="36">
        <f t="shared" si="26"/>
        <v>37664.047457399996</v>
      </c>
    </row>
    <row r="531" spans="1:22" ht="23.4" thickBot="1" x14ac:dyDescent="0.35">
      <c r="A531" s="30" t="s">
        <v>152</v>
      </c>
      <c r="B531" s="31">
        <v>10</v>
      </c>
      <c r="C531" s="32" t="s">
        <v>15</v>
      </c>
      <c r="D531" s="31" t="s">
        <v>138</v>
      </c>
      <c r="E531" s="31" t="s">
        <v>124</v>
      </c>
      <c r="F531" s="32" t="s">
        <v>139</v>
      </c>
      <c r="G531" s="31" t="s">
        <v>33</v>
      </c>
      <c r="H531" s="31">
        <v>160.65</v>
      </c>
      <c r="I531" s="31">
        <v>0.43</v>
      </c>
      <c r="J531" s="31">
        <v>0.41</v>
      </c>
      <c r="K531" s="34">
        <v>0.97099999999999997</v>
      </c>
      <c r="L531" s="31">
        <v>5.36</v>
      </c>
      <c r="M531" s="19">
        <f>H531*INDEX('Pliegos Tarifarios (Huechuraba)'!$B:$B,MATCH($B531,'Pliegos Tarifarios (Huechuraba)'!$A:$A,0))</f>
        <v>21167.72595</v>
      </c>
      <c r="N531" s="19">
        <f>I531*INDEX('Pliegos Tarifarios (Huechuraba)'!$C:$C,MATCH($B531,'Pliegos Tarifarios (Huechuraba)'!$A:$A,0))</f>
        <v>1493.67552</v>
      </c>
      <c r="O531" s="19">
        <f>J531*INDEX('Pliegos Tarifarios (Huechuraba)'!$D:$D,MATCH($B531,'Pliegos Tarifarios (Huechuraba)'!$A:$A,0))</f>
        <v>5963.6980499999991</v>
      </c>
      <c r="P531" s="19">
        <f>H531*INDEX('Pliegos Tarifarios (Huechuraba)'!$E:$E,MATCH($B531,'Pliegos Tarifarios (Huechuraba)'!$A:$A,0))</f>
        <v>2092.3056000000001</v>
      </c>
      <c r="Q531" s="19" cm="1">
        <f t="array" ref="Q531">H531*_xlfn.IFS(H531&lt;=350,INDEX('Pliegos Tarifarios (Huechuraba)'!$F:$F,MATCH($B531,'Pliegos Tarifarios (Huechuraba)'!$A:$A,0)),H531&lt;=500,INDEX('Pliegos Tarifarios (Huechuraba)'!$G:$G,MATCH($B531,'Pliegos Tarifarios (Huechuraba)'!$A:$A,0)),H531&lt;=1000,INDEX('Pliegos Tarifarios (Huechuraba)'!$H:$H,MATCH($B531,'Pliegos Tarifarios (Huechuraba)'!$A:$A,0)),H531&lt;=5000,INDEX('Pliegos Tarifarios (Huechuraba)'!$I:$I,MATCH($B531,'Pliegos Tarifarios (Huechuraba)'!$A:$A,0)),H531&gt;5000,INDEX('Pliegos Tarifarios (Huechuraba)'!$J:$J,MATCH($B531,'Pliegos Tarifarios (Huechuraba)'!$A:$A,0)))/1.19</f>
        <v>105.84</v>
      </c>
      <c r="R531" s="19">
        <f>INDEX('Pliegos Tarifarios (Huechuraba)'!$K:$K,MATCH($B531,'Pliegos Tarifarios (Huechuraba)'!$A:$A,0))</f>
        <v>729.75599999999997</v>
      </c>
      <c r="S531" s="36">
        <f t="shared" si="24"/>
        <v>31553.001120000001</v>
      </c>
      <c r="T531" s="36">
        <f t="shared" si="25"/>
        <v>5995.0702128000003</v>
      </c>
      <c r="U531" s="19">
        <v>0</v>
      </c>
      <c r="V531" s="36">
        <f t="shared" si="26"/>
        <v>37548.071332799998</v>
      </c>
    </row>
    <row r="532" spans="1:22" ht="23.4" thickBot="1" x14ac:dyDescent="0.35">
      <c r="A532" s="30" t="s">
        <v>152</v>
      </c>
      <c r="B532" s="31">
        <v>10</v>
      </c>
      <c r="C532" s="32" t="s">
        <v>15</v>
      </c>
      <c r="D532" s="31" t="s">
        <v>140</v>
      </c>
      <c r="E532" s="31" t="s">
        <v>124</v>
      </c>
      <c r="F532" s="32" t="s">
        <v>141</v>
      </c>
      <c r="G532" s="31" t="s">
        <v>33</v>
      </c>
      <c r="H532" s="31">
        <v>80.040000000000006</v>
      </c>
      <c r="I532" s="31">
        <v>0.21</v>
      </c>
      <c r="J532" s="31">
        <v>0.21</v>
      </c>
      <c r="K532" s="34">
        <v>0.98</v>
      </c>
      <c r="L532" s="31">
        <v>2.67</v>
      </c>
      <c r="M532" s="19">
        <f>H532*INDEX('Pliegos Tarifarios (Huechuraba)'!$B:$B,MATCH($B532,'Pliegos Tarifarios (Huechuraba)'!$A:$A,0))</f>
        <v>10546.310520000001</v>
      </c>
      <c r="N532" s="19">
        <f>I532*INDEX('Pliegos Tarifarios (Huechuraba)'!$C:$C,MATCH($B532,'Pliegos Tarifarios (Huechuraba)'!$A:$A,0))</f>
        <v>729.46943999999996</v>
      </c>
      <c r="O532" s="19">
        <f>J532*INDEX('Pliegos Tarifarios (Huechuraba)'!$D:$D,MATCH($B532,'Pliegos Tarifarios (Huechuraba)'!$A:$A,0))</f>
        <v>3054.5770499999999</v>
      </c>
      <c r="P532" s="19">
        <f>H532*INDEX('Pliegos Tarifarios (Huechuraba)'!$E:$E,MATCH($B532,'Pliegos Tarifarios (Huechuraba)'!$A:$A,0))</f>
        <v>1042.4409599999999</v>
      </c>
      <c r="Q532" s="19" cm="1">
        <f t="array" ref="Q532">H532*_xlfn.IFS(H532&lt;=350,INDEX('Pliegos Tarifarios (Huechuraba)'!$F:$F,MATCH($B532,'Pliegos Tarifarios (Huechuraba)'!$A:$A,0)),H532&lt;=500,INDEX('Pliegos Tarifarios (Huechuraba)'!$G:$G,MATCH($B532,'Pliegos Tarifarios (Huechuraba)'!$A:$A,0)),H532&lt;=1000,INDEX('Pliegos Tarifarios (Huechuraba)'!$H:$H,MATCH($B532,'Pliegos Tarifarios (Huechuraba)'!$A:$A,0)),H532&lt;=5000,INDEX('Pliegos Tarifarios (Huechuraba)'!$I:$I,MATCH($B532,'Pliegos Tarifarios (Huechuraba)'!$A:$A,0)),H532&gt;5000,INDEX('Pliegos Tarifarios (Huechuraba)'!$J:$J,MATCH($B532,'Pliegos Tarifarios (Huechuraba)'!$A:$A,0)))/1.19</f>
        <v>52.73223529411765</v>
      </c>
      <c r="R532" s="19">
        <f>INDEX('Pliegos Tarifarios (Huechuraba)'!$K:$K,MATCH($B532,'Pliegos Tarifarios (Huechuraba)'!$A:$A,0))</f>
        <v>729.75599999999997</v>
      </c>
      <c r="S532" s="36">
        <f t="shared" si="24"/>
        <v>16155.286205294118</v>
      </c>
      <c r="T532" s="36">
        <f t="shared" si="25"/>
        <v>3069.5043790058826</v>
      </c>
      <c r="U532" s="19">
        <v>0</v>
      </c>
      <c r="V532" s="36">
        <f t="shared" si="26"/>
        <v>19224.790584300001</v>
      </c>
    </row>
    <row r="533" spans="1:22" ht="23.4" thickBot="1" x14ac:dyDescent="0.35">
      <c r="A533" s="30" t="s">
        <v>152</v>
      </c>
      <c r="B533" s="31">
        <v>10</v>
      </c>
      <c r="C533" s="32" t="s">
        <v>15</v>
      </c>
      <c r="D533" s="31" t="s">
        <v>142</v>
      </c>
      <c r="E533" s="31" t="s">
        <v>124</v>
      </c>
      <c r="F533" s="32" t="s">
        <v>143</v>
      </c>
      <c r="G533" s="31" t="s">
        <v>33</v>
      </c>
      <c r="H533" s="31">
        <v>159.88</v>
      </c>
      <c r="I533" s="31">
        <v>0.43</v>
      </c>
      <c r="J533" s="31">
        <v>0.42</v>
      </c>
      <c r="K533" s="34">
        <v>0.98</v>
      </c>
      <c r="L533" s="31">
        <v>5.33</v>
      </c>
      <c r="M533" s="19">
        <f>H533*INDEX('Pliegos Tarifarios (Huechuraba)'!$B:$B,MATCH($B533,'Pliegos Tarifarios (Huechuraba)'!$A:$A,0))</f>
        <v>21066.26844</v>
      </c>
      <c r="N533" s="19">
        <f>I533*INDEX('Pliegos Tarifarios (Huechuraba)'!$C:$C,MATCH($B533,'Pliegos Tarifarios (Huechuraba)'!$A:$A,0))</f>
        <v>1493.67552</v>
      </c>
      <c r="O533" s="19">
        <f>J533*INDEX('Pliegos Tarifarios (Huechuraba)'!$D:$D,MATCH($B533,'Pliegos Tarifarios (Huechuraba)'!$A:$A,0))</f>
        <v>6109.1540999999997</v>
      </c>
      <c r="P533" s="19">
        <f>H533*INDEX('Pliegos Tarifarios (Huechuraba)'!$E:$E,MATCH($B533,'Pliegos Tarifarios (Huechuraba)'!$A:$A,0))</f>
        <v>2082.2771199999997</v>
      </c>
      <c r="Q533" s="19" cm="1">
        <f t="array" ref="Q533">H533*_xlfn.IFS(H533&lt;=350,INDEX('Pliegos Tarifarios (Huechuraba)'!$F:$F,MATCH($B533,'Pliegos Tarifarios (Huechuraba)'!$A:$A,0)),H533&lt;=500,INDEX('Pliegos Tarifarios (Huechuraba)'!$G:$G,MATCH($B533,'Pliegos Tarifarios (Huechuraba)'!$A:$A,0)),H533&lt;=1000,INDEX('Pliegos Tarifarios (Huechuraba)'!$H:$H,MATCH($B533,'Pliegos Tarifarios (Huechuraba)'!$A:$A,0)),H533&lt;=5000,INDEX('Pliegos Tarifarios (Huechuraba)'!$I:$I,MATCH($B533,'Pliegos Tarifarios (Huechuraba)'!$A:$A,0)),H533&gt;5000,INDEX('Pliegos Tarifarios (Huechuraba)'!$J:$J,MATCH($B533,'Pliegos Tarifarios (Huechuraba)'!$A:$A,0)))/1.19</f>
        <v>105.33270588235295</v>
      </c>
      <c r="R533" s="19">
        <f>INDEX('Pliegos Tarifarios (Huechuraba)'!$K:$K,MATCH($B533,'Pliegos Tarifarios (Huechuraba)'!$A:$A,0))</f>
        <v>729.75599999999997</v>
      </c>
      <c r="S533" s="36">
        <f t="shared" si="24"/>
        <v>31586.463885882353</v>
      </c>
      <c r="T533" s="36">
        <f t="shared" si="25"/>
        <v>6001.4281383176467</v>
      </c>
      <c r="U533" s="19">
        <v>0</v>
      </c>
      <c r="V533" s="36">
        <f t="shared" si="26"/>
        <v>37587.892024200002</v>
      </c>
    </row>
    <row r="534" spans="1:22" ht="23.4" thickBot="1" x14ac:dyDescent="0.35">
      <c r="A534" s="25" t="s">
        <v>153</v>
      </c>
      <c r="B534" s="26">
        <v>11</v>
      </c>
      <c r="C534" s="27" t="s">
        <v>15</v>
      </c>
      <c r="D534" s="26" t="s">
        <v>16</v>
      </c>
      <c r="E534" s="26" t="s">
        <v>17</v>
      </c>
      <c r="F534" s="27" t="s">
        <v>18</v>
      </c>
      <c r="G534" s="26" t="s">
        <v>19</v>
      </c>
      <c r="H534" s="28">
        <v>7969.77</v>
      </c>
      <c r="I534" s="26">
        <v>21.91</v>
      </c>
      <c r="J534" s="26">
        <v>21.41</v>
      </c>
      <c r="K534" s="29">
        <v>0.97699999999999998</v>
      </c>
      <c r="L534" s="26">
        <v>257.08999999999997</v>
      </c>
      <c r="M534" s="19">
        <f>H534*INDEX('Pliegos Tarifarios (Huechuraba)'!$B:$B,MATCH($B534,'Pliegos Tarifarios (Huechuraba)'!$A:$A,0))</f>
        <v>1050120.8045100002</v>
      </c>
      <c r="N534" s="19">
        <f>I534*INDEX('Pliegos Tarifarios (Huechuraba)'!$C:$C,MATCH($B534,'Pliegos Tarifarios (Huechuraba)'!$A:$A,0))</f>
        <v>76146.079729999998</v>
      </c>
      <c r="O534" s="19">
        <f>J534*INDEX('Pliegos Tarifarios (Huechuraba)'!$D:$D,MATCH($B534,'Pliegos Tarifarios (Huechuraba)'!$A:$A,0))</f>
        <v>311508.47752000001</v>
      </c>
      <c r="P534" s="19">
        <f>H534*INDEX('Pliegos Tarifarios (Huechuraba)'!$E:$E,MATCH($B534,'Pliegos Tarifarios (Huechuraba)'!$A:$A,0))</f>
        <v>103798.28448</v>
      </c>
      <c r="Q534" s="19" cm="1">
        <f t="array" ref="Q534">H534*_xlfn.IFS(H534&lt;=350,INDEX('Pliegos Tarifarios (Huechuraba)'!$F:$F,MATCH($B534,'Pliegos Tarifarios (Huechuraba)'!$A:$A,0)),H534&lt;=500,INDEX('Pliegos Tarifarios (Huechuraba)'!$G:$G,MATCH($B534,'Pliegos Tarifarios (Huechuraba)'!$A:$A,0)),H534&lt;=1000,INDEX('Pliegos Tarifarios (Huechuraba)'!$H:$H,MATCH($B534,'Pliegos Tarifarios (Huechuraba)'!$A:$A,0)),H534&lt;=5000,INDEX('Pliegos Tarifarios (Huechuraba)'!$I:$I,MATCH($B534,'Pliegos Tarifarios (Huechuraba)'!$A:$A,0)),H534&gt;5000,INDEX('Pliegos Tarifarios (Huechuraba)'!$J:$J,MATCH($B534,'Pliegos Tarifarios (Huechuraba)'!$A:$A,0)))/1.19</f>
        <v>26152.900714285719</v>
      </c>
      <c r="R534" s="19">
        <f>INDEX('Pliegos Tarifarios (Huechuraba)'!$K:$K,MATCH($B534,'Pliegos Tarifarios (Huechuraba)'!$A:$A,0))</f>
        <v>732.99199999999996</v>
      </c>
      <c r="S534" s="36">
        <f t="shared" si="24"/>
        <v>1568459.5389542857</v>
      </c>
      <c r="T534" s="36">
        <f t="shared" si="25"/>
        <v>298007.31240131427</v>
      </c>
      <c r="U534" s="19">
        <v>0</v>
      </c>
      <c r="V534" s="36">
        <f t="shared" si="26"/>
        <v>1866466.8513555999</v>
      </c>
    </row>
    <row r="535" spans="1:22" ht="23.4" thickBot="1" x14ac:dyDescent="0.35">
      <c r="A535" s="25" t="s">
        <v>153</v>
      </c>
      <c r="B535" s="26">
        <v>11</v>
      </c>
      <c r="C535" s="27" t="s">
        <v>15</v>
      </c>
      <c r="D535" s="26" t="s">
        <v>20</v>
      </c>
      <c r="E535" s="26" t="s">
        <v>21</v>
      </c>
      <c r="F535" s="27" t="s">
        <v>22</v>
      </c>
      <c r="G535" s="26" t="s">
        <v>19</v>
      </c>
      <c r="H535" s="28">
        <v>3981.23</v>
      </c>
      <c r="I535" s="26">
        <v>11.15</v>
      </c>
      <c r="J535" s="26">
        <v>10.68</v>
      </c>
      <c r="K535" s="29">
        <v>0.95799999999999996</v>
      </c>
      <c r="L535" s="26">
        <v>128.43</v>
      </c>
      <c r="M535" s="19">
        <f>H535*INDEX('Pliegos Tarifarios (Huechuraba)'!$B:$B,MATCH($B535,'Pliegos Tarifarios (Huechuraba)'!$A:$A,0))</f>
        <v>524578.80848999997</v>
      </c>
      <c r="N535" s="19">
        <f>I535*INDEX('Pliegos Tarifarios (Huechuraba)'!$C:$C,MATCH($B535,'Pliegos Tarifarios (Huechuraba)'!$A:$A,0))</f>
        <v>38750.743450000002</v>
      </c>
      <c r="O535" s="19">
        <f>J535*INDEX('Pliegos Tarifarios (Huechuraba)'!$D:$D,MATCH($B535,'Pliegos Tarifarios (Huechuraba)'!$A:$A,0))</f>
        <v>155390.49695999999</v>
      </c>
      <c r="P535" s="19">
        <f>H535*INDEX('Pliegos Tarifarios (Huechuraba)'!$E:$E,MATCH($B535,'Pliegos Tarifarios (Huechuraba)'!$A:$A,0))</f>
        <v>51851.539519999998</v>
      </c>
      <c r="Q535" s="19" cm="1">
        <f t="array" ref="Q535">H535*_xlfn.IFS(H535&lt;=350,INDEX('Pliegos Tarifarios (Huechuraba)'!$F:$F,MATCH($B535,'Pliegos Tarifarios (Huechuraba)'!$A:$A,0)),H535&lt;=500,INDEX('Pliegos Tarifarios (Huechuraba)'!$G:$G,MATCH($B535,'Pliegos Tarifarios (Huechuraba)'!$A:$A,0)),H535&lt;=1000,INDEX('Pliegos Tarifarios (Huechuraba)'!$H:$H,MATCH($B535,'Pliegos Tarifarios (Huechuraba)'!$A:$A,0)),H535&lt;=5000,INDEX('Pliegos Tarifarios (Huechuraba)'!$I:$I,MATCH($B535,'Pliegos Tarifarios (Huechuraba)'!$A:$A,0)),H535&gt;5000,INDEX('Pliegos Tarifarios (Huechuraba)'!$J:$J,MATCH($B535,'Pliegos Tarifarios (Huechuraba)'!$A:$A,0)))/1.19</f>
        <v>11947.035571428571</v>
      </c>
      <c r="R535" s="19">
        <f>INDEX('Pliegos Tarifarios (Huechuraba)'!$K:$K,MATCH($B535,'Pliegos Tarifarios (Huechuraba)'!$A:$A,0))</f>
        <v>732.99199999999996</v>
      </c>
      <c r="S535" s="36">
        <f t="shared" si="24"/>
        <v>783251.61599142849</v>
      </c>
      <c r="T535" s="36">
        <f t="shared" si="25"/>
        <v>148817.80703837142</v>
      </c>
      <c r="U535" s="19">
        <v>0</v>
      </c>
      <c r="V535" s="36">
        <f t="shared" si="26"/>
        <v>932069.42302979995</v>
      </c>
    </row>
    <row r="536" spans="1:22" ht="23.4" thickBot="1" x14ac:dyDescent="0.35">
      <c r="A536" s="25" t="s">
        <v>153</v>
      </c>
      <c r="B536" s="26">
        <v>11</v>
      </c>
      <c r="C536" s="27" t="s">
        <v>15</v>
      </c>
      <c r="D536" s="26" t="s">
        <v>23</v>
      </c>
      <c r="E536" s="26" t="s">
        <v>21</v>
      </c>
      <c r="F536" s="27" t="s">
        <v>24</v>
      </c>
      <c r="G536" s="26" t="s">
        <v>19</v>
      </c>
      <c r="H536" s="28">
        <v>3187.65</v>
      </c>
      <c r="I536" s="26">
        <v>8.81</v>
      </c>
      <c r="J536" s="26">
        <v>8.44</v>
      </c>
      <c r="K536" s="29">
        <v>0.95799999999999996</v>
      </c>
      <c r="L536" s="26">
        <v>102.83</v>
      </c>
      <c r="M536" s="19">
        <f>H536*INDEX('Pliegos Tarifarios (Huechuraba)'!$B:$B,MATCH($B536,'Pliegos Tarifarios (Huechuraba)'!$A:$A,0))</f>
        <v>420014.32695000002</v>
      </c>
      <c r="N536" s="19">
        <f>I536*INDEX('Pliegos Tarifarios (Huechuraba)'!$C:$C,MATCH($B536,'Pliegos Tarifarios (Huechuraba)'!$A:$A,0))</f>
        <v>30618.300429999999</v>
      </c>
      <c r="O536" s="19">
        <f>J536*INDEX('Pliegos Tarifarios (Huechuraba)'!$D:$D,MATCH($B536,'Pliegos Tarifarios (Huechuraba)'!$A:$A,0))</f>
        <v>122799.23168</v>
      </c>
      <c r="P536" s="19">
        <f>H536*INDEX('Pliegos Tarifarios (Huechuraba)'!$E:$E,MATCH($B536,'Pliegos Tarifarios (Huechuraba)'!$A:$A,0))</f>
        <v>41515.953600000001</v>
      </c>
      <c r="Q536" s="19" cm="1">
        <f t="array" ref="Q536">H536*_xlfn.IFS(H536&lt;=350,INDEX('Pliegos Tarifarios (Huechuraba)'!$F:$F,MATCH($B536,'Pliegos Tarifarios (Huechuraba)'!$A:$A,0)),H536&lt;=500,INDEX('Pliegos Tarifarios (Huechuraba)'!$G:$G,MATCH($B536,'Pliegos Tarifarios (Huechuraba)'!$A:$A,0)),H536&lt;=1000,INDEX('Pliegos Tarifarios (Huechuraba)'!$H:$H,MATCH($B536,'Pliegos Tarifarios (Huechuraba)'!$A:$A,0)),H536&lt;=5000,INDEX('Pliegos Tarifarios (Huechuraba)'!$I:$I,MATCH($B536,'Pliegos Tarifarios (Huechuraba)'!$A:$A,0)),H536&gt;5000,INDEX('Pliegos Tarifarios (Huechuraba)'!$J:$J,MATCH($B536,'Pliegos Tarifarios (Huechuraba)'!$A:$A,0)))/1.19</f>
        <v>9565.6286974789928</v>
      </c>
      <c r="R536" s="19">
        <f>INDEX('Pliegos Tarifarios (Huechuraba)'!$K:$K,MATCH($B536,'Pliegos Tarifarios (Huechuraba)'!$A:$A,0))</f>
        <v>732.99199999999996</v>
      </c>
      <c r="S536" s="36">
        <f t="shared" si="24"/>
        <v>625246.43335747905</v>
      </c>
      <c r="T536" s="36">
        <f t="shared" si="25"/>
        <v>118796.82233792102</v>
      </c>
      <c r="U536" s="19">
        <v>0</v>
      </c>
      <c r="V536" s="36">
        <f t="shared" si="26"/>
        <v>744043.25569540006</v>
      </c>
    </row>
    <row r="537" spans="1:22" ht="23.4" thickBot="1" x14ac:dyDescent="0.35">
      <c r="A537" s="25" t="s">
        <v>153</v>
      </c>
      <c r="B537" s="26">
        <v>11</v>
      </c>
      <c r="C537" s="27" t="s">
        <v>15</v>
      </c>
      <c r="D537" s="26" t="s">
        <v>25</v>
      </c>
      <c r="E537" s="26" t="s">
        <v>21</v>
      </c>
      <c r="F537" s="27" t="s">
        <v>26</v>
      </c>
      <c r="G537" s="26" t="s">
        <v>19</v>
      </c>
      <c r="H537" s="28">
        <v>2652.3</v>
      </c>
      <c r="I537" s="26">
        <v>7.32</v>
      </c>
      <c r="J537" s="26">
        <v>7.32</v>
      </c>
      <c r="K537" s="29">
        <v>1</v>
      </c>
      <c r="L537" s="26">
        <v>85.56</v>
      </c>
      <c r="M537" s="19">
        <f>H537*INDEX('Pliegos Tarifarios (Huechuraba)'!$B:$B,MATCH($B537,'Pliegos Tarifarios (Huechuraba)'!$A:$A,0))</f>
        <v>349475.00490000006</v>
      </c>
      <c r="N537" s="19">
        <f>I537*INDEX('Pliegos Tarifarios (Huechuraba)'!$C:$C,MATCH($B537,'Pliegos Tarifarios (Huechuraba)'!$A:$A,0))</f>
        <v>25439.949959999998</v>
      </c>
      <c r="O537" s="19">
        <f>J537*INDEX('Pliegos Tarifarios (Huechuraba)'!$D:$D,MATCH($B537,'Pliegos Tarifarios (Huechuraba)'!$A:$A,0))</f>
        <v>106503.59904</v>
      </c>
      <c r="P537" s="19">
        <f>H537*INDEX('Pliegos Tarifarios (Huechuraba)'!$E:$E,MATCH($B537,'Pliegos Tarifarios (Huechuraba)'!$A:$A,0))</f>
        <v>34543.555200000003</v>
      </c>
      <c r="Q537" s="19" cm="1">
        <f t="array" ref="Q537">H537*_xlfn.IFS(H537&lt;=350,INDEX('Pliegos Tarifarios (Huechuraba)'!$F:$F,MATCH($B537,'Pliegos Tarifarios (Huechuraba)'!$A:$A,0)),H537&lt;=500,INDEX('Pliegos Tarifarios (Huechuraba)'!$G:$G,MATCH($B537,'Pliegos Tarifarios (Huechuraba)'!$A:$A,0)),H537&lt;=1000,INDEX('Pliegos Tarifarios (Huechuraba)'!$H:$H,MATCH($B537,'Pliegos Tarifarios (Huechuraba)'!$A:$A,0)),H537&lt;=5000,INDEX('Pliegos Tarifarios (Huechuraba)'!$I:$I,MATCH($B537,'Pliegos Tarifarios (Huechuraba)'!$A:$A,0)),H537&gt;5000,INDEX('Pliegos Tarifarios (Huechuraba)'!$J:$J,MATCH($B537,'Pliegos Tarifarios (Huechuraba)'!$A:$A,0)))/1.19</f>
        <v>7959.1288235294114</v>
      </c>
      <c r="R537" s="19">
        <f>INDEX('Pliegos Tarifarios (Huechuraba)'!$K:$K,MATCH($B537,'Pliegos Tarifarios (Huechuraba)'!$A:$A,0))</f>
        <v>732.99199999999996</v>
      </c>
      <c r="S537" s="36">
        <f t="shared" si="24"/>
        <v>524654.22992352943</v>
      </c>
      <c r="T537" s="36">
        <f t="shared" si="25"/>
        <v>99684.303685470601</v>
      </c>
      <c r="U537" s="19">
        <v>0</v>
      </c>
      <c r="V537" s="36">
        <f t="shared" si="26"/>
        <v>624338.53360900003</v>
      </c>
    </row>
    <row r="538" spans="1:22" ht="23.4" thickBot="1" x14ac:dyDescent="0.35">
      <c r="A538" s="25" t="s">
        <v>153</v>
      </c>
      <c r="B538" s="26">
        <v>11</v>
      </c>
      <c r="C538" s="27" t="s">
        <v>15</v>
      </c>
      <c r="D538" s="26" t="s">
        <v>27</v>
      </c>
      <c r="E538" s="26" t="s">
        <v>21</v>
      </c>
      <c r="F538" s="27" t="s">
        <v>28</v>
      </c>
      <c r="G538" s="26" t="s">
        <v>19</v>
      </c>
      <c r="H538" s="28">
        <v>2862.51</v>
      </c>
      <c r="I538" s="26">
        <v>7.8</v>
      </c>
      <c r="J538" s="26">
        <v>7.8</v>
      </c>
      <c r="K538" s="29">
        <v>1</v>
      </c>
      <c r="L538" s="26">
        <v>92.34</v>
      </c>
      <c r="M538" s="19">
        <f>H538*INDEX('Pliegos Tarifarios (Huechuraba)'!$B:$B,MATCH($B538,'Pliegos Tarifarios (Huechuraba)'!$A:$A,0))</f>
        <v>377172.90513000003</v>
      </c>
      <c r="N538" s="19">
        <f>I538*INDEX('Pliegos Tarifarios (Huechuraba)'!$C:$C,MATCH($B538,'Pliegos Tarifarios (Huechuraba)'!$A:$A,0))</f>
        <v>27108.143399999997</v>
      </c>
      <c r="O538" s="19">
        <f>J538*INDEX('Pliegos Tarifarios (Huechuraba)'!$D:$D,MATCH($B538,'Pliegos Tarifarios (Huechuraba)'!$A:$A,0))</f>
        <v>113487.44160000001</v>
      </c>
      <c r="P538" s="19">
        <f>H538*INDEX('Pliegos Tarifarios (Huechuraba)'!$E:$E,MATCH($B538,'Pliegos Tarifarios (Huechuraba)'!$A:$A,0))</f>
        <v>37281.330240000003</v>
      </c>
      <c r="Q538" s="19" cm="1">
        <f t="array" ref="Q538">H538*_xlfn.IFS(H538&lt;=350,INDEX('Pliegos Tarifarios (Huechuraba)'!$F:$F,MATCH($B538,'Pliegos Tarifarios (Huechuraba)'!$A:$A,0)),H538&lt;=500,INDEX('Pliegos Tarifarios (Huechuraba)'!$G:$G,MATCH($B538,'Pliegos Tarifarios (Huechuraba)'!$A:$A,0)),H538&lt;=1000,INDEX('Pliegos Tarifarios (Huechuraba)'!$H:$H,MATCH($B538,'Pliegos Tarifarios (Huechuraba)'!$A:$A,0)),H538&lt;=5000,INDEX('Pliegos Tarifarios (Huechuraba)'!$I:$I,MATCH($B538,'Pliegos Tarifarios (Huechuraba)'!$A:$A,0)),H538&gt;5000,INDEX('Pliegos Tarifarios (Huechuraba)'!$J:$J,MATCH($B538,'Pliegos Tarifarios (Huechuraba)'!$A:$A,0)))/1.19</f>
        <v>8589.9354705882361</v>
      </c>
      <c r="R538" s="19">
        <f>INDEX('Pliegos Tarifarios (Huechuraba)'!$K:$K,MATCH($B538,'Pliegos Tarifarios (Huechuraba)'!$A:$A,0))</f>
        <v>732.99199999999996</v>
      </c>
      <c r="S538" s="36">
        <f t="shared" si="24"/>
        <v>564372.74784058833</v>
      </c>
      <c r="T538" s="36">
        <f t="shared" si="25"/>
        <v>107230.82208971179</v>
      </c>
      <c r="U538" s="19">
        <v>0</v>
      </c>
      <c r="V538" s="36">
        <f t="shared" si="26"/>
        <v>671603.56993030012</v>
      </c>
    </row>
    <row r="539" spans="1:22" ht="23.4" thickBot="1" x14ac:dyDescent="0.35">
      <c r="A539" s="25" t="s">
        <v>153</v>
      </c>
      <c r="B539" s="26">
        <v>11</v>
      </c>
      <c r="C539" s="27" t="s">
        <v>15</v>
      </c>
      <c r="D539" s="26" t="s">
        <v>29</v>
      </c>
      <c r="E539" s="26" t="s">
        <v>21</v>
      </c>
      <c r="F539" s="27" t="s">
        <v>30</v>
      </c>
      <c r="G539" s="26" t="s">
        <v>19</v>
      </c>
      <c r="H539" s="28">
        <v>1915.7</v>
      </c>
      <c r="I539" s="26">
        <v>5.41</v>
      </c>
      <c r="J539" s="26">
        <v>5.16</v>
      </c>
      <c r="K539" s="29">
        <v>0.95199999999999996</v>
      </c>
      <c r="L539" s="26">
        <v>61.8</v>
      </c>
      <c r="M539" s="19">
        <f>H539*INDEX('Pliegos Tarifarios (Huechuraba)'!$B:$B,MATCH($B539,'Pliegos Tarifarios (Huechuraba)'!$A:$A,0))</f>
        <v>252418.37910000002</v>
      </c>
      <c r="N539" s="19">
        <f>I539*INDEX('Pliegos Tarifarios (Huechuraba)'!$C:$C,MATCH($B539,'Pliegos Tarifarios (Huechuraba)'!$A:$A,0))</f>
        <v>18801.930229999998</v>
      </c>
      <c r="O539" s="19">
        <f>J539*INDEX('Pliegos Tarifarios (Huechuraba)'!$D:$D,MATCH($B539,'Pliegos Tarifarios (Huechuraba)'!$A:$A,0))</f>
        <v>75076.307520000002</v>
      </c>
      <c r="P539" s="19">
        <f>H539*INDEX('Pliegos Tarifarios (Huechuraba)'!$E:$E,MATCH($B539,'Pliegos Tarifarios (Huechuraba)'!$A:$A,0))</f>
        <v>24950.076799999999</v>
      </c>
      <c r="Q539" s="19" cm="1">
        <f t="array" ref="Q539">H539*_xlfn.IFS(H539&lt;=350,INDEX('Pliegos Tarifarios (Huechuraba)'!$F:$F,MATCH($B539,'Pliegos Tarifarios (Huechuraba)'!$A:$A,0)),H539&lt;=500,INDEX('Pliegos Tarifarios (Huechuraba)'!$G:$G,MATCH($B539,'Pliegos Tarifarios (Huechuraba)'!$A:$A,0)),H539&lt;=1000,INDEX('Pliegos Tarifarios (Huechuraba)'!$H:$H,MATCH($B539,'Pliegos Tarifarios (Huechuraba)'!$A:$A,0)),H539&lt;=5000,INDEX('Pliegos Tarifarios (Huechuraba)'!$I:$I,MATCH($B539,'Pliegos Tarifarios (Huechuraba)'!$A:$A,0)),H539&gt;5000,INDEX('Pliegos Tarifarios (Huechuraba)'!$J:$J,MATCH($B539,'Pliegos Tarifarios (Huechuraba)'!$A:$A,0)))/1.19</f>
        <v>5748.7098319327733</v>
      </c>
      <c r="R539" s="19">
        <f>INDEX('Pliegos Tarifarios (Huechuraba)'!$K:$K,MATCH($B539,'Pliegos Tarifarios (Huechuraba)'!$A:$A,0))</f>
        <v>732.99199999999996</v>
      </c>
      <c r="S539" s="36">
        <f t="shared" si="24"/>
        <v>377728.39548193279</v>
      </c>
      <c r="T539" s="36">
        <f t="shared" si="25"/>
        <v>71768.395141567235</v>
      </c>
      <c r="U539" s="19">
        <v>0</v>
      </c>
      <c r="V539" s="36">
        <f t="shared" si="26"/>
        <v>449496.79062350001</v>
      </c>
    </row>
    <row r="540" spans="1:22" ht="23.4" thickBot="1" x14ac:dyDescent="0.35">
      <c r="A540" s="25" t="s">
        <v>153</v>
      </c>
      <c r="B540" s="26">
        <v>11</v>
      </c>
      <c r="C540" s="27" t="s">
        <v>15</v>
      </c>
      <c r="D540" s="26" t="s">
        <v>31</v>
      </c>
      <c r="E540" s="26" t="s">
        <v>21</v>
      </c>
      <c r="F540" s="27" t="s">
        <v>32</v>
      </c>
      <c r="G540" s="26" t="s">
        <v>33</v>
      </c>
      <c r="H540" s="26">
        <v>637.34</v>
      </c>
      <c r="I540" s="26">
        <v>1.73</v>
      </c>
      <c r="J540" s="26">
        <v>1.73</v>
      </c>
      <c r="K540" s="29">
        <v>1</v>
      </c>
      <c r="L540" s="26">
        <v>20.56</v>
      </c>
      <c r="M540" s="19">
        <f>H540*INDEX('Pliegos Tarifarios (Huechuraba)'!$B:$B,MATCH($B540,'Pliegos Tarifarios (Huechuraba)'!$A:$A,0))</f>
        <v>83977.830420000013</v>
      </c>
      <c r="N540" s="19">
        <f>I540*INDEX('Pliegos Tarifarios (Huechuraba)'!$C:$C,MATCH($B540,'Pliegos Tarifarios (Huechuraba)'!$A:$A,0))</f>
        <v>6012.4471899999999</v>
      </c>
      <c r="O540" s="19">
        <f>J540*INDEX('Pliegos Tarifarios (Huechuraba)'!$D:$D,MATCH($B540,'Pliegos Tarifarios (Huechuraba)'!$A:$A,0))</f>
        <v>25170.932560000001</v>
      </c>
      <c r="P540" s="19">
        <f>H540*INDEX('Pliegos Tarifarios (Huechuraba)'!$E:$E,MATCH($B540,'Pliegos Tarifarios (Huechuraba)'!$A:$A,0))</f>
        <v>8300.7161599999999</v>
      </c>
      <c r="Q540" s="19" cm="1">
        <f t="array" ref="Q540">H540*_xlfn.IFS(H540&lt;=350,INDEX('Pliegos Tarifarios (Huechuraba)'!$F:$F,MATCH($B540,'Pliegos Tarifarios (Huechuraba)'!$A:$A,0)),H540&lt;=500,INDEX('Pliegos Tarifarios (Huechuraba)'!$G:$G,MATCH($B540,'Pliegos Tarifarios (Huechuraba)'!$A:$A,0)),H540&lt;=1000,INDEX('Pliegos Tarifarios (Huechuraba)'!$H:$H,MATCH($B540,'Pliegos Tarifarios (Huechuraba)'!$A:$A,0)),H540&lt;=5000,INDEX('Pliegos Tarifarios (Huechuraba)'!$I:$I,MATCH($B540,'Pliegos Tarifarios (Huechuraba)'!$A:$A,0)),H540&gt;5000,INDEX('Pliegos Tarifarios (Huechuraba)'!$J:$J,MATCH($B540,'Pliegos Tarifarios (Huechuraba)'!$A:$A,0)))/1.19</f>
        <v>1494.8033109243702</v>
      </c>
      <c r="R540" s="19">
        <f>INDEX('Pliegos Tarifarios (Huechuraba)'!$K:$K,MATCH($B540,'Pliegos Tarifarios (Huechuraba)'!$A:$A,0))</f>
        <v>732.99199999999996</v>
      </c>
      <c r="S540" s="36">
        <f t="shared" si="24"/>
        <v>125689.72164092438</v>
      </c>
      <c r="T540" s="36">
        <f t="shared" si="25"/>
        <v>23881.047111775635</v>
      </c>
      <c r="U540" s="19">
        <v>0</v>
      </c>
      <c r="V540" s="36">
        <f t="shared" si="26"/>
        <v>149570.76875270001</v>
      </c>
    </row>
    <row r="541" spans="1:22" ht="23.4" thickBot="1" x14ac:dyDescent="0.35">
      <c r="A541" s="25" t="s">
        <v>153</v>
      </c>
      <c r="B541" s="26">
        <v>11</v>
      </c>
      <c r="C541" s="27" t="s">
        <v>15</v>
      </c>
      <c r="D541" s="26" t="s">
        <v>34</v>
      </c>
      <c r="E541" s="26" t="s">
        <v>21</v>
      </c>
      <c r="F541" s="27" t="s">
        <v>35</v>
      </c>
      <c r="G541" s="26" t="s">
        <v>19</v>
      </c>
      <c r="H541" s="28">
        <v>1909.8</v>
      </c>
      <c r="I541" s="26">
        <v>5.19</v>
      </c>
      <c r="J541" s="26">
        <v>5.14</v>
      </c>
      <c r="K541" s="29">
        <v>0.98899999999999999</v>
      </c>
      <c r="L541" s="26">
        <v>61.61</v>
      </c>
      <c r="M541" s="19">
        <f>H541*INDEX('Pliegos Tarifarios (Huechuraba)'!$B:$B,MATCH($B541,'Pliegos Tarifarios (Huechuraba)'!$A:$A,0))</f>
        <v>251640.9774</v>
      </c>
      <c r="N541" s="19">
        <f>I541*INDEX('Pliegos Tarifarios (Huechuraba)'!$C:$C,MATCH($B541,'Pliegos Tarifarios (Huechuraba)'!$A:$A,0))</f>
        <v>18037.341570000001</v>
      </c>
      <c r="O541" s="19">
        <f>J541*INDEX('Pliegos Tarifarios (Huechuraba)'!$D:$D,MATCH($B541,'Pliegos Tarifarios (Huechuraba)'!$A:$A,0))</f>
        <v>74785.314079999996</v>
      </c>
      <c r="P541" s="19">
        <f>H541*INDEX('Pliegos Tarifarios (Huechuraba)'!$E:$E,MATCH($B541,'Pliegos Tarifarios (Huechuraba)'!$A:$A,0))</f>
        <v>24873.235199999999</v>
      </c>
      <c r="Q541" s="19" cm="1">
        <f t="array" ref="Q541">H541*_xlfn.IFS(H541&lt;=350,INDEX('Pliegos Tarifarios (Huechuraba)'!$F:$F,MATCH($B541,'Pliegos Tarifarios (Huechuraba)'!$A:$A,0)),H541&lt;=500,INDEX('Pliegos Tarifarios (Huechuraba)'!$G:$G,MATCH($B541,'Pliegos Tarifarios (Huechuraba)'!$A:$A,0)),H541&lt;=1000,INDEX('Pliegos Tarifarios (Huechuraba)'!$H:$H,MATCH($B541,'Pliegos Tarifarios (Huechuraba)'!$A:$A,0)),H541&lt;=5000,INDEX('Pliegos Tarifarios (Huechuraba)'!$I:$I,MATCH($B541,'Pliegos Tarifarios (Huechuraba)'!$A:$A,0)),H541&gt;5000,INDEX('Pliegos Tarifarios (Huechuraba)'!$J:$J,MATCH($B541,'Pliegos Tarifarios (Huechuraba)'!$A:$A,0)))/1.19</f>
        <v>5731.0048739495796</v>
      </c>
      <c r="R541" s="19">
        <f>INDEX('Pliegos Tarifarios (Huechuraba)'!$K:$K,MATCH($B541,'Pliegos Tarifarios (Huechuraba)'!$A:$A,0))</f>
        <v>732.99199999999996</v>
      </c>
      <c r="S541" s="36">
        <f t="shared" si="24"/>
        <v>375800.8651239496</v>
      </c>
      <c r="T541" s="36">
        <f t="shared" si="25"/>
        <v>71402.164373550419</v>
      </c>
      <c r="U541" s="19">
        <v>0</v>
      </c>
      <c r="V541" s="36">
        <f t="shared" si="26"/>
        <v>447203.02949750004</v>
      </c>
    </row>
    <row r="542" spans="1:22" ht="23.4" thickBot="1" x14ac:dyDescent="0.35">
      <c r="A542" s="25" t="s">
        <v>153</v>
      </c>
      <c r="B542" s="26">
        <v>11</v>
      </c>
      <c r="C542" s="27" t="s">
        <v>15</v>
      </c>
      <c r="D542" s="26" t="s">
        <v>36</v>
      </c>
      <c r="E542" s="26" t="s">
        <v>37</v>
      </c>
      <c r="F542" s="27" t="s">
        <v>38</v>
      </c>
      <c r="G542" s="26" t="s">
        <v>33</v>
      </c>
      <c r="H542" s="26">
        <v>796.7</v>
      </c>
      <c r="I542" s="26">
        <v>2.21</v>
      </c>
      <c r="J542" s="26">
        <v>2.21</v>
      </c>
      <c r="K542" s="29">
        <v>1</v>
      </c>
      <c r="L542" s="26">
        <v>25.7</v>
      </c>
      <c r="M542" s="19">
        <f>H542*INDEX('Pliegos Tarifarios (Huechuraba)'!$B:$B,MATCH($B542,'Pliegos Tarifarios (Huechuraba)'!$A:$A,0))</f>
        <v>104975.58210000001</v>
      </c>
      <c r="N542" s="19">
        <f>I542*INDEX('Pliegos Tarifarios (Huechuraba)'!$C:$C,MATCH($B542,'Pliegos Tarifarios (Huechuraba)'!$A:$A,0))</f>
        <v>7680.640629999999</v>
      </c>
      <c r="O542" s="19">
        <f>J542*INDEX('Pliegos Tarifarios (Huechuraba)'!$D:$D,MATCH($B542,'Pliegos Tarifarios (Huechuraba)'!$A:$A,0))</f>
        <v>32154.775120000002</v>
      </c>
      <c r="P542" s="19">
        <f>H542*INDEX('Pliegos Tarifarios (Huechuraba)'!$E:$E,MATCH($B542,'Pliegos Tarifarios (Huechuraba)'!$A:$A,0))</f>
        <v>10376.220799999999</v>
      </c>
      <c r="Q542" s="19" cm="1">
        <f t="array" ref="Q542">H542*_xlfn.IFS(H542&lt;=350,INDEX('Pliegos Tarifarios (Huechuraba)'!$F:$F,MATCH($B542,'Pliegos Tarifarios (Huechuraba)'!$A:$A,0)),H542&lt;=500,INDEX('Pliegos Tarifarios (Huechuraba)'!$G:$G,MATCH($B542,'Pliegos Tarifarios (Huechuraba)'!$A:$A,0)),H542&lt;=1000,INDEX('Pliegos Tarifarios (Huechuraba)'!$H:$H,MATCH($B542,'Pliegos Tarifarios (Huechuraba)'!$A:$A,0)),H542&lt;=5000,INDEX('Pliegos Tarifarios (Huechuraba)'!$I:$I,MATCH($B542,'Pliegos Tarifarios (Huechuraba)'!$A:$A,0)),H542&gt;5000,INDEX('Pliegos Tarifarios (Huechuraba)'!$J:$J,MATCH($B542,'Pliegos Tarifarios (Huechuraba)'!$A:$A,0)))/1.19</f>
        <v>1868.5627731092441</v>
      </c>
      <c r="R542" s="19">
        <f>INDEX('Pliegos Tarifarios (Huechuraba)'!$K:$K,MATCH($B542,'Pliegos Tarifarios (Huechuraba)'!$A:$A,0))</f>
        <v>732.99199999999996</v>
      </c>
      <c r="S542" s="36">
        <f t="shared" si="24"/>
        <v>157788.77342310926</v>
      </c>
      <c r="T542" s="36">
        <f t="shared" si="25"/>
        <v>29979.866950390759</v>
      </c>
      <c r="U542" s="19">
        <v>0</v>
      </c>
      <c r="V542" s="36">
        <f t="shared" si="26"/>
        <v>187768.64037350001</v>
      </c>
    </row>
    <row r="543" spans="1:22" ht="23.4" thickBot="1" x14ac:dyDescent="0.35">
      <c r="A543" s="25" t="s">
        <v>153</v>
      </c>
      <c r="B543" s="26">
        <v>11</v>
      </c>
      <c r="C543" s="27" t="s">
        <v>15</v>
      </c>
      <c r="D543" s="26" t="s">
        <v>39</v>
      </c>
      <c r="E543" s="26" t="s">
        <v>37</v>
      </c>
      <c r="F543" s="27" t="s">
        <v>40</v>
      </c>
      <c r="G543" s="26" t="s">
        <v>33</v>
      </c>
      <c r="H543" s="26">
        <v>636.9</v>
      </c>
      <c r="I543" s="26">
        <v>1.75</v>
      </c>
      <c r="J543" s="26">
        <v>1.7</v>
      </c>
      <c r="K543" s="29">
        <v>0.97099999999999997</v>
      </c>
      <c r="L543" s="26">
        <v>20.55</v>
      </c>
      <c r="M543" s="19">
        <f>H543*INDEX('Pliegos Tarifarios (Huechuraba)'!$B:$B,MATCH($B543,'Pliegos Tarifarios (Huechuraba)'!$A:$A,0))</f>
        <v>83919.854699999996</v>
      </c>
      <c r="N543" s="19">
        <f>I543*INDEX('Pliegos Tarifarios (Huechuraba)'!$C:$C,MATCH($B543,'Pliegos Tarifarios (Huechuraba)'!$A:$A,0))</f>
        <v>6081.95525</v>
      </c>
      <c r="O543" s="19">
        <f>J543*INDEX('Pliegos Tarifarios (Huechuraba)'!$D:$D,MATCH($B543,'Pliegos Tarifarios (Huechuraba)'!$A:$A,0))</f>
        <v>24734.4424</v>
      </c>
      <c r="P543" s="19">
        <f>H543*INDEX('Pliegos Tarifarios (Huechuraba)'!$E:$E,MATCH($B543,'Pliegos Tarifarios (Huechuraba)'!$A:$A,0))</f>
        <v>8294.9856</v>
      </c>
      <c r="Q543" s="19" cm="1">
        <f t="array" ref="Q543">H543*_xlfn.IFS(H543&lt;=350,INDEX('Pliegos Tarifarios (Huechuraba)'!$F:$F,MATCH($B543,'Pliegos Tarifarios (Huechuraba)'!$A:$A,0)),H543&lt;=500,INDEX('Pliegos Tarifarios (Huechuraba)'!$G:$G,MATCH($B543,'Pliegos Tarifarios (Huechuraba)'!$A:$A,0)),H543&lt;=1000,INDEX('Pliegos Tarifarios (Huechuraba)'!$H:$H,MATCH($B543,'Pliegos Tarifarios (Huechuraba)'!$A:$A,0)),H543&lt;=5000,INDEX('Pliegos Tarifarios (Huechuraba)'!$I:$I,MATCH($B543,'Pliegos Tarifarios (Huechuraba)'!$A:$A,0)),H543&gt;5000,INDEX('Pliegos Tarifarios (Huechuraba)'!$J:$J,MATCH($B543,'Pliegos Tarifarios (Huechuraba)'!$A:$A,0)))/1.19</f>
        <v>1493.7713445378154</v>
      </c>
      <c r="R543" s="19">
        <f>INDEX('Pliegos Tarifarios (Huechuraba)'!$K:$K,MATCH($B543,'Pliegos Tarifarios (Huechuraba)'!$A:$A,0))</f>
        <v>732.99199999999996</v>
      </c>
      <c r="S543" s="36">
        <f t="shared" si="24"/>
        <v>125258.00129453781</v>
      </c>
      <c r="T543" s="36">
        <f t="shared" si="25"/>
        <v>23799.020245962183</v>
      </c>
      <c r="U543" s="19">
        <v>0</v>
      </c>
      <c r="V543" s="36">
        <f t="shared" si="26"/>
        <v>149057.02154049999</v>
      </c>
    </row>
    <row r="544" spans="1:22" ht="23.4" thickBot="1" x14ac:dyDescent="0.35">
      <c r="A544" s="25" t="s">
        <v>153</v>
      </c>
      <c r="B544" s="26">
        <v>11</v>
      </c>
      <c r="C544" s="27" t="s">
        <v>15</v>
      </c>
      <c r="D544" s="26" t="s">
        <v>41</v>
      </c>
      <c r="E544" s="26" t="s">
        <v>37</v>
      </c>
      <c r="F544" s="27" t="s">
        <v>42</v>
      </c>
      <c r="G544" s="26" t="s">
        <v>33</v>
      </c>
      <c r="H544" s="28">
        <v>1275.23</v>
      </c>
      <c r="I544" s="26">
        <v>3.47</v>
      </c>
      <c r="J544" s="26">
        <v>3.47</v>
      </c>
      <c r="K544" s="29">
        <v>1</v>
      </c>
      <c r="L544" s="26">
        <v>41.14</v>
      </c>
      <c r="M544" s="19">
        <f>H544*INDEX('Pliegos Tarifarios (Huechuraba)'!$B:$B,MATCH($B544,'Pliegos Tarifarios (Huechuraba)'!$A:$A,0))</f>
        <v>168028.13049000001</v>
      </c>
      <c r="N544" s="19">
        <f>I544*INDEX('Pliegos Tarifarios (Huechuraba)'!$C:$C,MATCH($B544,'Pliegos Tarifarios (Huechuraba)'!$A:$A,0))</f>
        <v>12059.64841</v>
      </c>
      <c r="O544" s="19">
        <f>J544*INDEX('Pliegos Tarifarios (Huechuraba)'!$D:$D,MATCH($B544,'Pliegos Tarifarios (Huechuraba)'!$A:$A,0))</f>
        <v>50487.361840000005</v>
      </c>
      <c r="P544" s="19">
        <f>H544*INDEX('Pliegos Tarifarios (Huechuraba)'!$E:$E,MATCH($B544,'Pliegos Tarifarios (Huechuraba)'!$A:$A,0))</f>
        <v>16608.595519999999</v>
      </c>
      <c r="Q544" s="19" cm="1">
        <f t="array" ref="Q544">H544*_xlfn.IFS(H544&lt;=350,INDEX('Pliegos Tarifarios (Huechuraba)'!$F:$F,MATCH($B544,'Pliegos Tarifarios (Huechuraba)'!$A:$A,0)),H544&lt;=500,INDEX('Pliegos Tarifarios (Huechuraba)'!$G:$G,MATCH($B544,'Pliegos Tarifarios (Huechuraba)'!$A:$A,0)),H544&lt;=1000,INDEX('Pliegos Tarifarios (Huechuraba)'!$H:$H,MATCH($B544,'Pliegos Tarifarios (Huechuraba)'!$A:$A,0)),H544&lt;=5000,INDEX('Pliegos Tarifarios (Huechuraba)'!$I:$I,MATCH($B544,'Pliegos Tarifarios (Huechuraba)'!$A:$A,0)),H544&gt;5000,INDEX('Pliegos Tarifarios (Huechuraba)'!$J:$J,MATCH($B544,'Pliegos Tarifarios (Huechuraba)'!$A:$A,0)))/1.19</f>
        <v>3826.7616218487392</v>
      </c>
      <c r="R544" s="19">
        <f>INDEX('Pliegos Tarifarios (Huechuraba)'!$K:$K,MATCH($B544,'Pliegos Tarifarios (Huechuraba)'!$A:$A,0))</f>
        <v>732.99199999999996</v>
      </c>
      <c r="S544" s="36">
        <f t="shared" si="24"/>
        <v>251743.48988184874</v>
      </c>
      <c r="T544" s="36">
        <f t="shared" si="25"/>
        <v>47831.263077551259</v>
      </c>
      <c r="U544" s="19">
        <v>0</v>
      </c>
      <c r="V544" s="36">
        <f t="shared" si="26"/>
        <v>299574.75295940001</v>
      </c>
    </row>
    <row r="545" spans="1:22" ht="23.4" thickBot="1" x14ac:dyDescent="0.35">
      <c r="A545" s="25" t="s">
        <v>153</v>
      </c>
      <c r="B545" s="26">
        <v>11</v>
      </c>
      <c r="C545" s="27" t="s">
        <v>15</v>
      </c>
      <c r="D545" s="26" t="s">
        <v>43</v>
      </c>
      <c r="E545" s="26" t="s">
        <v>37</v>
      </c>
      <c r="F545" s="27" t="s">
        <v>44</v>
      </c>
      <c r="G545" s="26" t="s">
        <v>33</v>
      </c>
      <c r="H545" s="26">
        <v>478.04</v>
      </c>
      <c r="I545" s="26">
        <v>1.32</v>
      </c>
      <c r="J545" s="26">
        <v>1.29</v>
      </c>
      <c r="K545" s="29">
        <v>0.98</v>
      </c>
      <c r="L545" s="26">
        <v>15.42</v>
      </c>
      <c r="M545" s="19">
        <f>H545*INDEX('Pliegos Tarifarios (Huechuraba)'!$B:$B,MATCH($B545,'Pliegos Tarifarios (Huechuraba)'!$A:$A,0))</f>
        <v>62987.984520000005</v>
      </c>
      <c r="N545" s="19">
        <f>I545*INDEX('Pliegos Tarifarios (Huechuraba)'!$C:$C,MATCH($B545,'Pliegos Tarifarios (Huechuraba)'!$A:$A,0))</f>
        <v>4587.5319600000003</v>
      </c>
      <c r="O545" s="19">
        <f>J545*INDEX('Pliegos Tarifarios (Huechuraba)'!$D:$D,MATCH($B545,'Pliegos Tarifarios (Huechuraba)'!$A:$A,0))</f>
        <v>18769.076880000001</v>
      </c>
      <c r="P545" s="19">
        <f>H545*INDEX('Pliegos Tarifarios (Huechuraba)'!$E:$E,MATCH($B545,'Pliegos Tarifarios (Huechuraba)'!$A:$A,0))</f>
        <v>6225.9929599999996</v>
      </c>
      <c r="Q545" s="19" cm="1">
        <f t="array" ref="Q545">H545*_xlfn.IFS(H545&lt;=350,INDEX('Pliegos Tarifarios (Huechuraba)'!$F:$F,MATCH($B545,'Pliegos Tarifarios (Huechuraba)'!$A:$A,0)),H545&lt;=500,INDEX('Pliegos Tarifarios (Huechuraba)'!$G:$G,MATCH($B545,'Pliegos Tarifarios (Huechuraba)'!$A:$A,0)),H545&lt;=1000,INDEX('Pliegos Tarifarios (Huechuraba)'!$H:$H,MATCH($B545,'Pliegos Tarifarios (Huechuraba)'!$A:$A,0)),H545&lt;=5000,INDEX('Pliegos Tarifarios (Huechuraba)'!$I:$I,MATCH($B545,'Pliegos Tarifarios (Huechuraba)'!$A:$A,0)),H545&gt;5000,INDEX('Pliegos Tarifarios (Huechuraba)'!$J:$J,MATCH($B545,'Pliegos Tarifarios (Huechuraba)'!$A:$A,0)))/1.19</f>
        <v>673.27314285714294</v>
      </c>
      <c r="R545" s="19">
        <f>INDEX('Pliegos Tarifarios (Huechuraba)'!$K:$K,MATCH($B545,'Pliegos Tarifarios (Huechuraba)'!$A:$A,0))</f>
        <v>732.99199999999996</v>
      </c>
      <c r="S545" s="36">
        <f t="shared" si="24"/>
        <v>93976.851462857143</v>
      </c>
      <c r="T545" s="36">
        <f t="shared" si="25"/>
        <v>17855.601777942858</v>
      </c>
      <c r="U545" s="19">
        <v>0</v>
      </c>
      <c r="V545" s="36">
        <f t="shared" si="26"/>
        <v>111832.45324080001</v>
      </c>
    </row>
    <row r="546" spans="1:22" ht="23.4" thickBot="1" x14ac:dyDescent="0.35">
      <c r="A546" s="25" t="s">
        <v>153</v>
      </c>
      <c r="B546" s="26">
        <v>11</v>
      </c>
      <c r="C546" s="27" t="s">
        <v>15</v>
      </c>
      <c r="D546" s="26" t="s">
        <v>45</v>
      </c>
      <c r="E546" s="26" t="s">
        <v>37</v>
      </c>
      <c r="F546" s="27" t="s">
        <v>46</v>
      </c>
      <c r="G546" s="26" t="s">
        <v>33</v>
      </c>
      <c r="H546" s="26">
        <v>477.86</v>
      </c>
      <c r="I546" s="26">
        <v>1.32</v>
      </c>
      <c r="J546" s="26">
        <v>1.29</v>
      </c>
      <c r="K546" s="29">
        <v>0.97499999999999998</v>
      </c>
      <c r="L546" s="26">
        <v>15.41</v>
      </c>
      <c r="M546" s="19">
        <f>H546*INDEX('Pliegos Tarifarios (Huechuraba)'!$B:$B,MATCH($B546,'Pliegos Tarifarios (Huechuraba)'!$A:$A,0))</f>
        <v>62964.267180000003</v>
      </c>
      <c r="N546" s="19">
        <f>I546*INDEX('Pliegos Tarifarios (Huechuraba)'!$C:$C,MATCH($B546,'Pliegos Tarifarios (Huechuraba)'!$A:$A,0))</f>
        <v>4587.5319600000003</v>
      </c>
      <c r="O546" s="19">
        <f>J546*INDEX('Pliegos Tarifarios (Huechuraba)'!$D:$D,MATCH($B546,'Pliegos Tarifarios (Huechuraba)'!$A:$A,0))</f>
        <v>18769.076880000001</v>
      </c>
      <c r="P546" s="19">
        <f>H546*INDEX('Pliegos Tarifarios (Huechuraba)'!$E:$E,MATCH($B546,'Pliegos Tarifarios (Huechuraba)'!$A:$A,0))</f>
        <v>6223.6486399999994</v>
      </c>
      <c r="Q546" s="19" cm="1">
        <f t="array" ref="Q546">H546*_xlfn.IFS(H546&lt;=350,INDEX('Pliegos Tarifarios (Huechuraba)'!$F:$F,MATCH($B546,'Pliegos Tarifarios (Huechuraba)'!$A:$A,0)),H546&lt;=500,INDEX('Pliegos Tarifarios (Huechuraba)'!$G:$G,MATCH($B546,'Pliegos Tarifarios (Huechuraba)'!$A:$A,0)),H546&lt;=1000,INDEX('Pliegos Tarifarios (Huechuraba)'!$H:$H,MATCH($B546,'Pliegos Tarifarios (Huechuraba)'!$A:$A,0)),H546&lt;=5000,INDEX('Pliegos Tarifarios (Huechuraba)'!$I:$I,MATCH($B546,'Pliegos Tarifarios (Huechuraba)'!$A:$A,0)),H546&gt;5000,INDEX('Pliegos Tarifarios (Huechuraba)'!$J:$J,MATCH($B546,'Pliegos Tarifarios (Huechuraba)'!$A:$A,0)))/1.19</f>
        <v>673.01963025210102</v>
      </c>
      <c r="R546" s="19">
        <f>INDEX('Pliegos Tarifarios (Huechuraba)'!$K:$K,MATCH($B546,'Pliegos Tarifarios (Huechuraba)'!$A:$A,0))</f>
        <v>732.99199999999996</v>
      </c>
      <c r="S546" s="36">
        <f t="shared" si="24"/>
        <v>93950.536290252101</v>
      </c>
      <c r="T546" s="36">
        <f t="shared" si="25"/>
        <v>17850.601895147898</v>
      </c>
      <c r="U546" s="19">
        <v>0</v>
      </c>
      <c r="V546" s="36">
        <f t="shared" si="26"/>
        <v>111801.13818539999</v>
      </c>
    </row>
    <row r="547" spans="1:22" ht="23.4" thickBot="1" x14ac:dyDescent="0.35">
      <c r="A547" s="25" t="s">
        <v>153</v>
      </c>
      <c r="B547" s="26">
        <v>11</v>
      </c>
      <c r="C547" s="27" t="s">
        <v>15</v>
      </c>
      <c r="D547" s="26" t="s">
        <v>47</v>
      </c>
      <c r="E547" s="26" t="s">
        <v>37</v>
      </c>
      <c r="F547" s="27" t="s">
        <v>48</v>
      </c>
      <c r="G547" s="26" t="s">
        <v>33</v>
      </c>
      <c r="H547" s="26">
        <v>955.34</v>
      </c>
      <c r="I547" s="26">
        <v>2.63</v>
      </c>
      <c r="J547" s="26">
        <v>2.61</v>
      </c>
      <c r="K547" s="29">
        <v>0.99299999999999999</v>
      </c>
      <c r="L547" s="26">
        <v>30.82</v>
      </c>
      <c r="M547" s="19">
        <f>H547*INDEX('Pliegos Tarifarios (Huechuraba)'!$B:$B,MATCH($B547,'Pliegos Tarifarios (Huechuraba)'!$A:$A,0))</f>
        <v>125878.46442</v>
      </c>
      <c r="N547" s="19">
        <f>I547*INDEX('Pliegos Tarifarios (Huechuraba)'!$C:$C,MATCH($B547,'Pliegos Tarifarios (Huechuraba)'!$A:$A,0))</f>
        <v>9140.3098899999986</v>
      </c>
      <c r="O547" s="19">
        <f>J547*INDEX('Pliegos Tarifarios (Huechuraba)'!$D:$D,MATCH($B547,'Pliegos Tarifarios (Huechuraba)'!$A:$A,0))</f>
        <v>37974.643920000002</v>
      </c>
      <c r="P547" s="19">
        <f>H547*INDEX('Pliegos Tarifarios (Huechuraba)'!$E:$E,MATCH($B547,'Pliegos Tarifarios (Huechuraba)'!$A:$A,0))</f>
        <v>12442.34816</v>
      </c>
      <c r="Q547" s="19" cm="1">
        <f t="array" ref="Q547">H547*_xlfn.IFS(H547&lt;=350,INDEX('Pliegos Tarifarios (Huechuraba)'!$F:$F,MATCH($B547,'Pliegos Tarifarios (Huechuraba)'!$A:$A,0)),H547&lt;=500,INDEX('Pliegos Tarifarios (Huechuraba)'!$G:$G,MATCH($B547,'Pliegos Tarifarios (Huechuraba)'!$A:$A,0)),H547&lt;=1000,INDEX('Pliegos Tarifarios (Huechuraba)'!$H:$H,MATCH($B547,'Pliegos Tarifarios (Huechuraba)'!$A:$A,0)),H547&lt;=5000,INDEX('Pliegos Tarifarios (Huechuraba)'!$I:$I,MATCH($B547,'Pliegos Tarifarios (Huechuraba)'!$A:$A,0)),H547&gt;5000,INDEX('Pliegos Tarifarios (Huechuraba)'!$J:$J,MATCH($B547,'Pliegos Tarifarios (Huechuraba)'!$A:$A,0)))/1.19</f>
        <v>2240.6335630252106</v>
      </c>
      <c r="R547" s="19">
        <f>INDEX('Pliegos Tarifarios (Huechuraba)'!$K:$K,MATCH($B547,'Pliegos Tarifarios (Huechuraba)'!$A:$A,0))</f>
        <v>732.99199999999996</v>
      </c>
      <c r="S547" s="36">
        <f t="shared" si="24"/>
        <v>188409.39195302522</v>
      </c>
      <c r="T547" s="36">
        <f t="shared" si="25"/>
        <v>35797.784471074789</v>
      </c>
      <c r="U547" s="19">
        <v>0</v>
      </c>
      <c r="V547" s="36">
        <f t="shared" si="26"/>
        <v>224207.17642410001</v>
      </c>
    </row>
    <row r="548" spans="1:22" ht="23.4" thickBot="1" x14ac:dyDescent="0.35">
      <c r="A548" s="25" t="s">
        <v>153</v>
      </c>
      <c r="B548" s="26">
        <v>11</v>
      </c>
      <c r="C548" s="27" t="s">
        <v>15</v>
      </c>
      <c r="D548" s="26" t="s">
        <v>49</v>
      </c>
      <c r="E548" s="26" t="s">
        <v>50</v>
      </c>
      <c r="F548" s="27" t="s">
        <v>51</v>
      </c>
      <c r="G548" s="26" t="s">
        <v>33</v>
      </c>
      <c r="H548" s="26">
        <v>955.14</v>
      </c>
      <c r="I548" s="26">
        <v>2.64</v>
      </c>
      <c r="J548" s="26">
        <v>2.5499999999999998</v>
      </c>
      <c r="K548" s="29">
        <v>0.96699999999999997</v>
      </c>
      <c r="L548" s="26">
        <v>30.81</v>
      </c>
      <c r="M548" s="19">
        <f>H548*INDEX('Pliegos Tarifarios (Huechuraba)'!$B:$B,MATCH($B548,'Pliegos Tarifarios (Huechuraba)'!$A:$A,0))</f>
        <v>125852.11182000001</v>
      </c>
      <c r="N548" s="19">
        <f>I548*INDEX('Pliegos Tarifarios (Huechuraba)'!$C:$C,MATCH($B548,'Pliegos Tarifarios (Huechuraba)'!$A:$A,0))</f>
        <v>9175.0639200000005</v>
      </c>
      <c r="O548" s="19">
        <f>J548*INDEX('Pliegos Tarifarios (Huechuraba)'!$D:$D,MATCH($B548,'Pliegos Tarifarios (Huechuraba)'!$A:$A,0))</f>
        <v>37101.6636</v>
      </c>
      <c r="P548" s="19">
        <f>H548*INDEX('Pliegos Tarifarios (Huechuraba)'!$E:$E,MATCH($B548,'Pliegos Tarifarios (Huechuraba)'!$A:$A,0))</f>
        <v>12439.743359999999</v>
      </c>
      <c r="Q548" s="19" cm="1">
        <f t="array" ref="Q548">H548*_xlfn.IFS(H548&lt;=350,INDEX('Pliegos Tarifarios (Huechuraba)'!$F:$F,MATCH($B548,'Pliegos Tarifarios (Huechuraba)'!$A:$A,0)),H548&lt;=500,INDEX('Pliegos Tarifarios (Huechuraba)'!$G:$G,MATCH($B548,'Pliegos Tarifarios (Huechuraba)'!$A:$A,0)),H548&lt;=1000,INDEX('Pliegos Tarifarios (Huechuraba)'!$H:$H,MATCH($B548,'Pliegos Tarifarios (Huechuraba)'!$A:$A,0)),H548&lt;=5000,INDEX('Pliegos Tarifarios (Huechuraba)'!$I:$I,MATCH($B548,'Pliegos Tarifarios (Huechuraba)'!$A:$A,0)),H548&gt;5000,INDEX('Pliegos Tarifarios (Huechuraba)'!$J:$J,MATCH($B548,'Pliegos Tarifarios (Huechuraba)'!$A:$A,0)))/1.19</f>
        <v>2240.1644873949585</v>
      </c>
      <c r="R548" s="19">
        <f>INDEX('Pliegos Tarifarios (Huechuraba)'!$K:$K,MATCH($B548,'Pliegos Tarifarios (Huechuraba)'!$A:$A,0))</f>
        <v>732.99199999999996</v>
      </c>
      <c r="S548" s="36">
        <f t="shared" si="24"/>
        <v>187541.73918739497</v>
      </c>
      <c r="T548" s="36">
        <f t="shared" si="25"/>
        <v>35632.930445605045</v>
      </c>
      <c r="U548" s="19">
        <v>0</v>
      </c>
      <c r="V548" s="36">
        <f t="shared" si="26"/>
        <v>223174.66963300001</v>
      </c>
    </row>
    <row r="549" spans="1:22" ht="23.4" thickBot="1" x14ac:dyDescent="0.35">
      <c r="A549" s="25" t="s">
        <v>153</v>
      </c>
      <c r="B549" s="26">
        <v>11</v>
      </c>
      <c r="C549" s="27" t="s">
        <v>15</v>
      </c>
      <c r="D549" s="26" t="s">
        <v>52</v>
      </c>
      <c r="E549" s="26" t="s">
        <v>50</v>
      </c>
      <c r="F549" s="27" t="s">
        <v>53</v>
      </c>
      <c r="G549" s="26" t="s">
        <v>33</v>
      </c>
      <c r="H549" s="26">
        <v>958.53</v>
      </c>
      <c r="I549" s="26">
        <v>2.64</v>
      </c>
      <c r="J549" s="26">
        <v>2.61</v>
      </c>
      <c r="K549" s="29">
        <v>0.98899999999999999</v>
      </c>
      <c r="L549" s="26">
        <v>30.92</v>
      </c>
      <c r="M549" s="19">
        <f>H549*INDEX('Pliegos Tarifarios (Huechuraba)'!$B:$B,MATCH($B549,'Pliegos Tarifarios (Huechuraba)'!$A:$A,0))</f>
        <v>126298.78839</v>
      </c>
      <c r="N549" s="19">
        <f>I549*INDEX('Pliegos Tarifarios (Huechuraba)'!$C:$C,MATCH($B549,'Pliegos Tarifarios (Huechuraba)'!$A:$A,0))</f>
        <v>9175.0639200000005</v>
      </c>
      <c r="O549" s="19">
        <f>J549*INDEX('Pliegos Tarifarios (Huechuraba)'!$D:$D,MATCH($B549,'Pliegos Tarifarios (Huechuraba)'!$A:$A,0))</f>
        <v>37974.643920000002</v>
      </c>
      <c r="P549" s="19">
        <f>H549*INDEX('Pliegos Tarifarios (Huechuraba)'!$E:$E,MATCH($B549,'Pliegos Tarifarios (Huechuraba)'!$A:$A,0))</f>
        <v>12483.894719999998</v>
      </c>
      <c r="Q549" s="19" cm="1">
        <f t="array" ref="Q549">H549*_xlfn.IFS(H549&lt;=350,INDEX('Pliegos Tarifarios (Huechuraba)'!$F:$F,MATCH($B549,'Pliegos Tarifarios (Huechuraba)'!$A:$A,0)),H549&lt;=500,INDEX('Pliegos Tarifarios (Huechuraba)'!$G:$G,MATCH($B549,'Pliegos Tarifarios (Huechuraba)'!$A:$A,0)),H549&lt;=1000,INDEX('Pliegos Tarifarios (Huechuraba)'!$H:$H,MATCH($B549,'Pliegos Tarifarios (Huechuraba)'!$A:$A,0)),H549&lt;=5000,INDEX('Pliegos Tarifarios (Huechuraba)'!$I:$I,MATCH($B549,'Pliegos Tarifarios (Huechuraba)'!$A:$A,0)),H549&gt;5000,INDEX('Pliegos Tarifarios (Huechuraba)'!$J:$J,MATCH($B549,'Pliegos Tarifarios (Huechuraba)'!$A:$A,0)))/1.19</f>
        <v>2248.1153193277314</v>
      </c>
      <c r="R549" s="19">
        <f>INDEX('Pliegos Tarifarios (Huechuraba)'!$K:$K,MATCH($B549,'Pliegos Tarifarios (Huechuraba)'!$A:$A,0))</f>
        <v>732.99199999999996</v>
      </c>
      <c r="S549" s="36">
        <f t="shared" si="24"/>
        <v>188913.49826932774</v>
      </c>
      <c r="T549" s="36">
        <f t="shared" si="25"/>
        <v>35893.564671172273</v>
      </c>
      <c r="U549" s="19">
        <v>0</v>
      </c>
      <c r="V549" s="36">
        <f t="shared" si="26"/>
        <v>224807.06294050001</v>
      </c>
    </row>
    <row r="550" spans="1:22" ht="23.4" thickBot="1" x14ac:dyDescent="0.35">
      <c r="A550" s="25" t="s">
        <v>153</v>
      </c>
      <c r="B550" s="26">
        <v>11</v>
      </c>
      <c r="C550" s="27" t="s">
        <v>15</v>
      </c>
      <c r="D550" s="26" t="s">
        <v>54</v>
      </c>
      <c r="E550" s="26" t="s">
        <v>55</v>
      </c>
      <c r="F550" s="27" t="s">
        <v>56</v>
      </c>
      <c r="G550" s="26" t="s">
        <v>33</v>
      </c>
      <c r="H550" s="26">
        <v>478.24</v>
      </c>
      <c r="I550" s="26">
        <v>1.31</v>
      </c>
      <c r="J550" s="26">
        <v>1.31</v>
      </c>
      <c r="K550" s="29">
        <v>1</v>
      </c>
      <c r="L550" s="26">
        <v>15.43</v>
      </c>
      <c r="M550" s="19">
        <f>H550*INDEX('Pliegos Tarifarios (Huechuraba)'!$B:$B,MATCH($B550,'Pliegos Tarifarios (Huechuraba)'!$A:$A,0))</f>
        <v>63014.337120000004</v>
      </c>
      <c r="N550" s="19">
        <f>I550*INDEX('Pliegos Tarifarios (Huechuraba)'!$C:$C,MATCH($B550,'Pliegos Tarifarios (Huechuraba)'!$A:$A,0))</f>
        <v>4552.7779300000002</v>
      </c>
      <c r="O550" s="19">
        <f>J550*INDEX('Pliegos Tarifarios (Huechuraba)'!$D:$D,MATCH($B550,'Pliegos Tarifarios (Huechuraba)'!$A:$A,0))</f>
        <v>19060.070320000003</v>
      </c>
      <c r="P550" s="19">
        <f>H550*INDEX('Pliegos Tarifarios (Huechuraba)'!$E:$E,MATCH($B550,'Pliegos Tarifarios (Huechuraba)'!$A:$A,0))</f>
        <v>6228.5977599999997</v>
      </c>
      <c r="Q550" s="19" cm="1">
        <f t="array" ref="Q550">H550*_xlfn.IFS(H550&lt;=350,INDEX('Pliegos Tarifarios (Huechuraba)'!$F:$F,MATCH($B550,'Pliegos Tarifarios (Huechuraba)'!$A:$A,0)),H550&lt;=500,INDEX('Pliegos Tarifarios (Huechuraba)'!$G:$G,MATCH($B550,'Pliegos Tarifarios (Huechuraba)'!$A:$A,0)),H550&lt;=1000,INDEX('Pliegos Tarifarios (Huechuraba)'!$H:$H,MATCH($B550,'Pliegos Tarifarios (Huechuraba)'!$A:$A,0)),H550&lt;=5000,INDEX('Pliegos Tarifarios (Huechuraba)'!$I:$I,MATCH($B550,'Pliegos Tarifarios (Huechuraba)'!$A:$A,0)),H550&gt;5000,INDEX('Pliegos Tarifarios (Huechuraba)'!$J:$J,MATCH($B550,'Pliegos Tarifarios (Huechuraba)'!$A:$A,0)))/1.19</f>
        <v>673.55482352941181</v>
      </c>
      <c r="R550" s="19">
        <f>INDEX('Pliegos Tarifarios (Huechuraba)'!$K:$K,MATCH($B550,'Pliegos Tarifarios (Huechuraba)'!$A:$A,0))</f>
        <v>732.99199999999996</v>
      </c>
      <c r="S550" s="36">
        <f t="shared" si="24"/>
        <v>94262.329953529421</v>
      </c>
      <c r="T550" s="36">
        <f t="shared" si="25"/>
        <v>17909.84269117059</v>
      </c>
      <c r="U550" s="19">
        <v>0</v>
      </c>
      <c r="V550" s="36">
        <f t="shared" si="26"/>
        <v>112172.17264470001</v>
      </c>
    </row>
    <row r="551" spans="1:22" ht="23.4" thickBot="1" x14ac:dyDescent="0.35">
      <c r="A551" s="25" t="s">
        <v>153</v>
      </c>
      <c r="B551" s="26">
        <v>11</v>
      </c>
      <c r="C551" s="27" t="s">
        <v>15</v>
      </c>
      <c r="D551" s="26" t="s">
        <v>57</v>
      </c>
      <c r="E551" s="26" t="s">
        <v>58</v>
      </c>
      <c r="F551" s="27" t="s">
        <v>59</v>
      </c>
      <c r="G551" s="26" t="s">
        <v>33</v>
      </c>
      <c r="H551" s="26">
        <v>319.31</v>
      </c>
      <c r="I551" s="26">
        <v>0.88</v>
      </c>
      <c r="J551" s="26">
        <v>0.87</v>
      </c>
      <c r="K551" s="29">
        <v>0.99</v>
      </c>
      <c r="L551" s="26">
        <v>10.3</v>
      </c>
      <c r="M551" s="19">
        <f>H551*INDEX('Pliegos Tarifarios (Huechuraba)'!$B:$B,MATCH($B551,'Pliegos Tarifarios (Huechuraba)'!$A:$A,0))</f>
        <v>42073.24353</v>
      </c>
      <c r="N551" s="19">
        <f>I551*INDEX('Pliegos Tarifarios (Huechuraba)'!$C:$C,MATCH($B551,'Pliegos Tarifarios (Huechuraba)'!$A:$A,0))</f>
        <v>3058.35464</v>
      </c>
      <c r="O551" s="19">
        <f>J551*INDEX('Pliegos Tarifarios (Huechuraba)'!$D:$D,MATCH($B551,'Pliegos Tarifarios (Huechuraba)'!$A:$A,0))</f>
        <v>12658.21464</v>
      </c>
      <c r="P551" s="19">
        <f>H551*INDEX('Pliegos Tarifarios (Huechuraba)'!$E:$E,MATCH($B551,'Pliegos Tarifarios (Huechuraba)'!$A:$A,0))</f>
        <v>4158.69344</v>
      </c>
      <c r="Q551" s="19" cm="1">
        <f t="array" ref="Q551">H551*_xlfn.IFS(H551&lt;=350,INDEX('Pliegos Tarifarios (Huechuraba)'!$F:$F,MATCH($B551,'Pliegos Tarifarios (Huechuraba)'!$A:$A,0)),H551&lt;=500,INDEX('Pliegos Tarifarios (Huechuraba)'!$G:$G,MATCH($B551,'Pliegos Tarifarios (Huechuraba)'!$A:$A,0)),H551&lt;=1000,INDEX('Pliegos Tarifarios (Huechuraba)'!$H:$H,MATCH($B551,'Pliegos Tarifarios (Huechuraba)'!$A:$A,0)),H551&lt;=5000,INDEX('Pliegos Tarifarios (Huechuraba)'!$I:$I,MATCH($B551,'Pliegos Tarifarios (Huechuraba)'!$A:$A,0)),H551&gt;5000,INDEX('Pliegos Tarifarios (Huechuraba)'!$J:$J,MATCH($B551,'Pliegos Tarifarios (Huechuraba)'!$A:$A,0)))/1.19</f>
        <v>210.3689411764706</v>
      </c>
      <c r="R551" s="19">
        <f>INDEX('Pliegos Tarifarios (Huechuraba)'!$K:$K,MATCH($B551,'Pliegos Tarifarios (Huechuraba)'!$A:$A,0))</f>
        <v>732.99199999999996</v>
      </c>
      <c r="S551" s="36">
        <f t="shared" si="24"/>
        <v>62891.867191176469</v>
      </c>
      <c r="T551" s="36">
        <f t="shared" si="25"/>
        <v>11949.45476632353</v>
      </c>
      <c r="U551" s="19">
        <v>0</v>
      </c>
      <c r="V551" s="36">
        <f t="shared" si="26"/>
        <v>74841.321957499997</v>
      </c>
    </row>
    <row r="552" spans="1:22" ht="23.4" thickBot="1" x14ac:dyDescent="0.35">
      <c r="A552" s="25" t="s">
        <v>153</v>
      </c>
      <c r="B552" s="26">
        <v>11</v>
      </c>
      <c r="C552" s="27" t="s">
        <v>15</v>
      </c>
      <c r="D552" s="26" t="s">
        <v>60</v>
      </c>
      <c r="E552" s="26" t="s">
        <v>61</v>
      </c>
      <c r="F552" s="27" t="s">
        <v>62</v>
      </c>
      <c r="G552" s="26" t="s">
        <v>33</v>
      </c>
      <c r="H552" s="26">
        <v>319.37</v>
      </c>
      <c r="I552" s="26">
        <v>0.89</v>
      </c>
      <c r="J552" s="26">
        <v>0.86</v>
      </c>
      <c r="K552" s="29">
        <v>0.96899999999999997</v>
      </c>
      <c r="L552" s="26">
        <v>10.3</v>
      </c>
      <c r="M552" s="19">
        <f>H552*INDEX('Pliegos Tarifarios (Huechuraba)'!$B:$B,MATCH($B552,'Pliegos Tarifarios (Huechuraba)'!$A:$A,0))</f>
        <v>42081.149310000001</v>
      </c>
      <c r="N552" s="19">
        <f>I552*INDEX('Pliegos Tarifarios (Huechuraba)'!$C:$C,MATCH($B552,'Pliegos Tarifarios (Huechuraba)'!$A:$A,0))</f>
        <v>3093.1086700000001</v>
      </c>
      <c r="O552" s="19">
        <f>J552*INDEX('Pliegos Tarifarios (Huechuraba)'!$D:$D,MATCH($B552,'Pliegos Tarifarios (Huechuraba)'!$A:$A,0))</f>
        <v>12512.717920000001</v>
      </c>
      <c r="P552" s="19">
        <f>H552*INDEX('Pliegos Tarifarios (Huechuraba)'!$E:$E,MATCH($B552,'Pliegos Tarifarios (Huechuraba)'!$A:$A,0))</f>
        <v>4159.4748799999998</v>
      </c>
      <c r="Q552" s="19" cm="1">
        <f t="array" ref="Q552">H552*_xlfn.IFS(H552&lt;=350,INDEX('Pliegos Tarifarios (Huechuraba)'!$F:$F,MATCH($B552,'Pliegos Tarifarios (Huechuraba)'!$A:$A,0)),H552&lt;=500,INDEX('Pliegos Tarifarios (Huechuraba)'!$G:$G,MATCH($B552,'Pliegos Tarifarios (Huechuraba)'!$A:$A,0)),H552&lt;=1000,INDEX('Pliegos Tarifarios (Huechuraba)'!$H:$H,MATCH($B552,'Pliegos Tarifarios (Huechuraba)'!$A:$A,0)),H552&lt;=5000,INDEX('Pliegos Tarifarios (Huechuraba)'!$I:$I,MATCH($B552,'Pliegos Tarifarios (Huechuraba)'!$A:$A,0)),H552&gt;5000,INDEX('Pliegos Tarifarios (Huechuraba)'!$J:$J,MATCH($B552,'Pliegos Tarifarios (Huechuraba)'!$A:$A,0)))/1.19</f>
        <v>210.40847058823533</v>
      </c>
      <c r="R552" s="19">
        <f>INDEX('Pliegos Tarifarios (Huechuraba)'!$K:$K,MATCH($B552,'Pliegos Tarifarios (Huechuraba)'!$A:$A,0))</f>
        <v>732.99199999999996</v>
      </c>
      <c r="S552" s="36">
        <f t="shared" si="24"/>
        <v>62789.851250588239</v>
      </c>
      <c r="T552" s="36">
        <f t="shared" si="25"/>
        <v>11930.071737611766</v>
      </c>
      <c r="U552" s="19">
        <v>0</v>
      </c>
      <c r="V552" s="36">
        <f t="shared" si="26"/>
        <v>74719.922988200007</v>
      </c>
    </row>
    <row r="553" spans="1:22" ht="23.4" thickBot="1" x14ac:dyDescent="0.35">
      <c r="A553" s="25" t="s">
        <v>153</v>
      </c>
      <c r="B553" s="26">
        <v>11</v>
      </c>
      <c r="C553" s="27" t="s">
        <v>15</v>
      </c>
      <c r="D553" s="26" t="s">
        <v>63</v>
      </c>
      <c r="E553" s="26" t="s">
        <v>64</v>
      </c>
      <c r="F553" s="27" t="s">
        <v>65</v>
      </c>
      <c r="G553" s="26" t="s">
        <v>33</v>
      </c>
      <c r="H553" s="26">
        <v>319.13</v>
      </c>
      <c r="I553" s="26">
        <v>0.9</v>
      </c>
      <c r="J553" s="26">
        <v>0.86</v>
      </c>
      <c r="K553" s="29">
        <v>0.95</v>
      </c>
      <c r="L553" s="26">
        <v>10.29</v>
      </c>
      <c r="M553" s="19">
        <f>H553*INDEX('Pliegos Tarifarios (Huechuraba)'!$B:$B,MATCH($B553,'Pliegos Tarifarios (Huechuraba)'!$A:$A,0))</f>
        <v>42049.526190000004</v>
      </c>
      <c r="N553" s="19">
        <f>I553*INDEX('Pliegos Tarifarios (Huechuraba)'!$C:$C,MATCH($B553,'Pliegos Tarifarios (Huechuraba)'!$A:$A,0))</f>
        <v>3127.8626999999997</v>
      </c>
      <c r="O553" s="19">
        <f>J553*INDEX('Pliegos Tarifarios (Huechuraba)'!$D:$D,MATCH($B553,'Pliegos Tarifarios (Huechuraba)'!$A:$A,0))</f>
        <v>12512.717920000001</v>
      </c>
      <c r="P553" s="19">
        <f>H553*INDEX('Pliegos Tarifarios (Huechuraba)'!$E:$E,MATCH($B553,'Pliegos Tarifarios (Huechuraba)'!$A:$A,0))</f>
        <v>4156.3491199999999</v>
      </c>
      <c r="Q553" s="19" cm="1">
        <f t="array" ref="Q553">H553*_xlfn.IFS(H553&lt;=350,INDEX('Pliegos Tarifarios (Huechuraba)'!$F:$F,MATCH($B553,'Pliegos Tarifarios (Huechuraba)'!$A:$A,0)),H553&lt;=500,INDEX('Pliegos Tarifarios (Huechuraba)'!$G:$G,MATCH($B553,'Pliegos Tarifarios (Huechuraba)'!$A:$A,0)),H553&lt;=1000,INDEX('Pliegos Tarifarios (Huechuraba)'!$H:$H,MATCH($B553,'Pliegos Tarifarios (Huechuraba)'!$A:$A,0)),H553&lt;=5000,INDEX('Pliegos Tarifarios (Huechuraba)'!$I:$I,MATCH($B553,'Pliegos Tarifarios (Huechuraba)'!$A:$A,0)),H553&gt;5000,INDEX('Pliegos Tarifarios (Huechuraba)'!$J:$J,MATCH($B553,'Pliegos Tarifarios (Huechuraba)'!$A:$A,0)))/1.19</f>
        <v>210.25035294117649</v>
      </c>
      <c r="R553" s="19">
        <f>INDEX('Pliegos Tarifarios (Huechuraba)'!$K:$K,MATCH($B553,'Pliegos Tarifarios (Huechuraba)'!$A:$A,0))</f>
        <v>732.99199999999996</v>
      </c>
      <c r="S553" s="36">
        <f t="shared" si="24"/>
        <v>62789.698282941179</v>
      </c>
      <c r="T553" s="36">
        <f t="shared" si="25"/>
        <v>11930.042673758824</v>
      </c>
      <c r="U553" s="19">
        <v>0</v>
      </c>
      <c r="V553" s="36">
        <f t="shared" si="26"/>
        <v>74719.7409567</v>
      </c>
    </row>
    <row r="554" spans="1:22" ht="23.4" thickBot="1" x14ac:dyDescent="0.35">
      <c r="A554" s="25" t="s">
        <v>153</v>
      </c>
      <c r="B554" s="26">
        <v>11</v>
      </c>
      <c r="C554" s="27" t="s">
        <v>15</v>
      </c>
      <c r="D554" s="26" t="s">
        <v>66</v>
      </c>
      <c r="E554" s="26" t="s">
        <v>37</v>
      </c>
      <c r="F554" s="27" t="s">
        <v>67</v>
      </c>
      <c r="G554" s="26" t="s">
        <v>33</v>
      </c>
      <c r="H554" s="26">
        <v>636.71</v>
      </c>
      <c r="I554" s="26">
        <v>1.76</v>
      </c>
      <c r="J554" s="26">
        <v>1.72</v>
      </c>
      <c r="K554" s="29">
        <v>0.98</v>
      </c>
      <c r="L554" s="26">
        <v>20.54</v>
      </c>
      <c r="M554" s="19">
        <f>H554*INDEX('Pliegos Tarifarios (Huechuraba)'!$B:$B,MATCH($B554,'Pliegos Tarifarios (Huechuraba)'!$A:$A,0))</f>
        <v>83894.819730000003</v>
      </c>
      <c r="N554" s="19">
        <f>I554*INDEX('Pliegos Tarifarios (Huechuraba)'!$C:$C,MATCH($B554,'Pliegos Tarifarios (Huechuraba)'!$A:$A,0))</f>
        <v>6116.70928</v>
      </c>
      <c r="O554" s="19">
        <f>J554*INDEX('Pliegos Tarifarios (Huechuraba)'!$D:$D,MATCH($B554,'Pliegos Tarifarios (Huechuraba)'!$A:$A,0))</f>
        <v>25025.435840000002</v>
      </c>
      <c r="P554" s="19">
        <f>H554*INDEX('Pliegos Tarifarios (Huechuraba)'!$E:$E,MATCH($B554,'Pliegos Tarifarios (Huechuraba)'!$A:$A,0))</f>
        <v>8292.5110399999994</v>
      </c>
      <c r="Q554" s="19" cm="1">
        <f t="array" ref="Q554">H554*_xlfn.IFS(H554&lt;=350,INDEX('Pliegos Tarifarios (Huechuraba)'!$F:$F,MATCH($B554,'Pliegos Tarifarios (Huechuraba)'!$A:$A,0)),H554&lt;=500,INDEX('Pliegos Tarifarios (Huechuraba)'!$G:$G,MATCH($B554,'Pliegos Tarifarios (Huechuraba)'!$A:$A,0)),H554&lt;=1000,INDEX('Pliegos Tarifarios (Huechuraba)'!$H:$H,MATCH($B554,'Pliegos Tarifarios (Huechuraba)'!$A:$A,0)),H554&lt;=5000,INDEX('Pliegos Tarifarios (Huechuraba)'!$I:$I,MATCH($B554,'Pliegos Tarifarios (Huechuraba)'!$A:$A,0)),H554&gt;5000,INDEX('Pliegos Tarifarios (Huechuraba)'!$J:$J,MATCH($B554,'Pliegos Tarifarios (Huechuraba)'!$A:$A,0)))/1.19</f>
        <v>1493.325722689076</v>
      </c>
      <c r="R554" s="19">
        <f>INDEX('Pliegos Tarifarios (Huechuraba)'!$K:$K,MATCH($B554,'Pliegos Tarifarios (Huechuraba)'!$A:$A,0))</f>
        <v>732.99199999999996</v>
      </c>
      <c r="S554" s="36">
        <f t="shared" si="24"/>
        <v>125555.79361268907</v>
      </c>
      <c r="T554" s="36">
        <f t="shared" si="25"/>
        <v>23855.600786410923</v>
      </c>
      <c r="U554" s="19">
        <v>0</v>
      </c>
      <c r="V554" s="36">
        <f t="shared" si="26"/>
        <v>149411.39439909998</v>
      </c>
    </row>
    <row r="555" spans="1:22" ht="23.4" thickBot="1" x14ac:dyDescent="0.35">
      <c r="A555" s="25" t="s">
        <v>153</v>
      </c>
      <c r="B555" s="26">
        <v>11</v>
      </c>
      <c r="C555" s="27" t="s">
        <v>15</v>
      </c>
      <c r="D555" s="26" t="s">
        <v>68</v>
      </c>
      <c r="E555" s="26" t="s">
        <v>37</v>
      </c>
      <c r="F555" s="27" t="s">
        <v>69</v>
      </c>
      <c r="G555" s="26" t="s">
        <v>33</v>
      </c>
      <c r="H555" s="26">
        <v>638.04</v>
      </c>
      <c r="I555" s="26">
        <v>1.73</v>
      </c>
      <c r="J555" s="26">
        <v>1.71</v>
      </c>
      <c r="K555" s="29">
        <v>0.98899999999999999</v>
      </c>
      <c r="L555" s="26">
        <v>20.58</v>
      </c>
      <c r="M555" s="19">
        <f>H555*INDEX('Pliegos Tarifarios (Huechuraba)'!$B:$B,MATCH($B555,'Pliegos Tarifarios (Huechuraba)'!$A:$A,0))</f>
        <v>84070.06452</v>
      </c>
      <c r="N555" s="19">
        <f>I555*INDEX('Pliegos Tarifarios (Huechuraba)'!$C:$C,MATCH($B555,'Pliegos Tarifarios (Huechuraba)'!$A:$A,0))</f>
        <v>6012.4471899999999</v>
      </c>
      <c r="O555" s="19">
        <f>J555*INDEX('Pliegos Tarifarios (Huechuraba)'!$D:$D,MATCH($B555,'Pliegos Tarifarios (Huechuraba)'!$A:$A,0))</f>
        <v>24879.939119999999</v>
      </c>
      <c r="P555" s="19">
        <f>H555*INDEX('Pliegos Tarifarios (Huechuraba)'!$E:$E,MATCH($B555,'Pliegos Tarifarios (Huechuraba)'!$A:$A,0))</f>
        <v>8309.8329599999997</v>
      </c>
      <c r="Q555" s="19" cm="1">
        <f t="array" ref="Q555">H555*_xlfn.IFS(H555&lt;=350,INDEX('Pliegos Tarifarios (Huechuraba)'!$F:$F,MATCH($B555,'Pliegos Tarifarios (Huechuraba)'!$A:$A,0)),H555&lt;=500,INDEX('Pliegos Tarifarios (Huechuraba)'!$G:$G,MATCH($B555,'Pliegos Tarifarios (Huechuraba)'!$A:$A,0)),H555&lt;=1000,INDEX('Pliegos Tarifarios (Huechuraba)'!$H:$H,MATCH($B555,'Pliegos Tarifarios (Huechuraba)'!$A:$A,0)),H555&lt;=5000,INDEX('Pliegos Tarifarios (Huechuraba)'!$I:$I,MATCH($B555,'Pliegos Tarifarios (Huechuraba)'!$A:$A,0)),H555&gt;5000,INDEX('Pliegos Tarifarios (Huechuraba)'!$J:$J,MATCH($B555,'Pliegos Tarifarios (Huechuraba)'!$A:$A,0)))/1.19</f>
        <v>1496.4450756302524</v>
      </c>
      <c r="R555" s="19">
        <f>INDEX('Pliegos Tarifarios (Huechuraba)'!$K:$K,MATCH($B555,'Pliegos Tarifarios (Huechuraba)'!$A:$A,0))</f>
        <v>732.99199999999996</v>
      </c>
      <c r="S555" s="36">
        <f t="shared" si="24"/>
        <v>125501.72086563025</v>
      </c>
      <c r="T555" s="36">
        <f t="shared" si="25"/>
        <v>23845.32696446975</v>
      </c>
      <c r="U555" s="19">
        <v>0</v>
      </c>
      <c r="V555" s="36">
        <f t="shared" si="26"/>
        <v>149347.0478301</v>
      </c>
    </row>
    <row r="556" spans="1:22" ht="23.4" thickBot="1" x14ac:dyDescent="0.35">
      <c r="A556" s="25" t="s">
        <v>153</v>
      </c>
      <c r="B556" s="26">
        <v>11</v>
      </c>
      <c r="C556" s="27" t="s">
        <v>15</v>
      </c>
      <c r="D556" s="26" t="s">
        <v>70</v>
      </c>
      <c r="E556" s="26" t="s">
        <v>37</v>
      </c>
      <c r="F556" s="27" t="s">
        <v>71</v>
      </c>
      <c r="G556" s="26" t="s">
        <v>33</v>
      </c>
      <c r="H556" s="26">
        <v>636.37</v>
      </c>
      <c r="I556" s="26">
        <v>1.75</v>
      </c>
      <c r="J556" s="26">
        <v>1.74</v>
      </c>
      <c r="K556" s="29">
        <v>0.99299999999999999</v>
      </c>
      <c r="L556" s="26">
        <v>20.53</v>
      </c>
      <c r="M556" s="19">
        <f>H556*INDEX('Pliegos Tarifarios (Huechuraba)'!$B:$B,MATCH($B556,'Pliegos Tarifarios (Huechuraba)'!$A:$A,0))</f>
        <v>83850.020310000007</v>
      </c>
      <c r="N556" s="19">
        <f>I556*INDEX('Pliegos Tarifarios (Huechuraba)'!$C:$C,MATCH($B556,'Pliegos Tarifarios (Huechuraba)'!$A:$A,0))</f>
        <v>6081.95525</v>
      </c>
      <c r="O556" s="19">
        <f>J556*INDEX('Pliegos Tarifarios (Huechuraba)'!$D:$D,MATCH($B556,'Pliegos Tarifarios (Huechuraba)'!$A:$A,0))</f>
        <v>25316.42928</v>
      </c>
      <c r="P556" s="19">
        <f>H556*INDEX('Pliegos Tarifarios (Huechuraba)'!$E:$E,MATCH($B556,'Pliegos Tarifarios (Huechuraba)'!$A:$A,0))</f>
        <v>8288.0828799999999</v>
      </c>
      <c r="Q556" s="19" cm="1">
        <f t="array" ref="Q556">H556*_xlfn.IFS(H556&lt;=350,INDEX('Pliegos Tarifarios (Huechuraba)'!$F:$F,MATCH($B556,'Pliegos Tarifarios (Huechuraba)'!$A:$A,0)),H556&lt;=500,INDEX('Pliegos Tarifarios (Huechuraba)'!$G:$G,MATCH($B556,'Pliegos Tarifarios (Huechuraba)'!$A:$A,0)),H556&lt;=1000,INDEX('Pliegos Tarifarios (Huechuraba)'!$H:$H,MATCH($B556,'Pliegos Tarifarios (Huechuraba)'!$A:$A,0)),H556&lt;=5000,INDEX('Pliegos Tarifarios (Huechuraba)'!$I:$I,MATCH($B556,'Pliegos Tarifarios (Huechuraba)'!$A:$A,0)),H556&gt;5000,INDEX('Pliegos Tarifarios (Huechuraba)'!$J:$J,MATCH($B556,'Pliegos Tarifarios (Huechuraba)'!$A:$A,0)))/1.19</f>
        <v>1492.5282941176474</v>
      </c>
      <c r="R556" s="19">
        <f>INDEX('Pliegos Tarifarios (Huechuraba)'!$K:$K,MATCH($B556,'Pliegos Tarifarios (Huechuraba)'!$A:$A,0))</f>
        <v>732.99199999999996</v>
      </c>
      <c r="S556" s="36">
        <f t="shared" si="24"/>
        <v>125762.00801411764</v>
      </c>
      <c r="T556" s="36">
        <f t="shared" si="25"/>
        <v>23894.781522682351</v>
      </c>
      <c r="U556" s="19">
        <v>0</v>
      </c>
      <c r="V556" s="36">
        <f t="shared" si="26"/>
        <v>149656.7895368</v>
      </c>
    </row>
    <row r="557" spans="1:22" ht="23.4" thickBot="1" x14ac:dyDescent="0.35">
      <c r="A557" s="25" t="s">
        <v>153</v>
      </c>
      <c r="B557" s="26">
        <v>11</v>
      </c>
      <c r="C557" s="27" t="s">
        <v>15</v>
      </c>
      <c r="D557" s="26" t="s">
        <v>72</v>
      </c>
      <c r="E557" s="26" t="s">
        <v>73</v>
      </c>
      <c r="F557" s="27" t="s">
        <v>74</v>
      </c>
      <c r="G557" s="26" t="s">
        <v>33</v>
      </c>
      <c r="H557" s="26">
        <v>796.33</v>
      </c>
      <c r="I557" s="26">
        <v>2.15</v>
      </c>
      <c r="J557" s="26">
        <v>2.11</v>
      </c>
      <c r="K557" s="29">
        <v>0.97899999999999998</v>
      </c>
      <c r="L557" s="26">
        <v>25.69</v>
      </c>
      <c r="M557" s="19">
        <f>H557*INDEX('Pliegos Tarifarios (Huechuraba)'!$B:$B,MATCH($B557,'Pliegos Tarifarios (Huechuraba)'!$A:$A,0))</f>
        <v>104926.82979</v>
      </c>
      <c r="N557" s="19">
        <f>I557*INDEX('Pliegos Tarifarios (Huechuraba)'!$C:$C,MATCH($B557,'Pliegos Tarifarios (Huechuraba)'!$A:$A,0))</f>
        <v>7472.1164499999995</v>
      </c>
      <c r="O557" s="19">
        <f>J557*INDEX('Pliegos Tarifarios (Huechuraba)'!$D:$D,MATCH($B557,'Pliegos Tarifarios (Huechuraba)'!$A:$A,0))</f>
        <v>30699.807919999999</v>
      </c>
      <c r="P557" s="19">
        <f>H557*INDEX('Pliegos Tarifarios (Huechuraba)'!$E:$E,MATCH($B557,'Pliegos Tarifarios (Huechuraba)'!$A:$A,0))</f>
        <v>10371.40192</v>
      </c>
      <c r="Q557" s="19" cm="1">
        <f t="array" ref="Q557">H557*_xlfn.IFS(H557&lt;=350,INDEX('Pliegos Tarifarios (Huechuraba)'!$F:$F,MATCH($B557,'Pliegos Tarifarios (Huechuraba)'!$A:$A,0)),H557&lt;=500,INDEX('Pliegos Tarifarios (Huechuraba)'!$G:$G,MATCH($B557,'Pliegos Tarifarios (Huechuraba)'!$A:$A,0)),H557&lt;=1000,INDEX('Pliegos Tarifarios (Huechuraba)'!$H:$H,MATCH($B557,'Pliegos Tarifarios (Huechuraba)'!$A:$A,0)),H557&lt;=5000,INDEX('Pliegos Tarifarios (Huechuraba)'!$I:$I,MATCH($B557,'Pliegos Tarifarios (Huechuraba)'!$A:$A,0)),H557&gt;5000,INDEX('Pliegos Tarifarios (Huechuraba)'!$J:$J,MATCH($B557,'Pliegos Tarifarios (Huechuraba)'!$A:$A,0)))/1.19</f>
        <v>1867.6949831932777</v>
      </c>
      <c r="R557" s="19">
        <f>INDEX('Pliegos Tarifarios (Huechuraba)'!$K:$K,MATCH($B557,'Pliegos Tarifarios (Huechuraba)'!$A:$A,0))</f>
        <v>732.99199999999996</v>
      </c>
      <c r="S557" s="36">
        <f t="shared" si="24"/>
        <v>156070.84306319329</v>
      </c>
      <c r="T557" s="36">
        <f t="shared" si="25"/>
        <v>29653.460182006726</v>
      </c>
      <c r="U557" s="19">
        <v>0</v>
      </c>
      <c r="V557" s="36">
        <f t="shared" si="26"/>
        <v>185724.30324520002</v>
      </c>
    </row>
    <row r="558" spans="1:22" ht="23.4" thickBot="1" x14ac:dyDescent="0.35">
      <c r="A558" s="25" t="s">
        <v>153</v>
      </c>
      <c r="B558" s="26">
        <v>11</v>
      </c>
      <c r="C558" s="27" t="s">
        <v>15</v>
      </c>
      <c r="D558" s="26" t="s">
        <v>75</v>
      </c>
      <c r="E558" s="26" t="s">
        <v>76</v>
      </c>
      <c r="F558" s="27" t="s">
        <v>77</v>
      </c>
      <c r="G558" s="26" t="s">
        <v>19</v>
      </c>
      <c r="H558" s="28">
        <v>1275.1500000000001</v>
      </c>
      <c r="I558" s="26">
        <v>3.6</v>
      </c>
      <c r="J558" s="26">
        <v>3.42</v>
      </c>
      <c r="K558" s="29">
        <v>0.95</v>
      </c>
      <c r="L558" s="26">
        <v>41.13</v>
      </c>
      <c r="M558" s="19">
        <f>H558*INDEX('Pliegos Tarifarios (Huechuraba)'!$B:$B,MATCH($B558,'Pliegos Tarifarios (Huechuraba)'!$A:$A,0))</f>
        <v>168017.58945000003</v>
      </c>
      <c r="N558" s="19">
        <f>I558*INDEX('Pliegos Tarifarios (Huechuraba)'!$C:$C,MATCH($B558,'Pliegos Tarifarios (Huechuraba)'!$A:$A,0))</f>
        <v>12511.450799999999</v>
      </c>
      <c r="O558" s="19">
        <f>J558*INDEX('Pliegos Tarifarios (Huechuraba)'!$D:$D,MATCH($B558,'Pliegos Tarifarios (Huechuraba)'!$A:$A,0))</f>
        <v>49759.878239999998</v>
      </c>
      <c r="P558" s="19">
        <f>H558*INDEX('Pliegos Tarifarios (Huechuraba)'!$E:$E,MATCH($B558,'Pliegos Tarifarios (Huechuraba)'!$A:$A,0))</f>
        <v>16607.553599999999</v>
      </c>
      <c r="Q558" s="19" cm="1">
        <f t="array" ref="Q558">H558*_xlfn.IFS(H558&lt;=350,INDEX('Pliegos Tarifarios (Huechuraba)'!$F:$F,MATCH($B558,'Pliegos Tarifarios (Huechuraba)'!$A:$A,0)),H558&lt;=500,INDEX('Pliegos Tarifarios (Huechuraba)'!$G:$G,MATCH($B558,'Pliegos Tarifarios (Huechuraba)'!$A:$A,0)),H558&lt;=1000,INDEX('Pliegos Tarifarios (Huechuraba)'!$H:$H,MATCH($B558,'Pliegos Tarifarios (Huechuraba)'!$A:$A,0)),H558&lt;=5000,INDEX('Pliegos Tarifarios (Huechuraba)'!$I:$I,MATCH($B558,'Pliegos Tarifarios (Huechuraba)'!$A:$A,0)),H558&gt;5000,INDEX('Pliegos Tarifarios (Huechuraba)'!$J:$J,MATCH($B558,'Pliegos Tarifarios (Huechuraba)'!$A:$A,0)))/1.19</f>
        <v>3826.5215546218492</v>
      </c>
      <c r="R558" s="19">
        <f>INDEX('Pliegos Tarifarios (Huechuraba)'!$K:$K,MATCH($B558,'Pliegos Tarifarios (Huechuraba)'!$A:$A,0))</f>
        <v>732.99199999999996</v>
      </c>
      <c r="S558" s="36">
        <f t="shared" si="24"/>
        <v>251455.98564462183</v>
      </c>
      <c r="T558" s="36">
        <f t="shared" si="25"/>
        <v>47776.637272478147</v>
      </c>
      <c r="U558" s="19">
        <v>0</v>
      </c>
      <c r="V558" s="36">
        <f t="shared" si="26"/>
        <v>299232.62291709997</v>
      </c>
    </row>
    <row r="559" spans="1:22" ht="23.4" thickBot="1" x14ac:dyDescent="0.35">
      <c r="A559" s="25" t="s">
        <v>153</v>
      </c>
      <c r="B559" s="26">
        <v>11</v>
      </c>
      <c r="C559" s="27" t="s">
        <v>15</v>
      </c>
      <c r="D559" s="26" t="s">
        <v>78</v>
      </c>
      <c r="E559" s="26" t="s">
        <v>76</v>
      </c>
      <c r="F559" s="27" t="s">
        <v>79</v>
      </c>
      <c r="G559" s="26" t="s">
        <v>19</v>
      </c>
      <c r="H559" s="26">
        <v>957.49</v>
      </c>
      <c r="I559" s="26">
        <v>2.64</v>
      </c>
      <c r="J559" s="26">
        <v>2.62</v>
      </c>
      <c r="K559" s="29">
        <v>0.99099999999999999</v>
      </c>
      <c r="L559" s="26">
        <v>30.89</v>
      </c>
      <c r="M559" s="19">
        <f>H559*INDEX('Pliegos Tarifarios (Huechuraba)'!$B:$B,MATCH($B559,'Pliegos Tarifarios (Huechuraba)'!$A:$A,0))</f>
        <v>126161.75487</v>
      </c>
      <c r="N559" s="19">
        <f>I559*INDEX('Pliegos Tarifarios (Huechuraba)'!$C:$C,MATCH($B559,'Pliegos Tarifarios (Huechuraba)'!$A:$A,0))</f>
        <v>9175.0639200000005</v>
      </c>
      <c r="O559" s="19">
        <f>J559*INDEX('Pliegos Tarifarios (Huechuraba)'!$D:$D,MATCH($B559,'Pliegos Tarifarios (Huechuraba)'!$A:$A,0))</f>
        <v>38120.140640000005</v>
      </c>
      <c r="P559" s="19">
        <f>H559*INDEX('Pliegos Tarifarios (Huechuraba)'!$E:$E,MATCH($B559,'Pliegos Tarifarios (Huechuraba)'!$A:$A,0))</f>
        <v>12470.349759999999</v>
      </c>
      <c r="Q559" s="19" cm="1">
        <f t="array" ref="Q559">H559*_xlfn.IFS(H559&lt;=350,INDEX('Pliegos Tarifarios (Huechuraba)'!$F:$F,MATCH($B559,'Pliegos Tarifarios (Huechuraba)'!$A:$A,0)),H559&lt;=500,INDEX('Pliegos Tarifarios (Huechuraba)'!$G:$G,MATCH($B559,'Pliegos Tarifarios (Huechuraba)'!$A:$A,0)),H559&lt;=1000,INDEX('Pliegos Tarifarios (Huechuraba)'!$H:$H,MATCH($B559,'Pliegos Tarifarios (Huechuraba)'!$A:$A,0)),H559&lt;=5000,INDEX('Pliegos Tarifarios (Huechuraba)'!$I:$I,MATCH($B559,'Pliegos Tarifarios (Huechuraba)'!$A:$A,0)),H559&gt;5000,INDEX('Pliegos Tarifarios (Huechuraba)'!$J:$J,MATCH($B559,'Pliegos Tarifarios (Huechuraba)'!$A:$A,0)))/1.19</f>
        <v>2245.6761260504204</v>
      </c>
      <c r="R559" s="19">
        <f>INDEX('Pliegos Tarifarios (Huechuraba)'!$K:$K,MATCH($B559,'Pliegos Tarifarios (Huechuraba)'!$A:$A,0))</f>
        <v>732.99199999999996</v>
      </c>
      <c r="S559" s="36">
        <f t="shared" si="24"/>
        <v>188905.97731605041</v>
      </c>
      <c r="T559" s="36">
        <f t="shared" si="25"/>
        <v>35892.135690049581</v>
      </c>
      <c r="U559" s="19">
        <v>0</v>
      </c>
      <c r="V559" s="36">
        <f t="shared" si="26"/>
        <v>224798.1130061</v>
      </c>
    </row>
    <row r="560" spans="1:22" ht="23.4" thickBot="1" x14ac:dyDescent="0.35">
      <c r="A560" s="25" t="s">
        <v>153</v>
      </c>
      <c r="B560" s="26">
        <v>11</v>
      </c>
      <c r="C560" s="27" t="s">
        <v>15</v>
      </c>
      <c r="D560" s="26" t="s">
        <v>80</v>
      </c>
      <c r="E560" s="26" t="s">
        <v>81</v>
      </c>
      <c r="F560" s="27" t="s">
        <v>82</v>
      </c>
      <c r="G560" s="26" t="s">
        <v>19</v>
      </c>
      <c r="H560" s="26">
        <v>796.05</v>
      </c>
      <c r="I560" s="26">
        <v>2.1800000000000002</v>
      </c>
      <c r="J560" s="26">
        <v>2.1800000000000002</v>
      </c>
      <c r="K560" s="29">
        <v>1</v>
      </c>
      <c r="L560" s="26">
        <v>25.68</v>
      </c>
      <c r="M560" s="19">
        <f>H560*INDEX('Pliegos Tarifarios (Huechuraba)'!$B:$B,MATCH($B560,'Pliegos Tarifarios (Huechuraba)'!$A:$A,0))</f>
        <v>104889.93614999999</v>
      </c>
      <c r="N560" s="19">
        <f>I560*INDEX('Pliegos Tarifarios (Huechuraba)'!$C:$C,MATCH($B560,'Pliegos Tarifarios (Huechuraba)'!$A:$A,0))</f>
        <v>7576.3785399999997</v>
      </c>
      <c r="O560" s="19">
        <f>J560*INDEX('Pliegos Tarifarios (Huechuraba)'!$D:$D,MATCH($B560,'Pliegos Tarifarios (Huechuraba)'!$A:$A,0))</f>
        <v>31718.284960000005</v>
      </c>
      <c r="P560" s="19">
        <f>H560*INDEX('Pliegos Tarifarios (Huechuraba)'!$E:$E,MATCH($B560,'Pliegos Tarifarios (Huechuraba)'!$A:$A,0))</f>
        <v>10367.7552</v>
      </c>
      <c r="Q560" s="19" cm="1">
        <f t="array" ref="Q560">H560*_xlfn.IFS(H560&lt;=350,INDEX('Pliegos Tarifarios (Huechuraba)'!$F:$F,MATCH($B560,'Pliegos Tarifarios (Huechuraba)'!$A:$A,0)),H560&lt;=500,INDEX('Pliegos Tarifarios (Huechuraba)'!$G:$G,MATCH($B560,'Pliegos Tarifarios (Huechuraba)'!$A:$A,0)),H560&lt;=1000,INDEX('Pliegos Tarifarios (Huechuraba)'!$H:$H,MATCH($B560,'Pliegos Tarifarios (Huechuraba)'!$A:$A,0)),H560&lt;=5000,INDEX('Pliegos Tarifarios (Huechuraba)'!$I:$I,MATCH($B560,'Pliegos Tarifarios (Huechuraba)'!$A:$A,0)),H560&gt;5000,INDEX('Pliegos Tarifarios (Huechuraba)'!$J:$J,MATCH($B560,'Pliegos Tarifarios (Huechuraba)'!$A:$A,0)))/1.19</f>
        <v>1867.0382773109247</v>
      </c>
      <c r="R560" s="19">
        <f>INDEX('Pliegos Tarifarios (Huechuraba)'!$K:$K,MATCH($B560,'Pliegos Tarifarios (Huechuraba)'!$A:$A,0))</f>
        <v>732.99199999999996</v>
      </c>
      <c r="S560" s="36">
        <f t="shared" si="24"/>
        <v>157152.38512731093</v>
      </c>
      <c r="T560" s="36">
        <f t="shared" si="25"/>
        <v>29858.953174189079</v>
      </c>
      <c r="U560" s="19">
        <v>0</v>
      </c>
      <c r="V560" s="36">
        <f t="shared" si="26"/>
        <v>187011.33830150001</v>
      </c>
    </row>
    <row r="561" spans="1:22" ht="23.4" thickBot="1" x14ac:dyDescent="0.35">
      <c r="A561" s="25" t="s">
        <v>153</v>
      </c>
      <c r="B561" s="26">
        <v>11</v>
      </c>
      <c r="C561" s="27" t="s">
        <v>15</v>
      </c>
      <c r="D561" s="26" t="s">
        <v>83</v>
      </c>
      <c r="E561" s="26" t="s">
        <v>81</v>
      </c>
      <c r="F561" s="27" t="s">
        <v>84</v>
      </c>
      <c r="G561" s="26" t="s">
        <v>19</v>
      </c>
      <c r="H561" s="26">
        <v>530.70000000000005</v>
      </c>
      <c r="I561" s="26">
        <v>1.47</v>
      </c>
      <c r="J561" s="26">
        <v>1.43</v>
      </c>
      <c r="K561" s="29">
        <v>0.97099999999999997</v>
      </c>
      <c r="L561" s="26">
        <v>17.12</v>
      </c>
      <c r="M561" s="19">
        <f>H561*INDEX('Pliegos Tarifarios (Huechuraba)'!$B:$B,MATCH($B561,'Pliegos Tarifarios (Huechuraba)'!$A:$A,0))</f>
        <v>69926.624100000015</v>
      </c>
      <c r="N561" s="19">
        <f>I561*INDEX('Pliegos Tarifarios (Huechuraba)'!$C:$C,MATCH($B561,'Pliegos Tarifarios (Huechuraba)'!$A:$A,0))</f>
        <v>5108.8424099999993</v>
      </c>
      <c r="O561" s="19">
        <f>J561*INDEX('Pliegos Tarifarios (Huechuraba)'!$D:$D,MATCH($B561,'Pliegos Tarifarios (Huechuraba)'!$A:$A,0))</f>
        <v>20806.03096</v>
      </c>
      <c r="P561" s="19">
        <f>H561*INDEX('Pliegos Tarifarios (Huechuraba)'!$E:$E,MATCH($B561,'Pliegos Tarifarios (Huechuraba)'!$A:$A,0))</f>
        <v>6911.8368</v>
      </c>
      <c r="Q561" s="19" cm="1">
        <f t="array" ref="Q561">H561*_xlfn.IFS(H561&lt;=350,INDEX('Pliegos Tarifarios (Huechuraba)'!$F:$F,MATCH($B561,'Pliegos Tarifarios (Huechuraba)'!$A:$A,0)),H561&lt;=500,INDEX('Pliegos Tarifarios (Huechuraba)'!$G:$G,MATCH($B561,'Pliegos Tarifarios (Huechuraba)'!$A:$A,0)),H561&lt;=1000,INDEX('Pliegos Tarifarios (Huechuraba)'!$H:$H,MATCH($B561,'Pliegos Tarifarios (Huechuraba)'!$A:$A,0)),H561&lt;=5000,INDEX('Pliegos Tarifarios (Huechuraba)'!$I:$I,MATCH($B561,'Pliegos Tarifarios (Huechuraba)'!$A:$A,0)),H561&gt;5000,INDEX('Pliegos Tarifarios (Huechuraba)'!$J:$J,MATCH($B561,'Pliegos Tarifarios (Huechuraba)'!$A:$A,0)))/1.19</f>
        <v>1244.6921848739498</v>
      </c>
      <c r="R561" s="19">
        <f>INDEX('Pliegos Tarifarios (Huechuraba)'!$K:$K,MATCH($B561,'Pliegos Tarifarios (Huechuraba)'!$A:$A,0))</f>
        <v>732.99199999999996</v>
      </c>
      <c r="S561" s="36">
        <f t="shared" si="24"/>
        <v>104731.01845487396</v>
      </c>
      <c r="T561" s="36">
        <f t="shared" si="25"/>
        <v>19898.893506426055</v>
      </c>
      <c r="U561" s="19">
        <v>0</v>
      </c>
      <c r="V561" s="36">
        <f t="shared" si="26"/>
        <v>124629.91196130002</v>
      </c>
    </row>
    <row r="562" spans="1:22" ht="23.4" thickBot="1" x14ac:dyDescent="0.35">
      <c r="A562" s="25" t="s">
        <v>153</v>
      </c>
      <c r="B562" s="26">
        <v>11</v>
      </c>
      <c r="C562" s="27" t="s">
        <v>15</v>
      </c>
      <c r="D562" s="26" t="s">
        <v>85</v>
      </c>
      <c r="E562" s="26" t="s">
        <v>81</v>
      </c>
      <c r="F562" s="27" t="s">
        <v>86</v>
      </c>
      <c r="G562" s="26" t="s">
        <v>19</v>
      </c>
      <c r="H562" s="26">
        <v>637.62</v>
      </c>
      <c r="I562" s="26">
        <v>1.75</v>
      </c>
      <c r="J562" s="26">
        <v>1.74</v>
      </c>
      <c r="K562" s="29">
        <v>0.99199999999999999</v>
      </c>
      <c r="L562" s="26">
        <v>20.57</v>
      </c>
      <c r="M562" s="19">
        <f>H562*INDEX('Pliegos Tarifarios (Huechuraba)'!$B:$B,MATCH($B562,'Pliegos Tarifarios (Huechuraba)'!$A:$A,0))</f>
        <v>84014.724060000008</v>
      </c>
      <c r="N562" s="19">
        <f>I562*INDEX('Pliegos Tarifarios (Huechuraba)'!$C:$C,MATCH($B562,'Pliegos Tarifarios (Huechuraba)'!$A:$A,0))</f>
        <v>6081.95525</v>
      </c>
      <c r="O562" s="19">
        <f>J562*INDEX('Pliegos Tarifarios (Huechuraba)'!$D:$D,MATCH($B562,'Pliegos Tarifarios (Huechuraba)'!$A:$A,0))</f>
        <v>25316.42928</v>
      </c>
      <c r="P562" s="19">
        <f>H562*INDEX('Pliegos Tarifarios (Huechuraba)'!$E:$E,MATCH($B562,'Pliegos Tarifarios (Huechuraba)'!$A:$A,0))</f>
        <v>8304.3628799999988</v>
      </c>
      <c r="Q562" s="19" cm="1">
        <f t="array" ref="Q562">H562*_xlfn.IFS(H562&lt;=350,INDEX('Pliegos Tarifarios (Huechuraba)'!$F:$F,MATCH($B562,'Pliegos Tarifarios (Huechuraba)'!$A:$A,0)),H562&lt;=500,INDEX('Pliegos Tarifarios (Huechuraba)'!$G:$G,MATCH($B562,'Pliegos Tarifarios (Huechuraba)'!$A:$A,0)),H562&lt;=1000,INDEX('Pliegos Tarifarios (Huechuraba)'!$H:$H,MATCH($B562,'Pliegos Tarifarios (Huechuraba)'!$A:$A,0)),H562&lt;=5000,INDEX('Pliegos Tarifarios (Huechuraba)'!$I:$I,MATCH($B562,'Pliegos Tarifarios (Huechuraba)'!$A:$A,0)),H562&gt;5000,INDEX('Pliegos Tarifarios (Huechuraba)'!$J:$J,MATCH($B562,'Pliegos Tarifarios (Huechuraba)'!$A:$A,0)))/1.19</f>
        <v>1495.4600168067229</v>
      </c>
      <c r="R562" s="19">
        <f>INDEX('Pliegos Tarifarios (Huechuraba)'!$K:$K,MATCH($B562,'Pliegos Tarifarios (Huechuraba)'!$A:$A,0))</f>
        <v>732.99199999999996</v>
      </c>
      <c r="S562" s="36">
        <f t="shared" si="24"/>
        <v>125945.92348680673</v>
      </c>
      <c r="T562" s="36">
        <f t="shared" si="25"/>
        <v>23929.725462493279</v>
      </c>
      <c r="U562" s="19">
        <v>0</v>
      </c>
      <c r="V562" s="36">
        <f t="shared" si="26"/>
        <v>149875.6489493</v>
      </c>
    </row>
    <row r="563" spans="1:22" ht="23.4" thickBot="1" x14ac:dyDescent="0.35">
      <c r="A563" s="25" t="s">
        <v>153</v>
      </c>
      <c r="B563" s="26">
        <v>11</v>
      </c>
      <c r="C563" s="27" t="s">
        <v>15</v>
      </c>
      <c r="D563" s="26" t="s">
        <v>87</v>
      </c>
      <c r="E563" s="26" t="s">
        <v>81</v>
      </c>
      <c r="F563" s="27" t="s">
        <v>88</v>
      </c>
      <c r="G563" s="26" t="s">
        <v>19</v>
      </c>
      <c r="H563" s="26">
        <v>637.11</v>
      </c>
      <c r="I563" s="26">
        <v>1.79</v>
      </c>
      <c r="J563" s="26">
        <v>1.74</v>
      </c>
      <c r="K563" s="29">
        <v>0.97199999999999998</v>
      </c>
      <c r="L563" s="26">
        <v>20.55</v>
      </c>
      <c r="M563" s="19">
        <f>H563*INDEX('Pliegos Tarifarios (Huechuraba)'!$B:$B,MATCH($B563,'Pliegos Tarifarios (Huechuraba)'!$A:$A,0))</f>
        <v>83947.52493</v>
      </c>
      <c r="N563" s="19">
        <f>I563*INDEX('Pliegos Tarifarios (Huechuraba)'!$C:$C,MATCH($B563,'Pliegos Tarifarios (Huechuraba)'!$A:$A,0))</f>
        <v>6220.9713700000002</v>
      </c>
      <c r="O563" s="19">
        <f>J563*INDEX('Pliegos Tarifarios (Huechuraba)'!$D:$D,MATCH($B563,'Pliegos Tarifarios (Huechuraba)'!$A:$A,0))</f>
        <v>25316.42928</v>
      </c>
      <c r="P563" s="19">
        <f>H563*INDEX('Pliegos Tarifarios (Huechuraba)'!$E:$E,MATCH($B563,'Pliegos Tarifarios (Huechuraba)'!$A:$A,0))</f>
        <v>8297.7206399999995</v>
      </c>
      <c r="Q563" s="19" cm="1">
        <f t="array" ref="Q563">H563*_xlfn.IFS(H563&lt;=350,INDEX('Pliegos Tarifarios (Huechuraba)'!$F:$F,MATCH($B563,'Pliegos Tarifarios (Huechuraba)'!$A:$A,0)),H563&lt;=500,INDEX('Pliegos Tarifarios (Huechuraba)'!$G:$G,MATCH($B563,'Pliegos Tarifarios (Huechuraba)'!$A:$A,0)),H563&lt;=1000,INDEX('Pliegos Tarifarios (Huechuraba)'!$H:$H,MATCH($B563,'Pliegos Tarifarios (Huechuraba)'!$A:$A,0)),H563&lt;=5000,INDEX('Pliegos Tarifarios (Huechuraba)'!$I:$I,MATCH($B563,'Pliegos Tarifarios (Huechuraba)'!$A:$A,0)),H563&gt;5000,INDEX('Pliegos Tarifarios (Huechuraba)'!$J:$J,MATCH($B563,'Pliegos Tarifarios (Huechuraba)'!$A:$A,0)))/1.19</f>
        <v>1494.2638739495801</v>
      </c>
      <c r="R563" s="19">
        <f>INDEX('Pliegos Tarifarios (Huechuraba)'!$K:$K,MATCH($B563,'Pliegos Tarifarios (Huechuraba)'!$A:$A,0))</f>
        <v>732.99199999999996</v>
      </c>
      <c r="S563" s="36">
        <f t="shared" si="24"/>
        <v>126009.90209394957</v>
      </c>
      <c r="T563" s="36">
        <f t="shared" si="25"/>
        <v>23941.881397850419</v>
      </c>
      <c r="U563" s="19">
        <v>0</v>
      </c>
      <c r="V563" s="36">
        <f t="shared" si="26"/>
        <v>149951.78349179999</v>
      </c>
    </row>
    <row r="564" spans="1:22" ht="23.4" thickBot="1" x14ac:dyDescent="0.35">
      <c r="A564" s="25" t="s">
        <v>153</v>
      </c>
      <c r="B564" s="26">
        <v>11</v>
      </c>
      <c r="C564" s="27" t="s">
        <v>15</v>
      </c>
      <c r="D564" s="26" t="s">
        <v>89</v>
      </c>
      <c r="E564" s="26" t="s">
        <v>81</v>
      </c>
      <c r="F564" s="27" t="s">
        <v>90</v>
      </c>
      <c r="G564" s="26" t="s">
        <v>19</v>
      </c>
      <c r="H564" s="26">
        <v>636.85</v>
      </c>
      <c r="I564" s="26">
        <v>1.74</v>
      </c>
      <c r="J564" s="26">
        <v>1.74</v>
      </c>
      <c r="K564" s="29">
        <v>1</v>
      </c>
      <c r="L564" s="26">
        <v>20.54</v>
      </c>
      <c r="M564" s="19">
        <f>H564*INDEX('Pliegos Tarifarios (Huechuraba)'!$B:$B,MATCH($B564,'Pliegos Tarifarios (Huechuraba)'!$A:$A,0))</f>
        <v>83913.26655</v>
      </c>
      <c r="N564" s="19">
        <f>I564*INDEX('Pliegos Tarifarios (Huechuraba)'!$C:$C,MATCH($B564,'Pliegos Tarifarios (Huechuraba)'!$A:$A,0))</f>
        <v>6047.2012199999999</v>
      </c>
      <c r="O564" s="19">
        <f>J564*INDEX('Pliegos Tarifarios (Huechuraba)'!$D:$D,MATCH($B564,'Pliegos Tarifarios (Huechuraba)'!$A:$A,0))</f>
        <v>25316.42928</v>
      </c>
      <c r="P564" s="19">
        <f>H564*INDEX('Pliegos Tarifarios (Huechuraba)'!$E:$E,MATCH($B564,'Pliegos Tarifarios (Huechuraba)'!$A:$A,0))</f>
        <v>8294.3343999999997</v>
      </c>
      <c r="Q564" s="19" cm="1">
        <f t="array" ref="Q564">H564*_xlfn.IFS(H564&lt;=350,INDEX('Pliegos Tarifarios (Huechuraba)'!$F:$F,MATCH($B564,'Pliegos Tarifarios (Huechuraba)'!$A:$A,0)),H564&lt;=500,INDEX('Pliegos Tarifarios (Huechuraba)'!$G:$G,MATCH($B564,'Pliegos Tarifarios (Huechuraba)'!$A:$A,0)),H564&lt;=1000,INDEX('Pliegos Tarifarios (Huechuraba)'!$H:$H,MATCH($B564,'Pliegos Tarifarios (Huechuraba)'!$A:$A,0)),H564&lt;=5000,INDEX('Pliegos Tarifarios (Huechuraba)'!$I:$I,MATCH($B564,'Pliegos Tarifarios (Huechuraba)'!$A:$A,0)),H564&gt;5000,INDEX('Pliegos Tarifarios (Huechuraba)'!$J:$J,MATCH($B564,'Pliegos Tarifarios (Huechuraba)'!$A:$A,0)))/1.19</f>
        <v>1493.6540756302525</v>
      </c>
      <c r="R564" s="19">
        <f>INDEX('Pliegos Tarifarios (Huechuraba)'!$K:$K,MATCH($B564,'Pliegos Tarifarios (Huechuraba)'!$A:$A,0))</f>
        <v>732.99199999999996</v>
      </c>
      <c r="S564" s="36">
        <f t="shared" si="24"/>
        <v>125797.87752563025</v>
      </c>
      <c r="T564" s="36">
        <f t="shared" si="25"/>
        <v>23901.596729869747</v>
      </c>
      <c r="U564" s="19">
        <v>0</v>
      </c>
      <c r="V564" s="36">
        <f t="shared" si="26"/>
        <v>149699.47425549998</v>
      </c>
    </row>
    <row r="565" spans="1:22" ht="23.4" thickBot="1" x14ac:dyDescent="0.35">
      <c r="A565" s="25" t="s">
        <v>153</v>
      </c>
      <c r="B565" s="26">
        <v>11</v>
      </c>
      <c r="C565" s="27" t="s">
        <v>15</v>
      </c>
      <c r="D565" s="26" t="s">
        <v>91</v>
      </c>
      <c r="E565" s="26" t="s">
        <v>81</v>
      </c>
      <c r="F565" s="27" t="s">
        <v>92</v>
      </c>
      <c r="G565" s="26" t="s">
        <v>19</v>
      </c>
      <c r="H565" s="26">
        <v>797.09</v>
      </c>
      <c r="I565" s="26">
        <v>2.2200000000000002</v>
      </c>
      <c r="J565" s="26">
        <v>2.11</v>
      </c>
      <c r="K565" s="29">
        <v>0.95299999999999996</v>
      </c>
      <c r="L565" s="26">
        <v>25.71</v>
      </c>
      <c r="M565" s="19">
        <f>H565*INDEX('Pliegos Tarifarios (Huechuraba)'!$B:$B,MATCH($B565,'Pliegos Tarifarios (Huechuraba)'!$A:$A,0))</f>
        <v>105026.96967000001</v>
      </c>
      <c r="N565" s="19">
        <f>I565*INDEX('Pliegos Tarifarios (Huechuraba)'!$C:$C,MATCH($B565,'Pliegos Tarifarios (Huechuraba)'!$A:$A,0))</f>
        <v>7715.3946599999999</v>
      </c>
      <c r="O565" s="19">
        <f>J565*INDEX('Pliegos Tarifarios (Huechuraba)'!$D:$D,MATCH($B565,'Pliegos Tarifarios (Huechuraba)'!$A:$A,0))</f>
        <v>30699.807919999999</v>
      </c>
      <c r="P565" s="19">
        <f>H565*INDEX('Pliegos Tarifarios (Huechuraba)'!$E:$E,MATCH($B565,'Pliegos Tarifarios (Huechuraba)'!$A:$A,0))</f>
        <v>10381.300159999999</v>
      </c>
      <c r="Q565" s="19" cm="1">
        <f t="array" ref="Q565">H565*_xlfn.IFS(H565&lt;=350,INDEX('Pliegos Tarifarios (Huechuraba)'!$F:$F,MATCH($B565,'Pliegos Tarifarios (Huechuraba)'!$A:$A,0)),H565&lt;=500,INDEX('Pliegos Tarifarios (Huechuraba)'!$G:$G,MATCH($B565,'Pliegos Tarifarios (Huechuraba)'!$A:$A,0)),H565&lt;=1000,INDEX('Pliegos Tarifarios (Huechuraba)'!$H:$H,MATCH($B565,'Pliegos Tarifarios (Huechuraba)'!$A:$A,0)),H565&lt;=5000,INDEX('Pliegos Tarifarios (Huechuraba)'!$I:$I,MATCH($B565,'Pliegos Tarifarios (Huechuraba)'!$A:$A,0)),H565&gt;5000,INDEX('Pliegos Tarifarios (Huechuraba)'!$J:$J,MATCH($B565,'Pliegos Tarifarios (Huechuraba)'!$A:$A,0)))/1.19</f>
        <v>1869.4774705882357</v>
      </c>
      <c r="R565" s="19">
        <f>INDEX('Pliegos Tarifarios (Huechuraba)'!$K:$K,MATCH($B565,'Pliegos Tarifarios (Huechuraba)'!$A:$A,0))</f>
        <v>732.99199999999996</v>
      </c>
      <c r="S565" s="36">
        <f t="shared" si="24"/>
        <v>156425.94188058822</v>
      </c>
      <c r="T565" s="36">
        <f t="shared" si="25"/>
        <v>29720.92895731176</v>
      </c>
      <c r="U565" s="19">
        <v>0</v>
      </c>
      <c r="V565" s="36">
        <f t="shared" si="26"/>
        <v>186146.87083789997</v>
      </c>
    </row>
    <row r="566" spans="1:22" ht="23.4" thickBot="1" x14ac:dyDescent="0.35">
      <c r="A566" s="25" t="s">
        <v>153</v>
      </c>
      <c r="B566" s="26">
        <v>11</v>
      </c>
      <c r="C566" s="27" t="s">
        <v>15</v>
      </c>
      <c r="D566" s="26" t="s">
        <v>93</v>
      </c>
      <c r="E566" s="26" t="s">
        <v>94</v>
      </c>
      <c r="F566" s="27" t="s">
        <v>95</v>
      </c>
      <c r="G566" s="26" t="s">
        <v>19</v>
      </c>
      <c r="H566" s="26">
        <v>638.77</v>
      </c>
      <c r="I566" s="26">
        <v>1.77</v>
      </c>
      <c r="J566" s="26">
        <v>1.74</v>
      </c>
      <c r="K566" s="29">
        <v>0.98599999999999999</v>
      </c>
      <c r="L566" s="26">
        <v>20.61</v>
      </c>
      <c r="M566" s="19">
        <f>H566*INDEX('Pliegos Tarifarios (Huechuraba)'!$B:$B,MATCH($B566,'Pliegos Tarifarios (Huechuraba)'!$A:$A,0))</f>
        <v>84166.251510000002</v>
      </c>
      <c r="N566" s="19">
        <f>I566*INDEX('Pliegos Tarifarios (Huechuraba)'!$C:$C,MATCH($B566,'Pliegos Tarifarios (Huechuraba)'!$A:$A,0))</f>
        <v>6151.4633100000001</v>
      </c>
      <c r="O566" s="19">
        <f>J566*INDEX('Pliegos Tarifarios (Huechuraba)'!$D:$D,MATCH($B566,'Pliegos Tarifarios (Huechuraba)'!$A:$A,0))</f>
        <v>25316.42928</v>
      </c>
      <c r="P566" s="19">
        <f>H566*INDEX('Pliegos Tarifarios (Huechuraba)'!$E:$E,MATCH($B566,'Pliegos Tarifarios (Huechuraba)'!$A:$A,0))</f>
        <v>8319.3404799999989</v>
      </c>
      <c r="Q566" s="19" cm="1">
        <f t="array" ref="Q566">H566*_xlfn.IFS(H566&lt;=350,INDEX('Pliegos Tarifarios (Huechuraba)'!$F:$F,MATCH($B566,'Pliegos Tarifarios (Huechuraba)'!$A:$A,0)),H566&lt;=500,INDEX('Pliegos Tarifarios (Huechuraba)'!$G:$G,MATCH($B566,'Pliegos Tarifarios (Huechuraba)'!$A:$A,0)),H566&lt;=1000,INDEX('Pliegos Tarifarios (Huechuraba)'!$H:$H,MATCH($B566,'Pliegos Tarifarios (Huechuraba)'!$A:$A,0)),H566&lt;=5000,INDEX('Pliegos Tarifarios (Huechuraba)'!$I:$I,MATCH($B566,'Pliegos Tarifarios (Huechuraba)'!$A:$A,0)),H566&gt;5000,INDEX('Pliegos Tarifarios (Huechuraba)'!$J:$J,MATCH($B566,'Pliegos Tarifarios (Huechuraba)'!$A:$A,0)))/1.19</f>
        <v>1498.1572016806726</v>
      </c>
      <c r="R566" s="19">
        <f>INDEX('Pliegos Tarifarios (Huechuraba)'!$K:$K,MATCH($B566,'Pliegos Tarifarios (Huechuraba)'!$A:$A,0))</f>
        <v>732.99199999999996</v>
      </c>
      <c r="S566" s="36">
        <f t="shared" si="24"/>
        <v>126184.63378168068</v>
      </c>
      <c r="T566" s="36">
        <f t="shared" si="25"/>
        <v>23975.08041851933</v>
      </c>
      <c r="U566" s="19">
        <v>0</v>
      </c>
      <c r="V566" s="36">
        <f t="shared" si="26"/>
        <v>150159.71420020002</v>
      </c>
    </row>
    <row r="567" spans="1:22" ht="23.4" thickBot="1" x14ac:dyDescent="0.35">
      <c r="A567" s="25" t="s">
        <v>153</v>
      </c>
      <c r="B567" s="26">
        <v>11</v>
      </c>
      <c r="C567" s="27" t="s">
        <v>15</v>
      </c>
      <c r="D567" s="26" t="s">
        <v>96</v>
      </c>
      <c r="E567" s="26" t="s">
        <v>97</v>
      </c>
      <c r="F567" s="27" t="s">
        <v>98</v>
      </c>
      <c r="G567" s="26" t="s">
        <v>19</v>
      </c>
      <c r="H567" s="26">
        <v>956.95</v>
      </c>
      <c r="I567" s="26">
        <v>2.65</v>
      </c>
      <c r="J567" s="26">
        <v>2.65</v>
      </c>
      <c r="K567" s="29">
        <v>1</v>
      </c>
      <c r="L567" s="26">
        <v>30.87</v>
      </c>
      <c r="M567" s="19">
        <f>H567*INDEX('Pliegos Tarifarios (Huechuraba)'!$B:$B,MATCH($B567,'Pliegos Tarifarios (Huechuraba)'!$A:$A,0))</f>
        <v>126090.60285000001</v>
      </c>
      <c r="N567" s="19">
        <f>I567*INDEX('Pliegos Tarifarios (Huechuraba)'!$C:$C,MATCH($B567,'Pliegos Tarifarios (Huechuraba)'!$A:$A,0))</f>
        <v>9209.8179499999987</v>
      </c>
      <c r="O567" s="19">
        <f>J567*INDEX('Pliegos Tarifarios (Huechuraba)'!$D:$D,MATCH($B567,'Pliegos Tarifarios (Huechuraba)'!$A:$A,0))</f>
        <v>38556.630799999999</v>
      </c>
      <c r="P567" s="19">
        <f>H567*INDEX('Pliegos Tarifarios (Huechuraba)'!$E:$E,MATCH($B567,'Pliegos Tarifarios (Huechuraba)'!$A:$A,0))</f>
        <v>12463.316800000001</v>
      </c>
      <c r="Q567" s="19" cm="1">
        <f t="array" ref="Q567">H567*_xlfn.IFS(H567&lt;=350,INDEX('Pliegos Tarifarios (Huechuraba)'!$F:$F,MATCH($B567,'Pliegos Tarifarios (Huechuraba)'!$A:$A,0)),H567&lt;=500,INDEX('Pliegos Tarifarios (Huechuraba)'!$G:$G,MATCH($B567,'Pliegos Tarifarios (Huechuraba)'!$A:$A,0)),H567&lt;=1000,INDEX('Pliegos Tarifarios (Huechuraba)'!$H:$H,MATCH($B567,'Pliegos Tarifarios (Huechuraba)'!$A:$A,0)),H567&lt;=5000,INDEX('Pliegos Tarifarios (Huechuraba)'!$I:$I,MATCH($B567,'Pliegos Tarifarios (Huechuraba)'!$A:$A,0)),H567&gt;5000,INDEX('Pliegos Tarifarios (Huechuraba)'!$J:$J,MATCH($B567,'Pliegos Tarifarios (Huechuraba)'!$A:$A,0)))/1.19</f>
        <v>2244.4096218487402</v>
      </c>
      <c r="R567" s="19">
        <f>INDEX('Pliegos Tarifarios (Huechuraba)'!$K:$K,MATCH($B567,'Pliegos Tarifarios (Huechuraba)'!$A:$A,0))</f>
        <v>732.99199999999996</v>
      </c>
      <c r="S567" s="36">
        <f t="shared" si="24"/>
        <v>189297.77002184876</v>
      </c>
      <c r="T567" s="36">
        <f t="shared" si="25"/>
        <v>35966.576304151262</v>
      </c>
      <c r="U567" s="19">
        <v>0</v>
      </c>
      <c r="V567" s="36">
        <f t="shared" si="26"/>
        <v>225264.34632600003</v>
      </c>
    </row>
    <row r="568" spans="1:22" ht="23.4" thickBot="1" x14ac:dyDescent="0.35">
      <c r="A568" s="25" t="s">
        <v>153</v>
      </c>
      <c r="B568" s="26">
        <v>11</v>
      </c>
      <c r="C568" s="27" t="s">
        <v>15</v>
      </c>
      <c r="D568" s="26" t="s">
        <v>99</v>
      </c>
      <c r="E568" s="26" t="s">
        <v>94</v>
      </c>
      <c r="F568" s="27" t="s">
        <v>100</v>
      </c>
      <c r="G568" s="26" t="s">
        <v>19</v>
      </c>
      <c r="H568" s="26">
        <v>953.42</v>
      </c>
      <c r="I568" s="26">
        <v>2.63</v>
      </c>
      <c r="J568" s="26">
        <v>2.63</v>
      </c>
      <c r="K568" s="29">
        <v>1</v>
      </c>
      <c r="L568" s="26">
        <v>30.76</v>
      </c>
      <c r="M568" s="19">
        <f>H568*INDEX('Pliegos Tarifarios (Huechuraba)'!$B:$B,MATCH($B568,'Pliegos Tarifarios (Huechuraba)'!$A:$A,0))</f>
        <v>125625.47946</v>
      </c>
      <c r="N568" s="19">
        <f>I568*INDEX('Pliegos Tarifarios (Huechuraba)'!$C:$C,MATCH($B568,'Pliegos Tarifarios (Huechuraba)'!$A:$A,0))</f>
        <v>9140.3098899999986</v>
      </c>
      <c r="O568" s="19">
        <f>J568*INDEX('Pliegos Tarifarios (Huechuraba)'!$D:$D,MATCH($B568,'Pliegos Tarifarios (Huechuraba)'!$A:$A,0))</f>
        <v>38265.637360000001</v>
      </c>
      <c r="P568" s="19">
        <f>H568*INDEX('Pliegos Tarifarios (Huechuraba)'!$E:$E,MATCH($B568,'Pliegos Tarifarios (Huechuraba)'!$A:$A,0))</f>
        <v>12417.342079999999</v>
      </c>
      <c r="Q568" s="19" cm="1">
        <f t="array" ref="Q568">H568*_xlfn.IFS(H568&lt;=350,INDEX('Pliegos Tarifarios (Huechuraba)'!$F:$F,MATCH($B568,'Pliegos Tarifarios (Huechuraba)'!$A:$A,0)),H568&lt;=500,INDEX('Pliegos Tarifarios (Huechuraba)'!$G:$G,MATCH($B568,'Pliegos Tarifarios (Huechuraba)'!$A:$A,0)),H568&lt;=1000,INDEX('Pliegos Tarifarios (Huechuraba)'!$H:$H,MATCH($B568,'Pliegos Tarifarios (Huechuraba)'!$A:$A,0)),H568&lt;=5000,INDEX('Pliegos Tarifarios (Huechuraba)'!$I:$I,MATCH($B568,'Pliegos Tarifarios (Huechuraba)'!$A:$A,0)),H568&gt;5000,INDEX('Pliegos Tarifarios (Huechuraba)'!$J:$J,MATCH($B568,'Pliegos Tarifarios (Huechuraba)'!$A:$A,0)))/1.19</f>
        <v>2236.1304369747904</v>
      </c>
      <c r="R568" s="19">
        <f>INDEX('Pliegos Tarifarios (Huechuraba)'!$K:$K,MATCH($B568,'Pliegos Tarifarios (Huechuraba)'!$A:$A,0))</f>
        <v>732.99199999999996</v>
      </c>
      <c r="S568" s="36">
        <f t="shared" si="24"/>
        <v>188417.89122697478</v>
      </c>
      <c r="T568" s="36">
        <f t="shared" si="25"/>
        <v>35799.399333125206</v>
      </c>
      <c r="U568" s="19">
        <v>0</v>
      </c>
      <c r="V568" s="36">
        <f t="shared" si="26"/>
        <v>224217.29056009999</v>
      </c>
    </row>
    <row r="569" spans="1:22" ht="23.4" thickBot="1" x14ac:dyDescent="0.35">
      <c r="A569" s="25" t="s">
        <v>153</v>
      </c>
      <c r="B569" s="26">
        <v>11</v>
      </c>
      <c r="C569" s="27" t="s">
        <v>15</v>
      </c>
      <c r="D569" s="26" t="s">
        <v>101</v>
      </c>
      <c r="E569" s="26" t="s">
        <v>102</v>
      </c>
      <c r="F569" s="27" t="s">
        <v>103</v>
      </c>
      <c r="G569" s="26" t="s">
        <v>19</v>
      </c>
      <c r="H569" s="28">
        <v>2547.48</v>
      </c>
      <c r="I569" s="26">
        <v>7.02</v>
      </c>
      <c r="J569" s="26">
        <v>6.82</v>
      </c>
      <c r="K569" s="29">
        <v>0.97199999999999998</v>
      </c>
      <c r="L569" s="26">
        <v>82.18</v>
      </c>
      <c r="M569" s="19">
        <f>H569*INDEX('Pliegos Tarifarios (Huechuraba)'!$B:$B,MATCH($B569,'Pliegos Tarifarios (Huechuraba)'!$A:$A,0))</f>
        <v>335663.60724000004</v>
      </c>
      <c r="N569" s="19">
        <f>I569*INDEX('Pliegos Tarifarios (Huechuraba)'!$C:$C,MATCH($B569,'Pliegos Tarifarios (Huechuraba)'!$A:$A,0))</f>
        <v>24397.329059999996</v>
      </c>
      <c r="O569" s="19">
        <f>J569*INDEX('Pliegos Tarifarios (Huechuraba)'!$D:$D,MATCH($B569,'Pliegos Tarifarios (Huechuraba)'!$A:$A,0))</f>
        <v>99228.763040000005</v>
      </c>
      <c r="P569" s="19">
        <f>H569*INDEX('Pliegos Tarifarios (Huechuraba)'!$E:$E,MATCH($B569,'Pliegos Tarifarios (Huechuraba)'!$A:$A,0))</f>
        <v>33178.379519999995</v>
      </c>
      <c r="Q569" s="19" cm="1">
        <f t="array" ref="Q569">H569*_xlfn.IFS(H569&lt;=350,INDEX('Pliegos Tarifarios (Huechuraba)'!$F:$F,MATCH($B569,'Pliegos Tarifarios (Huechuraba)'!$A:$A,0)),H569&lt;=500,INDEX('Pliegos Tarifarios (Huechuraba)'!$G:$G,MATCH($B569,'Pliegos Tarifarios (Huechuraba)'!$A:$A,0)),H569&lt;=1000,INDEX('Pliegos Tarifarios (Huechuraba)'!$H:$H,MATCH($B569,'Pliegos Tarifarios (Huechuraba)'!$A:$A,0)),H569&lt;=5000,INDEX('Pliegos Tarifarios (Huechuraba)'!$I:$I,MATCH($B569,'Pliegos Tarifarios (Huechuraba)'!$A:$A,0)),H569&gt;5000,INDEX('Pliegos Tarifarios (Huechuraba)'!$J:$J,MATCH($B569,'Pliegos Tarifarios (Huechuraba)'!$A:$A,0)))/1.19</f>
        <v>7644.5807394957983</v>
      </c>
      <c r="R569" s="19">
        <f>INDEX('Pliegos Tarifarios (Huechuraba)'!$K:$K,MATCH($B569,'Pliegos Tarifarios (Huechuraba)'!$A:$A,0))</f>
        <v>732.99199999999996</v>
      </c>
      <c r="S569" s="36">
        <f t="shared" si="24"/>
        <v>500845.6515994959</v>
      </c>
      <c r="T569" s="36">
        <f t="shared" si="25"/>
        <v>95160.673803904225</v>
      </c>
      <c r="U569" s="19">
        <v>0</v>
      </c>
      <c r="V569" s="36">
        <f t="shared" si="26"/>
        <v>596006.32540340011</v>
      </c>
    </row>
    <row r="570" spans="1:22" ht="23.4" thickBot="1" x14ac:dyDescent="0.35">
      <c r="A570" s="25" t="s">
        <v>153</v>
      </c>
      <c r="B570" s="26">
        <v>11</v>
      </c>
      <c r="C570" s="27" t="s">
        <v>15</v>
      </c>
      <c r="D570" s="26" t="s">
        <v>104</v>
      </c>
      <c r="E570" s="26" t="s">
        <v>105</v>
      </c>
      <c r="F570" s="27" t="s">
        <v>106</v>
      </c>
      <c r="G570" s="26" t="s">
        <v>19</v>
      </c>
      <c r="H570" s="28">
        <v>1911.52</v>
      </c>
      <c r="I570" s="26">
        <v>5.2</v>
      </c>
      <c r="J570" s="26">
        <v>5.2</v>
      </c>
      <c r="K570" s="29">
        <v>1</v>
      </c>
      <c r="L570" s="26">
        <v>61.66</v>
      </c>
      <c r="M570" s="19">
        <f>H570*INDEX('Pliegos Tarifarios (Huechuraba)'!$B:$B,MATCH($B570,'Pliegos Tarifarios (Huechuraba)'!$A:$A,0))</f>
        <v>251867.60976000002</v>
      </c>
      <c r="N570" s="19">
        <f>I570*INDEX('Pliegos Tarifarios (Huechuraba)'!$C:$C,MATCH($B570,'Pliegos Tarifarios (Huechuraba)'!$A:$A,0))</f>
        <v>18072.095600000001</v>
      </c>
      <c r="O570" s="19">
        <f>J570*INDEX('Pliegos Tarifarios (Huechuraba)'!$D:$D,MATCH($B570,'Pliegos Tarifarios (Huechuraba)'!$A:$A,0))</f>
        <v>75658.294399999999</v>
      </c>
      <c r="P570" s="19">
        <f>H570*INDEX('Pliegos Tarifarios (Huechuraba)'!$E:$E,MATCH($B570,'Pliegos Tarifarios (Huechuraba)'!$A:$A,0))</f>
        <v>24895.636479999997</v>
      </c>
      <c r="Q570" s="19" cm="1">
        <f t="array" ref="Q570">H570*_xlfn.IFS(H570&lt;=350,INDEX('Pliegos Tarifarios (Huechuraba)'!$F:$F,MATCH($B570,'Pliegos Tarifarios (Huechuraba)'!$A:$A,0)),H570&lt;=500,INDEX('Pliegos Tarifarios (Huechuraba)'!$G:$G,MATCH($B570,'Pliegos Tarifarios (Huechuraba)'!$A:$A,0)),H570&lt;=1000,INDEX('Pliegos Tarifarios (Huechuraba)'!$H:$H,MATCH($B570,'Pliegos Tarifarios (Huechuraba)'!$A:$A,0)),H570&lt;=5000,INDEX('Pliegos Tarifarios (Huechuraba)'!$I:$I,MATCH($B570,'Pliegos Tarifarios (Huechuraba)'!$A:$A,0)),H570&gt;5000,INDEX('Pliegos Tarifarios (Huechuraba)'!$J:$J,MATCH($B570,'Pliegos Tarifarios (Huechuraba)'!$A:$A,0)))/1.19</f>
        <v>5736.1663193277309</v>
      </c>
      <c r="R570" s="19">
        <f>INDEX('Pliegos Tarifarios (Huechuraba)'!$K:$K,MATCH($B570,'Pliegos Tarifarios (Huechuraba)'!$A:$A,0))</f>
        <v>732.99199999999996</v>
      </c>
      <c r="S570" s="36">
        <f t="shared" si="24"/>
        <v>376962.79455932777</v>
      </c>
      <c r="T570" s="36">
        <f t="shared" si="25"/>
        <v>71622.930966272281</v>
      </c>
      <c r="U570" s="19">
        <v>0</v>
      </c>
      <c r="V570" s="36">
        <f t="shared" si="26"/>
        <v>448585.72552560002</v>
      </c>
    </row>
    <row r="571" spans="1:22" ht="23.4" thickBot="1" x14ac:dyDescent="0.35">
      <c r="A571" s="25" t="s">
        <v>153</v>
      </c>
      <c r="B571" s="26">
        <v>11</v>
      </c>
      <c r="C571" s="27" t="s">
        <v>15</v>
      </c>
      <c r="D571" s="26" t="s">
        <v>107</v>
      </c>
      <c r="E571" s="26" t="s">
        <v>108</v>
      </c>
      <c r="F571" s="27" t="s">
        <v>109</v>
      </c>
      <c r="G571" s="26" t="s">
        <v>33</v>
      </c>
      <c r="H571" s="26">
        <v>636.98</v>
      </c>
      <c r="I571" s="26">
        <v>1.73</v>
      </c>
      <c r="J571" s="26">
        <v>1.7</v>
      </c>
      <c r="K571" s="29">
        <v>0.98299999999999998</v>
      </c>
      <c r="L571" s="26">
        <v>20.55</v>
      </c>
      <c r="M571" s="19">
        <f>H571*INDEX('Pliegos Tarifarios (Huechuraba)'!$B:$B,MATCH($B571,'Pliegos Tarifarios (Huechuraba)'!$A:$A,0))</f>
        <v>83930.395740000007</v>
      </c>
      <c r="N571" s="19">
        <f>I571*INDEX('Pliegos Tarifarios (Huechuraba)'!$C:$C,MATCH($B571,'Pliegos Tarifarios (Huechuraba)'!$A:$A,0))</f>
        <v>6012.4471899999999</v>
      </c>
      <c r="O571" s="19">
        <f>J571*INDEX('Pliegos Tarifarios (Huechuraba)'!$D:$D,MATCH($B571,'Pliegos Tarifarios (Huechuraba)'!$A:$A,0))</f>
        <v>24734.4424</v>
      </c>
      <c r="P571" s="19">
        <f>H571*INDEX('Pliegos Tarifarios (Huechuraba)'!$E:$E,MATCH($B571,'Pliegos Tarifarios (Huechuraba)'!$A:$A,0))</f>
        <v>8296.0275199999996</v>
      </c>
      <c r="Q571" s="19" cm="1">
        <f t="array" ref="Q571">H571*_xlfn.IFS(H571&lt;=350,INDEX('Pliegos Tarifarios (Huechuraba)'!$F:$F,MATCH($B571,'Pliegos Tarifarios (Huechuraba)'!$A:$A,0)),H571&lt;=500,INDEX('Pliegos Tarifarios (Huechuraba)'!$G:$G,MATCH($B571,'Pliegos Tarifarios (Huechuraba)'!$A:$A,0)),H571&lt;=1000,INDEX('Pliegos Tarifarios (Huechuraba)'!$H:$H,MATCH($B571,'Pliegos Tarifarios (Huechuraba)'!$A:$A,0)),H571&lt;=5000,INDEX('Pliegos Tarifarios (Huechuraba)'!$I:$I,MATCH($B571,'Pliegos Tarifarios (Huechuraba)'!$A:$A,0)),H571&gt;5000,INDEX('Pliegos Tarifarios (Huechuraba)'!$J:$J,MATCH($B571,'Pliegos Tarifarios (Huechuraba)'!$A:$A,0)))/1.19</f>
        <v>1493.9589747899163</v>
      </c>
      <c r="R571" s="19">
        <f>INDEX('Pliegos Tarifarios (Huechuraba)'!$K:$K,MATCH($B571,'Pliegos Tarifarios (Huechuraba)'!$A:$A,0))</f>
        <v>732.99199999999996</v>
      </c>
      <c r="S571" s="36">
        <f t="shared" si="24"/>
        <v>125200.26382478993</v>
      </c>
      <c r="T571" s="36">
        <f t="shared" si="25"/>
        <v>23788.050126710088</v>
      </c>
      <c r="U571" s="19">
        <v>0</v>
      </c>
      <c r="V571" s="36">
        <f t="shared" si="26"/>
        <v>148988.31395150002</v>
      </c>
    </row>
    <row r="572" spans="1:22" ht="23.4" thickBot="1" x14ac:dyDescent="0.35">
      <c r="A572" s="25" t="s">
        <v>153</v>
      </c>
      <c r="B572" s="26">
        <v>11</v>
      </c>
      <c r="C572" s="27" t="s">
        <v>15</v>
      </c>
      <c r="D572" s="26" t="s">
        <v>110</v>
      </c>
      <c r="E572" s="26" t="s">
        <v>108</v>
      </c>
      <c r="F572" s="27" t="s">
        <v>111</v>
      </c>
      <c r="G572" s="26" t="s">
        <v>33</v>
      </c>
      <c r="H572" s="28">
        <v>1167.49</v>
      </c>
      <c r="I572" s="26">
        <v>3.22</v>
      </c>
      <c r="J572" s="26">
        <v>3.15</v>
      </c>
      <c r="K572" s="29">
        <v>0.97899999999999998</v>
      </c>
      <c r="L572" s="26">
        <v>37.659999999999997</v>
      </c>
      <c r="M572" s="19">
        <f>H572*INDEX('Pliegos Tarifarios (Huechuraba)'!$B:$B,MATCH($B572,'Pliegos Tarifarios (Huechuraba)'!$A:$A,0))</f>
        <v>153831.98487000001</v>
      </c>
      <c r="N572" s="19">
        <f>I572*INDEX('Pliegos Tarifarios (Huechuraba)'!$C:$C,MATCH($B572,'Pliegos Tarifarios (Huechuraba)'!$A:$A,0))</f>
        <v>11190.79766</v>
      </c>
      <c r="O572" s="19">
        <f>J572*INDEX('Pliegos Tarifarios (Huechuraba)'!$D:$D,MATCH($B572,'Pliegos Tarifarios (Huechuraba)'!$A:$A,0))</f>
        <v>45831.466800000002</v>
      </c>
      <c r="P572" s="19">
        <f>H572*INDEX('Pliegos Tarifarios (Huechuraba)'!$E:$E,MATCH($B572,'Pliegos Tarifarios (Huechuraba)'!$A:$A,0))</f>
        <v>15205.389759999998</v>
      </c>
      <c r="Q572" s="19" cm="1">
        <f t="array" ref="Q572">H572*_xlfn.IFS(H572&lt;=350,INDEX('Pliegos Tarifarios (Huechuraba)'!$F:$F,MATCH($B572,'Pliegos Tarifarios (Huechuraba)'!$A:$A,0)),H572&lt;=500,INDEX('Pliegos Tarifarios (Huechuraba)'!$G:$G,MATCH($B572,'Pliegos Tarifarios (Huechuraba)'!$A:$A,0)),H572&lt;=1000,INDEX('Pliegos Tarifarios (Huechuraba)'!$H:$H,MATCH($B572,'Pliegos Tarifarios (Huechuraba)'!$A:$A,0)),H572&lt;=5000,INDEX('Pliegos Tarifarios (Huechuraba)'!$I:$I,MATCH($B572,'Pliegos Tarifarios (Huechuraba)'!$A:$A,0)),H572&gt;5000,INDEX('Pliegos Tarifarios (Huechuraba)'!$J:$J,MATCH($B572,'Pliegos Tarifarios (Huechuraba)'!$A:$A,0)))/1.19</f>
        <v>3503.4510840336134</v>
      </c>
      <c r="R572" s="19">
        <f>INDEX('Pliegos Tarifarios (Huechuraba)'!$K:$K,MATCH($B572,'Pliegos Tarifarios (Huechuraba)'!$A:$A,0))</f>
        <v>732.99199999999996</v>
      </c>
      <c r="S572" s="36">
        <f t="shared" si="24"/>
        <v>230296.08217403363</v>
      </c>
      <c r="T572" s="36">
        <f t="shared" si="25"/>
        <v>43756.255613066387</v>
      </c>
      <c r="U572" s="19">
        <v>0</v>
      </c>
      <c r="V572" s="36">
        <f t="shared" si="26"/>
        <v>274052.3377871</v>
      </c>
    </row>
    <row r="573" spans="1:22" ht="23.4" thickBot="1" x14ac:dyDescent="0.35">
      <c r="A573" s="25" t="s">
        <v>153</v>
      </c>
      <c r="B573" s="26">
        <v>11</v>
      </c>
      <c r="C573" s="27" t="s">
        <v>15</v>
      </c>
      <c r="D573" s="26" t="s">
        <v>112</v>
      </c>
      <c r="E573" s="26" t="s">
        <v>113</v>
      </c>
      <c r="F573" s="27" t="s">
        <v>114</v>
      </c>
      <c r="G573" s="26" t="s">
        <v>33</v>
      </c>
      <c r="H573" s="26">
        <v>425.42</v>
      </c>
      <c r="I573" s="26">
        <v>1.18</v>
      </c>
      <c r="J573" s="26">
        <v>1.1499999999999999</v>
      </c>
      <c r="K573" s="29">
        <v>0.97599999999999998</v>
      </c>
      <c r="L573" s="26">
        <v>13.72</v>
      </c>
      <c r="M573" s="19">
        <f>H573*INDEX('Pliegos Tarifarios (Huechuraba)'!$B:$B,MATCH($B573,'Pliegos Tarifarios (Huechuraba)'!$A:$A,0))</f>
        <v>56054.615460000001</v>
      </c>
      <c r="N573" s="19">
        <f>I573*INDEX('Pliegos Tarifarios (Huechuraba)'!$C:$C,MATCH($B573,'Pliegos Tarifarios (Huechuraba)'!$A:$A,0))</f>
        <v>4100.9755399999995</v>
      </c>
      <c r="O573" s="19">
        <f>J573*INDEX('Pliegos Tarifarios (Huechuraba)'!$D:$D,MATCH($B573,'Pliegos Tarifarios (Huechuraba)'!$A:$A,0))</f>
        <v>16732.122800000001</v>
      </c>
      <c r="P573" s="19">
        <f>H573*INDEX('Pliegos Tarifarios (Huechuraba)'!$E:$E,MATCH($B573,'Pliegos Tarifarios (Huechuraba)'!$A:$A,0))</f>
        <v>5540.6700799999999</v>
      </c>
      <c r="Q573" s="19" cm="1">
        <f t="array" ref="Q573">H573*_xlfn.IFS(H573&lt;=350,INDEX('Pliegos Tarifarios (Huechuraba)'!$F:$F,MATCH($B573,'Pliegos Tarifarios (Huechuraba)'!$A:$A,0)),H573&lt;=500,INDEX('Pliegos Tarifarios (Huechuraba)'!$G:$G,MATCH($B573,'Pliegos Tarifarios (Huechuraba)'!$A:$A,0)),H573&lt;=1000,INDEX('Pliegos Tarifarios (Huechuraba)'!$H:$H,MATCH($B573,'Pliegos Tarifarios (Huechuraba)'!$A:$A,0)),H573&lt;=5000,INDEX('Pliegos Tarifarios (Huechuraba)'!$I:$I,MATCH($B573,'Pliegos Tarifarios (Huechuraba)'!$A:$A,0)),H573&gt;5000,INDEX('Pliegos Tarifarios (Huechuraba)'!$J:$J,MATCH($B573,'Pliegos Tarifarios (Huechuraba)'!$A:$A,0)))/1.19</f>
        <v>599.16295798319345</v>
      </c>
      <c r="R573" s="19">
        <f>INDEX('Pliegos Tarifarios (Huechuraba)'!$K:$K,MATCH($B573,'Pliegos Tarifarios (Huechuraba)'!$A:$A,0))</f>
        <v>732.99199999999996</v>
      </c>
      <c r="S573" s="36">
        <f t="shared" si="24"/>
        <v>83760.538837983186</v>
      </c>
      <c r="T573" s="36">
        <f t="shared" si="25"/>
        <v>15914.502379216805</v>
      </c>
      <c r="U573" s="19">
        <v>0</v>
      </c>
      <c r="V573" s="36">
        <f t="shared" si="26"/>
        <v>99675.041217199992</v>
      </c>
    </row>
    <row r="574" spans="1:22" ht="23.4" thickBot="1" x14ac:dyDescent="0.35">
      <c r="A574" s="25" t="s">
        <v>153</v>
      </c>
      <c r="B574" s="26">
        <v>11</v>
      </c>
      <c r="C574" s="27" t="s">
        <v>15</v>
      </c>
      <c r="D574" s="26" t="s">
        <v>115</v>
      </c>
      <c r="E574" s="26" t="s">
        <v>116</v>
      </c>
      <c r="F574" s="27" t="s">
        <v>117</v>
      </c>
      <c r="G574" s="26" t="s">
        <v>33</v>
      </c>
      <c r="H574" s="26">
        <v>477.85</v>
      </c>
      <c r="I574" s="26">
        <v>1.32</v>
      </c>
      <c r="J574" s="26">
        <v>1.32</v>
      </c>
      <c r="K574" s="29">
        <v>1</v>
      </c>
      <c r="L574" s="26">
        <v>15.41</v>
      </c>
      <c r="M574" s="19">
        <f>H574*INDEX('Pliegos Tarifarios (Huechuraba)'!$B:$B,MATCH($B574,'Pliegos Tarifarios (Huechuraba)'!$A:$A,0))</f>
        <v>62962.949550000005</v>
      </c>
      <c r="N574" s="19">
        <f>I574*INDEX('Pliegos Tarifarios (Huechuraba)'!$C:$C,MATCH($B574,'Pliegos Tarifarios (Huechuraba)'!$A:$A,0))</f>
        <v>4587.5319600000003</v>
      </c>
      <c r="O574" s="19">
        <f>J574*INDEX('Pliegos Tarifarios (Huechuraba)'!$D:$D,MATCH($B574,'Pliegos Tarifarios (Huechuraba)'!$A:$A,0))</f>
        <v>19205.567040000002</v>
      </c>
      <c r="P574" s="19">
        <f>H574*INDEX('Pliegos Tarifarios (Huechuraba)'!$E:$E,MATCH($B574,'Pliegos Tarifarios (Huechuraba)'!$A:$A,0))</f>
        <v>6223.5183999999999</v>
      </c>
      <c r="Q574" s="19" cm="1">
        <f t="array" ref="Q574">H574*_xlfn.IFS(H574&lt;=350,INDEX('Pliegos Tarifarios (Huechuraba)'!$F:$F,MATCH($B574,'Pliegos Tarifarios (Huechuraba)'!$A:$A,0)),H574&lt;=500,INDEX('Pliegos Tarifarios (Huechuraba)'!$G:$G,MATCH($B574,'Pliegos Tarifarios (Huechuraba)'!$A:$A,0)),H574&lt;=1000,INDEX('Pliegos Tarifarios (Huechuraba)'!$H:$H,MATCH($B574,'Pliegos Tarifarios (Huechuraba)'!$A:$A,0)),H574&lt;=5000,INDEX('Pliegos Tarifarios (Huechuraba)'!$I:$I,MATCH($B574,'Pliegos Tarifarios (Huechuraba)'!$A:$A,0)),H574&gt;5000,INDEX('Pliegos Tarifarios (Huechuraba)'!$J:$J,MATCH($B574,'Pliegos Tarifarios (Huechuraba)'!$A:$A,0)))/1.19</f>
        <v>673.00554621848755</v>
      </c>
      <c r="R574" s="19">
        <f>INDEX('Pliegos Tarifarios (Huechuraba)'!$K:$K,MATCH($B574,'Pliegos Tarifarios (Huechuraba)'!$A:$A,0))</f>
        <v>732.99199999999996</v>
      </c>
      <c r="S574" s="36">
        <f t="shared" si="24"/>
        <v>94385.564496218489</v>
      </c>
      <c r="T574" s="36">
        <f t="shared" si="25"/>
        <v>17933.257254281514</v>
      </c>
      <c r="U574" s="19">
        <v>0</v>
      </c>
      <c r="V574" s="36">
        <f t="shared" si="26"/>
        <v>112318.82175050001</v>
      </c>
    </row>
    <row r="575" spans="1:22" ht="23.4" thickBot="1" x14ac:dyDescent="0.35">
      <c r="A575" s="25" t="s">
        <v>153</v>
      </c>
      <c r="B575" s="26">
        <v>11</v>
      </c>
      <c r="C575" s="27" t="s">
        <v>15</v>
      </c>
      <c r="D575" s="26" t="s">
        <v>118</v>
      </c>
      <c r="E575" s="26" t="s">
        <v>119</v>
      </c>
      <c r="F575" s="27" t="s">
        <v>120</v>
      </c>
      <c r="G575" s="26" t="s">
        <v>33</v>
      </c>
      <c r="H575" s="26">
        <v>79.63</v>
      </c>
      <c r="I575" s="26">
        <v>0.22</v>
      </c>
      <c r="J575" s="26">
        <v>0.22</v>
      </c>
      <c r="K575" s="29">
        <v>1</v>
      </c>
      <c r="L575" s="26">
        <v>2.57</v>
      </c>
      <c r="M575" s="19">
        <f>H575*INDEX('Pliegos Tarifarios (Huechuraba)'!$B:$B,MATCH($B575,'Pliegos Tarifarios (Huechuraba)'!$A:$A,0))</f>
        <v>10492.287689999999</v>
      </c>
      <c r="N575" s="19">
        <f>I575*INDEX('Pliegos Tarifarios (Huechuraba)'!$C:$C,MATCH($B575,'Pliegos Tarifarios (Huechuraba)'!$A:$A,0))</f>
        <v>764.58866</v>
      </c>
      <c r="O575" s="19">
        <f>J575*INDEX('Pliegos Tarifarios (Huechuraba)'!$D:$D,MATCH($B575,'Pliegos Tarifarios (Huechuraba)'!$A:$A,0))</f>
        <v>3200.9278400000003</v>
      </c>
      <c r="P575" s="19">
        <f>H575*INDEX('Pliegos Tarifarios (Huechuraba)'!$E:$E,MATCH($B575,'Pliegos Tarifarios (Huechuraba)'!$A:$A,0))</f>
        <v>1037.1011199999998</v>
      </c>
      <c r="Q575" s="19" cm="1">
        <f t="array" ref="Q575">H575*_xlfn.IFS(H575&lt;=350,INDEX('Pliegos Tarifarios (Huechuraba)'!$F:$F,MATCH($B575,'Pliegos Tarifarios (Huechuraba)'!$A:$A,0)),H575&lt;=500,INDEX('Pliegos Tarifarios (Huechuraba)'!$G:$G,MATCH($B575,'Pliegos Tarifarios (Huechuraba)'!$A:$A,0)),H575&lt;=1000,INDEX('Pliegos Tarifarios (Huechuraba)'!$H:$H,MATCH($B575,'Pliegos Tarifarios (Huechuraba)'!$A:$A,0)),H575&lt;=5000,INDEX('Pliegos Tarifarios (Huechuraba)'!$I:$I,MATCH($B575,'Pliegos Tarifarios (Huechuraba)'!$A:$A,0)),H575&gt;5000,INDEX('Pliegos Tarifarios (Huechuraba)'!$J:$J,MATCH($B575,'Pliegos Tarifarios (Huechuraba)'!$A:$A,0)))/1.19</f>
        <v>52.462117647058825</v>
      </c>
      <c r="R575" s="19">
        <f>INDEX('Pliegos Tarifarios (Huechuraba)'!$K:$K,MATCH($B575,'Pliegos Tarifarios (Huechuraba)'!$A:$A,0))</f>
        <v>732.99199999999996</v>
      </c>
      <c r="S575" s="36">
        <f t="shared" si="24"/>
        <v>16280.359427647058</v>
      </c>
      <c r="T575" s="36">
        <f t="shared" si="25"/>
        <v>3093.2682912529408</v>
      </c>
      <c r="U575" s="19">
        <v>0</v>
      </c>
      <c r="V575" s="36">
        <f t="shared" si="26"/>
        <v>19373.627718899999</v>
      </c>
    </row>
    <row r="576" spans="1:22" ht="23.4" thickBot="1" x14ac:dyDescent="0.35">
      <c r="A576" s="25" t="s">
        <v>153</v>
      </c>
      <c r="B576" s="26">
        <v>11</v>
      </c>
      <c r="C576" s="27" t="s">
        <v>15</v>
      </c>
      <c r="D576" s="26" t="s">
        <v>121</v>
      </c>
      <c r="E576" s="26" t="s">
        <v>119</v>
      </c>
      <c r="F576" s="27" t="s">
        <v>122</v>
      </c>
      <c r="G576" s="26" t="s">
        <v>33</v>
      </c>
      <c r="H576" s="26">
        <v>79.510000000000005</v>
      </c>
      <c r="I576" s="26">
        <v>0.22</v>
      </c>
      <c r="J576" s="26">
        <v>0.22</v>
      </c>
      <c r="K576" s="29">
        <v>1</v>
      </c>
      <c r="L576" s="26">
        <v>2.56</v>
      </c>
      <c r="M576" s="19">
        <f>H576*INDEX('Pliegos Tarifarios (Huechuraba)'!$B:$B,MATCH($B576,'Pliegos Tarifarios (Huechuraba)'!$A:$A,0))</f>
        <v>10476.476130000001</v>
      </c>
      <c r="N576" s="19">
        <f>I576*INDEX('Pliegos Tarifarios (Huechuraba)'!$C:$C,MATCH($B576,'Pliegos Tarifarios (Huechuraba)'!$A:$A,0))</f>
        <v>764.58866</v>
      </c>
      <c r="O576" s="19">
        <f>J576*INDEX('Pliegos Tarifarios (Huechuraba)'!$D:$D,MATCH($B576,'Pliegos Tarifarios (Huechuraba)'!$A:$A,0))</f>
        <v>3200.9278400000003</v>
      </c>
      <c r="P576" s="19">
        <f>H576*INDEX('Pliegos Tarifarios (Huechuraba)'!$E:$E,MATCH($B576,'Pliegos Tarifarios (Huechuraba)'!$A:$A,0))</f>
        <v>1035.5382400000001</v>
      </c>
      <c r="Q576" s="19" cm="1">
        <f t="array" ref="Q576">H576*_xlfn.IFS(H576&lt;=350,INDEX('Pliegos Tarifarios (Huechuraba)'!$F:$F,MATCH($B576,'Pliegos Tarifarios (Huechuraba)'!$A:$A,0)),H576&lt;=500,INDEX('Pliegos Tarifarios (Huechuraba)'!$G:$G,MATCH($B576,'Pliegos Tarifarios (Huechuraba)'!$A:$A,0)),H576&lt;=1000,INDEX('Pliegos Tarifarios (Huechuraba)'!$H:$H,MATCH($B576,'Pliegos Tarifarios (Huechuraba)'!$A:$A,0)),H576&lt;=5000,INDEX('Pliegos Tarifarios (Huechuraba)'!$I:$I,MATCH($B576,'Pliegos Tarifarios (Huechuraba)'!$A:$A,0)),H576&gt;5000,INDEX('Pliegos Tarifarios (Huechuraba)'!$J:$J,MATCH($B576,'Pliegos Tarifarios (Huechuraba)'!$A:$A,0)))/1.19</f>
        <v>52.383058823529417</v>
      </c>
      <c r="R576" s="19">
        <f>INDEX('Pliegos Tarifarios (Huechuraba)'!$K:$K,MATCH($B576,'Pliegos Tarifarios (Huechuraba)'!$A:$A,0))</f>
        <v>732.99199999999996</v>
      </c>
      <c r="S576" s="36">
        <f t="shared" si="24"/>
        <v>16262.905928823529</v>
      </c>
      <c r="T576" s="36">
        <f t="shared" si="25"/>
        <v>3089.9521264764708</v>
      </c>
      <c r="U576" s="19">
        <v>0</v>
      </c>
      <c r="V576" s="36">
        <f t="shared" si="26"/>
        <v>19352.858055299999</v>
      </c>
    </row>
    <row r="577" spans="1:22" ht="23.4" thickBot="1" x14ac:dyDescent="0.35">
      <c r="A577" s="25" t="s">
        <v>153</v>
      </c>
      <c r="B577" s="26">
        <v>11</v>
      </c>
      <c r="C577" s="27" t="s">
        <v>15</v>
      </c>
      <c r="D577" s="26" t="s">
        <v>123</v>
      </c>
      <c r="E577" s="26" t="s">
        <v>124</v>
      </c>
      <c r="F577" s="27" t="s">
        <v>125</v>
      </c>
      <c r="G577" s="26" t="s">
        <v>33</v>
      </c>
      <c r="H577" s="26">
        <v>79.78</v>
      </c>
      <c r="I577" s="26">
        <v>0.22</v>
      </c>
      <c r="J577" s="26">
        <v>0.21</v>
      </c>
      <c r="K577" s="29">
        <v>0.98199999999999998</v>
      </c>
      <c r="L577" s="26">
        <v>2.57</v>
      </c>
      <c r="M577" s="19">
        <f>H577*INDEX('Pliegos Tarifarios (Huechuraba)'!$B:$B,MATCH($B577,'Pliegos Tarifarios (Huechuraba)'!$A:$A,0))</f>
        <v>10512.05214</v>
      </c>
      <c r="N577" s="19">
        <f>I577*INDEX('Pliegos Tarifarios (Huechuraba)'!$C:$C,MATCH($B577,'Pliegos Tarifarios (Huechuraba)'!$A:$A,0))</f>
        <v>764.58866</v>
      </c>
      <c r="O577" s="19">
        <f>J577*INDEX('Pliegos Tarifarios (Huechuraba)'!$D:$D,MATCH($B577,'Pliegos Tarifarios (Huechuraba)'!$A:$A,0))</f>
        <v>3055.4311200000002</v>
      </c>
      <c r="P577" s="19">
        <f>H577*INDEX('Pliegos Tarifarios (Huechuraba)'!$E:$E,MATCH($B577,'Pliegos Tarifarios (Huechuraba)'!$A:$A,0))</f>
        <v>1039.0547199999999</v>
      </c>
      <c r="Q577" s="19" cm="1">
        <f t="array" ref="Q577">H577*_xlfn.IFS(H577&lt;=350,INDEX('Pliegos Tarifarios (Huechuraba)'!$F:$F,MATCH($B577,'Pliegos Tarifarios (Huechuraba)'!$A:$A,0)),H577&lt;=500,INDEX('Pliegos Tarifarios (Huechuraba)'!$G:$G,MATCH($B577,'Pliegos Tarifarios (Huechuraba)'!$A:$A,0)),H577&lt;=1000,INDEX('Pliegos Tarifarios (Huechuraba)'!$H:$H,MATCH($B577,'Pliegos Tarifarios (Huechuraba)'!$A:$A,0)),H577&lt;=5000,INDEX('Pliegos Tarifarios (Huechuraba)'!$I:$I,MATCH($B577,'Pliegos Tarifarios (Huechuraba)'!$A:$A,0)),H577&gt;5000,INDEX('Pliegos Tarifarios (Huechuraba)'!$J:$J,MATCH($B577,'Pliegos Tarifarios (Huechuraba)'!$A:$A,0)))/1.19</f>
        <v>52.560941176470592</v>
      </c>
      <c r="R577" s="19">
        <f>INDEX('Pliegos Tarifarios (Huechuraba)'!$K:$K,MATCH($B577,'Pliegos Tarifarios (Huechuraba)'!$A:$A,0))</f>
        <v>732.99199999999996</v>
      </c>
      <c r="S577" s="36">
        <f t="shared" si="24"/>
        <v>16156.67958117647</v>
      </c>
      <c r="T577" s="36">
        <f t="shared" si="25"/>
        <v>3069.7691204235293</v>
      </c>
      <c r="U577" s="19">
        <v>0</v>
      </c>
      <c r="V577" s="36">
        <f t="shared" si="26"/>
        <v>19226.448701599998</v>
      </c>
    </row>
    <row r="578" spans="1:22" ht="23.4" thickBot="1" x14ac:dyDescent="0.35">
      <c r="A578" s="25" t="s">
        <v>153</v>
      </c>
      <c r="B578" s="26">
        <v>11</v>
      </c>
      <c r="C578" s="27" t="s">
        <v>15</v>
      </c>
      <c r="D578" s="26" t="s">
        <v>126</v>
      </c>
      <c r="E578" s="26" t="s">
        <v>124</v>
      </c>
      <c r="F578" s="27" t="s">
        <v>127</v>
      </c>
      <c r="G578" s="26" t="s">
        <v>33</v>
      </c>
      <c r="H578" s="26">
        <v>132.56</v>
      </c>
      <c r="I578" s="26">
        <v>0.36</v>
      </c>
      <c r="J578" s="26">
        <v>0.35</v>
      </c>
      <c r="K578" s="29">
        <v>0.96399999999999997</v>
      </c>
      <c r="L578" s="26">
        <v>4.28</v>
      </c>
      <c r="M578" s="19">
        <f>H578*INDEX('Pliegos Tarifarios (Huechuraba)'!$B:$B,MATCH($B578,'Pliegos Tarifarios (Huechuraba)'!$A:$A,0))</f>
        <v>17466.503280000001</v>
      </c>
      <c r="N578" s="19">
        <f>I578*INDEX('Pliegos Tarifarios (Huechuraba)'!$C:$C,MATCH($B578,'Pliegos Tarifarios (Huechuraba)'!$A:$A,0))</f>
        <v>1251.1450799999998</v>
      </c>
      <c r="O578" s="19">
        <f>J578*INDEX('Pliegos Tarifarios (Huechuraba)'!$D:$D,MATCH($B578,'Pliegos Tarifarios (Huechuraba)'!$A:$A,0))</f>
        <v>5092.3851999999997</v>
      </c>
      <c r="P578" s="19">
        <f>H578*INDEX('Pliegos Tarifarios (Huechuraba)'!$E:$E,MATCH($B578,'Pliegos Tarifarios (Huechuraba)'!$A:$A,0))</f>
        <v>1726.4614399999998</v>
      </c>
      <c r="Q578" s="19" cm="1">
        <f t="array" ref="Q578">H578*_xlfn.IFS(H578&lt;=350,INDEX('Pliegos Tarifarios (Huechuraba)'!$F:$F,MATCH($B578,'Pliegos Tarifarios (Huechuraba)'!$A:$A,0)),H578&lt;=500,INDEX('Pliegos Tarifarios (Huechuraba)'!$G:$G,MATCH($B578,'Pliegos Tarifarios (Huechuraba)'!$A:$A,0)),H578&lt;=1000,INDEX('Pliegos Tarifarios (Huechuraba)'!$H:$H,MATCH($B578,'Pliegos Tarifarios (Huechuraba)'!$A:$A,0)),H578&lt;=5000,INDEX('Pliegos Tarifarios (Huechuraba)'!$I:$I,MATCH($B578,'Pliegos Tarifarios (Huechuraba)'!$A:$A,0)),H578&gt;5000,INDEX('Pliegos Tarifarios (Huechuraba)'!$J:$J,MATCH($B578,'Pliegos Tarifarios (Huechuraba)'!$A:$A,0)))/1.19</f>
        <v>87.333647058823544</v>
      </c>
      <c r="R578" s="19">
        <f>INDEX('Pliegos Tarifarios (Huechuraba)'!$K:$K,MATCH($B578,'Pliegos Tarifarios (Huechuraba)'!$A:$A,0))</f>
        <v>732.99199999999996</v>
      </c>
      <c r="S578" s="36">
        <f t="shared" si="24"/>
        <v>26356.820647058819</v>
      </c>
      <c r="T578" s="36">
        <f t="shared" si="25"/>
        <v>5007.7959229411754</v>
      </c>
      <c r="U578" s="19">
        <v>0</v>
      </c>
      <c r="V578" s="36">
        <f t="shared" si="26"/>
        <v>31364.616569999995</v>
      </c>
    </row>
    <row r="579" spans="1:22" ht="23.4" thickBot="1" x14ac:dyDescent="0.35">
      <c r="A579" s="25" t="s">
        <v>153</v>
      </c>
      <c r="B579" s="26">
        <v>11</v>
      </c>
      <c r="C579" s="27" t="s">
        <v>15</v>
      </c>
      <c r="D579" s="26" t="s">
        <v>128</v>
      </c>
      <c r="E579" s="26" t="s">
        <v>124</v>
      </c>
      <c r="F579" s="27" t="s">
        <v>129</v>
      </c>
      <c r="G579" s="26" t="s">
        <v>33</v>
      </c>
      <c r="H579" s="26">
        <v>79.45</v>
      </c>
      <c r="I579" s="26">
        <v>0.22</v>
      </c>
      <c r="J579" s="26">
        <v>0.22</v>
      </c>
      <c r="K579" s="29">
        <v>1</v>
      </c>
      <c r="L579" s="26">
        <v>2.56</v>
      </c>
      <c r="M579" s="19">
        <f>H579*INDEX('Pliegos Tarifarios (Huechuraba)'!$B:$B,MATCH($B579,'Pliegos Tarifarios (Huechuraba)'!$A:$A,0))</f>
        <v>10468.57035</v>
      </c>
      <c r="N579" s="19">
        <f>I579*INDEX('Pliegos Tarifarios (Huechuraba)'!$C:$C,MATCH($B579,'Pliegos Tarifarios (Huechuraba)'!$A:$A,0))</f>
        <v>764.58866</v>
      </c>
      <c r="O579" s="19">
        <f>J579*INDEX('Pliegos Tarifarios (Huechuraba)'!$D:$D,MATCH($B579,'Pliegos Tarifarios (Huechuraba)'!$A:$A,0))</f>
        <v>3200.9278400000003</v>
      </c>
      <c r="P579" s="19">
        <f>H579*INDEX('Pliegos Tarifarios (Huechuraba)'!$E:$E,MATCH($B579,'Pliegos Tarifarios (Huechuraba)'!$A:$A,0))</f>
        <v>1034.7567999999999</v>
      </c>
      <c r="Q579" s="19" cm="1">
        <f t="array" ref="Q579">H579*_xlfn.IFS(H579&lt;=350,INDEX('Pliegos Tarifarios (Huechuraba)'!$F:$F,MATCH($B579,'Pliegos Tarifarios (Huechuraba)'!$A:$A,0)),H579&lt;=500,INDEX('Pliegos Tarifarios (Huechuraba)'!$G:$G,MATCH($B579,'Pliegos Tarifarios (Huechuraba)'!$A:$A,0)),H579&lt;=1000,INDEX('Pliegos Tarifarios (Huechuraba)'!$H:$H,MATCH($B579,'Pliegos Tarifarios (Huechuraba)'!$A:$A,0)),H579&lt;=5000,INDEX('Pliegos Tarifarios (Huechuraba)'!$I:$I,MATCH($B579,'Pliegos Tarifarios (Huechuraba)'!$A:$A,0)),H579&gt;5000,INDEX('Pliegos Tarifarios (Huechuraba)'!$J:$J,MATCH($B579,'Pliegos Tarifarios (Huechuraba)'!$A:$A,0)))/1.19</f>
        <v>52.343529411764713</v>
      </c>
      <c r="R579" s="19">
        <f>INDEX('Pliegos Tarifarios (Huechuraba)'!$K:$K,MATCH($B579,'Pliegos Tarifarios (Huechuraba)'!$A:$A,0))</f>
        <v>732.99199999999996</v>
      </c>
      <c r="S579" s="36">
        <f t="shared" si="24"/>
        <v>16254.179179411763</v>
      </c>
      <c r="T579" s="36">
        <f t="shared" si="25"/>
        <v>3088.2940440882353</v>
      </c>
      <c r="U579" s="19">
        <v>0</v>
      </c>
      <c r="V579" s="36">
        <f t="shared" si="26"/>
        <v>19342.473223499997</v>
      </c>
    </row>
    <row r="580" spans="1:22" ht="23.4" thickBot="1" x14ac:dyDescent="0.35">
      <c r="A580" s="25" t="s">
        <v>153</v>
      </c>
      <c r="B580" s="26">
        <v>11</v>
      </c>
      <c r="C580" s="27" t="s">
        <v>15</v>
      </c>
      <c r="D580" s="26" t="s">
        <v>130</v>
      </c>
      <c r="E580" s="26" t="s">
        <v>124</v>
      </c>
      <c r="F580" s="27" t="s">
        <v>131</v>
      </c>
      <c r="G580" s="26" t="s">
        <v>33</v>
      </c>
      <c r="H580" s="26">
        <v>79.86</v>
      </c>
      <c r="I580" s="26">
        <v>0.22</v>
      </c>
      <c r="J580" s="26">
        <v>0.22</v>
      </c>
      <c r="K580" s="29">
        <v>0.998</v>
      </c>
      <c r="L580" s="26">
        <v>2.58</v>
      </c>
      <c r="M580" s="19">
        <f>H580*INDEX('Pliegos Tarifarios (Huechuraba)'!$B:$B,MATCH($B580,'Pliegos Tarifarios (Huechuraba)'!$A:$A,0))</f>
        <v>10522.59318</v>
      </c>
      <c r="N580" s="19">
        <f>I580*INDEX('Pliegos Tarifarios (Huechuraba)'!$C:$C,MATCH($B580,'Pliegos Tarifarios (Huechuraba)'!$A:$A,0))</f>
        <v>764.58866</v>
      </c>
      <c r="O580" s="19">
        <f>J580*INDEX('Pliegos Tarifarios (Huechuraba)'!$D:$D,MATCH($B580,'Pliegos Tarifarios (Huechuraba)'!$A:$A,0))</f>
        <v>3200.9278400000003</v>
      </c>
      <c r="P580" s="19">
        <f>H580*INDEX('Pliegos Tarifarios (Huechuraba)'!$E:$E,MATCH($B580,'Pliegos Tarifarios (Huechuraba)'!$A:$A,0))</f>
        <v>1040.09664</v>
      </c>
      <c r="Q580" s="19" cm="1">
        <f t="array" ref="Q580">H580*_xlfn.IFS(H580&lt;=350,INDEX('Pliegos Tarifarios (Huechuraba)'!$F:$F,MATCH($B580,'Pliegos Tarifarios (Huechuraba)'!$A:$A,0)),H580&lt;=500,INDEX('Pliegos Tarifarios (Huechuraba)'!$G:$G,MATCH($B580,'Pliegos Tarifarios (Huechuraba)'!$A:$A,0)),H580&lt;=1000,INDEX('Pliegos Tarifarios (Huechuraba)'!$H:$H,MATCH($B580,'Pliegos Tarifarios (Huechuraba)'!$A:$A,0)),H580&lt;=5000,INDEX('Pliegos Tarifarios (Huechuraba)'!$I:$I,MATCH($B580,'Pliegos Tarifarios (Huechuraba)'!$A:$A,0)),H580&gt;5000,INDEX('Pliegos Tarifarios (Huechuraba)'!$J:$J,MATCH($B580,'Pliegos Tarifarios (Huechuraba)'!$A:$A,0)))/1.19</f>
        <v>52.613647058823538</v>
      </c>
      <c r="R580" s="19">
        <f>INDEX('Pliegos Tarifarios (Huechuraba)'!$K:$K,MATCH($B580,'Pliegos Tarifarios (Huechuraba)'!$A:$A,0))</f>
        <v>732.99199999999996</v>
      </c>
      <c r="S580" s="36">
        <f t="shared" si="24"/>
        <v>16313.811967058824</v>
      </c>
      <c r="T580" s="36">
        <f t="shared" si="25"/>
        <v>3099.6242737411767</v>
      </c>
      <c r="U580" s="19">
        <v>0</v>
      </c>
      <c r="V580" s="36">
        <f t="shared" si="26"/>
        <v>19413.436240800002</v>
      </c>
    </row>
    <row r="581" spans="1:22" ht="23.4" thickBot="1" x14ac:dyDescent="0.35">
      <c r="A581" s="25" t="s">
        <v>153</v>
      </c>
      <c r="B581" s="26">
        <v>11</v>
      </c>
      <c r="C581" s="27" t="s">
        <v>15</v>
      </c>
      <c r="D581" s="26" t="s">
        <v>132</v>
      </c>
      <c r="E581" s="26" t="s">
        <v>124</v>
      </c>
      <c r="F581" s="27" t="s">
        <v>133</v>
      </c>
      <c r="G581" s="26" t="s">
        <v>33</v>
      </c>
      <c r="H581" s="26">
        <v>79.569999999999993</v>
      </c>
      <c r="I581" s="26">
        <v>0.22</v>
      </c>
      <c r="J581" s="26">
        <v>0.22</v>
      </c>
      <c r="K581" s="29">
        <v>1</v>
      </c>
      <c r="L581" s="26">
        <v>2.57</v>
      </c>
      <c r="M581" s="19">
        <f>H581*INDEX('Pliegos Tarifarios (Huechuraba)'!$B:$B,MATCH($B581,'Pliegos Tarifarios (Huechuraba)'!$A:$A,0))</f>
        <v>10484.38191</v>
      </c>
      <c r="N581" s="19">
        <f>I581*INDEX('Pliegos Tarifarios (Huechuraba)'!$C:$C,MATCH($B581,'Pliegos Tarifarios (Huechuraba)'!$A:$A,0))</f>
        <v>764.58866</v>
      </c>
      <c r="O581" s="19">
        <f>J581*INDEX('Pliegos Tarifarios (Huechuraba)'!$D:$D,MATCH($B581,'Pliegos Tarifarios (Huechuraba)'!$A:$A,0))</f>
        <v>3200.9278400000003</v>
      </c>
      <c r="P581" s="19">
        <f>H581*INDEX('Pliegos Tarifarios (Huechuraba)'!$E:$E,MATCH($B581,'Pliegos Tarifarios (Huechuraba)'!$A:$A,0))</f>
        <v>1036.3196799999998</v>
      </c>
      <c r="Q581" s="19" cm="1">
        <f t="array" ref="Q581">H581*_xlfn.IFS(H581&lt;=350,INDEX('Pliegos Tarifarios (Huechuraba)'!$F:$F,MATCH($B581,'Pliegos Tarifarios (Huechuraba)'!$A:$A,0)),H581&lt;=500,INDEX('Pliegos Tarifarios (Huechuraba)'!$G:$G,MATCH($B581,'Pliegos Tarifarios (Huechuraba)'!$A:$A,0)),H581&lt;=1000,INDEX('Pliegos Tarifarios (Huechuraba)'!$H:$H,MATCH($B581,'Pliegos Tarifarios (Huechuraba)'!$A:$A,0)),H581&lt;=5000,INDEX('Pliegos Tarifarios (Huechuraba)'!$I:$I,MATCH($B581,'Pliegos Tarifarios (Huechuraba)'!$A:$A,0)),H581&gt;5000,INDEX('Pliegos Tarifarios (Huechuraba)'!$J:$J,MATCH($B581,'Pliegos Tarifarios (Huechuraba)'!$A:$A,0)))/1.19</f>
        <v>52.422588235294121</v>
      </c>
      <c r="R581" s="19">
        <f>INDEX('Pliegos Tarifarios (Huechuraba)'!$K:$K,MATCH($B581,'Pliegos Tarifarios (Huechuraba)'!$A:$A,0))</f>
        <v>732.99199999999996</v>
      </c>
      <c r="S581" s="36">
        <f t="shared" ref="S581:S639" si="27">SUM(M581:R581)</f>
        <v>16271.632678235295</v>
      </c>
      <c r="T581" s="36">
        <f t="shared" ref="T581:T639" si="28">S581*0.19</f>
        <v>3091.6102088647062</v>
      </c>
      <c r="U581" s="19">
        <v>0</v>
      </c>
      <c r="V581" s="36">
        <f t="shared" ref="V581:V639" si="29">SUM(S581:T581)</f>
        <v>19363.242887100001</v>
      </c>
    </row>
    <row r="582" spans="1:22" ht="23.4" thickBot="1" x14ac:dyDescent="0.35">
      <c r="A582" s="25" t="s">
        <v>153</v>
      </c>
      <c r="B582" s="26">
        <v>11</v>
      </c>
      <c r="C582" s="27" t="s">
        <v>15</v>
      </c>
      <c r="D582" s="26" t="s">
        <v>134</v>
      </c>
      <c r="E582" s="26" t="s">
        <v>124</v>
      </c>
      <c r="F582" s="27" t="s">
        <v>135</v>
      </c>
      <c r="G582" s="26" t="s">
        <v>33</v>
      </c>
      <c r="H582" s="26">
        <v>159.44999999999999</v>
      </c>
      <c r="I582" s="26">
        <v>0.44</v>
      </c>
      <c r="J582" s="26">
        <v>0.44</v>
      </c>
      <c r="K582" s="29">
        <v>1</v>
      </c>
      <c r="L582" s="26">
        <v>5.14</v>
      </c>
      <c r="M582" s="19">
        <f>H582*INDEX('Pliegos Tarifarios (Huechuraba)'!$B:$B,MATCH($B582,'Pliegos Tarifarios (Huechuraba)'!$A:$A,0))</f>
        <v>21009.610349999999</v>
      </c>
      <c r="N582" s="19">
        <f>I582*INDEX('Pliegos Tarifarios (Huechuraba)'!$C:$C,MATCH($B582,'Pliegos Tarifarios (Huechuraba)'!$A:$A,0))</f>
        <v>1529.17732</v>
      </c>
      <c r="O582" s="19">
        <f>J582*INDEX('Pliegos Tarifarios (Huechuraba)'!$D:$D,MATCH($B582,'Pliegos Tarifarios (Huechuraba)'!$A:$A,0))</f>
        <v>6401.8556800000006</v>
      </c>
      <c r="P582" s="19">
        <f>H582*INDEX('Pliegos Tarifarios (Huechuraba)'!$E:$E,MATCH($B582,'Pliegos Tarifarios (Huechuraba)'!$A:$A,0))</f>
        <v>2076.6767999999997</v>
      </c>
      <c r="Q582" s="19" cm="1">
        <f t="array" ref="Q582">H582*_xlfn.IFS(H582&lt;=350,INDEX('Pliegos Tarifarios (Huechuraba)'!$F:$F,MATCH($B582,'Pliegos Tarifarios (Huechuraba)'!$A:$A,0)),H582&lt;=500,INDEX('Pliegos Tarifarios (Huechuraba)'!$G:$G,MATCH($B582,'Pliegos Tarifarios (Huechuraba)'!$A:$A,0)),H582&lt;=1000,INDEX('Pliegos Tarifarios (Huechuraba)'!$H:$H,MATCH($B582,'Pliegos Tarifarios (Huechuraba)'!$A:$A,0)),H582&lt;=5000,INDEX('Pliegos Tarifarios (Huechuraba)'!$I:$I,MATCH($B582,'Pliegos Tarifarios (Huechuraba)'!$A:$A,0)),H582&gt;5000,INDEX('Pliegos Tarifarios (Huechuraba)'!$J:$J,MATCH($B582,'Pliegos Tarifarios (Huechuraba)'!$A:$A,0)))/1.19</f>
        <v>105.04941176470588</v>
      </c>
      <c r="R582" s="19">
        <f>INDEX('Pliegos Tarifarios (Huechuraba)'!$K:$K,MATCH($B582,'Pliegos Tarifarios (Huechuraba)'!$A:$A,0))</f>
        <v>732.99199999999996</v>
      </c>
      <c r="S582" s="36">
        <f t="shared" si="27"/>
        <v>31855.361561764705</v>
      </c>
      <c r="T582" s="36">
        <f t="shared" si="28"/>
        <v>6052.5186967352938</v>
      </c>
      <c r="U582" s="19">
        <v>0</v>
      </c>
      <c r="V582" s="36">
        <f t="shared" si="29"/>
        <v>37907.880258500001</v>
      </c>
    </row>
    <row r="583" spans="1:22" ht="23.4" thickBot="1" x14ac:dyDescent="0.35">
      <c r="A583" s="25" t="s">
        <v>153</v>
      </c>
      <c r="B583" s="26">
        <v>11</v>
      </c>
      <c r="C583" s="27" t="s">
        <v>15</v>
      </c>
      <c r="D583" s="26" t="s">
        <v>136</v>
      </c>
      <c r="E583" s="26" t="s">
        <v>124</v>
      </c>
      <c r="F583" s="27" t="s">
        <v>137</v>
      </c>
      <c r="G583" s="26" t="s">
        <v>33</v>
      </c>
      <c r="H583" s="26">
        <v>159.46</v>
      </c>
      <c r="I583" s="26">
        <v>0.44</v>
      </c>
      <c r="J583" s="26">
        <v>0.43</v>
      </c>
      <c r="K583" s="29">
        <v>0.97799999999999998</v>
      </c>
      <c r="L583" s="26">
        <v>5.14</v>
      </c>
      <c r="M583" s="19">
        <f>H583*INDEX('Pliegos Tarifarios (Huechuraba)'!$B:$B,MATCH($B583,'Pliegos Tarifarios (Huechuraba)'!$A:$A,0))</f>
        <v>21010.92798</v>
      </c>
      <c r="N583" s="19">
        <f>I583*INDEX('Pliegos Tarifarios (Huechuraba)'!$C:$C,MATCH($B583,'Pliegos Tarifarios (Huechuraba)'!$A:$A,0))</f>
        <v>1529.17732</v>
      </c>
      <c r="O583" s="19">
        <f>J583*INDEX('Pliegos Tarifarios (Huechuraba)'!$D:$D,MATCH($B583,'Pliegos Tarifarios (Huechuraba)'!$A:$A,0))</f>
        <v>6256.3589600000005</v>
      </c>
      <c r="P583" s="19">
        <f>H583*INDEX('Pliegos Tarifarios (Huechuraba)'!$E:$E,MATCH($B583,'Pliegos Tarifarios (Huechuraba)'!$A:$A,0))</f>
        <v>2076.8070400000001</v>
      </c>
      <c r="Q583" s="19" cm="1">
        <f t="array" ref="Q583">H583*_xlfn.IFS(H583&lt;=350,INDEX('Pliegos Tarifarios (Huechuraba)'!$F:$F,MATCH($B583,'Pliegos Tarifarios (Huechuraba)'!$A:$A,0)),H583&lt;=500,INDEX('Pliegos Tarifarios (Huechuraba)'!$G:$G,MATCH($B583,'Pliegos Tarifarios (Huechuraba)'!$A:$A,0)),H583&lt;=1000,INDEX('Pliegos Tarifarios (Huechuraba)'!$H:$H,MATCH($B583,'Pliegos Tarifarios (Huechuraba)'!$A:$A,0)),H583&lt;=5000,INDEX('Pliegos Tarifarios (Huechuraba)'!$I:$I,MATCH($B583,'Pliegos Tarifarios (Huechuraba)'!$A:$A,0)),H583&gt;5000,INDEX('Pliegos Tarifarios (Huechuraba)'!$J:$J,MATCH($B583,'Pliegos Tarifarios (Huechuraba)'!$A:$A,0)))/1.19</f>
        <v>105.05600000000001</v>
      </c>
      <c r="R583" s="19">
        <f>INDEX('Pliegos Tarifarios (Huechuraba)'!$K:$K,MATCH($B583,'Pliegos Tarifarios (Huechuraba)'!$A:$A,0))</f>
        <v>732.99199999999996</v>
      </c>
      <c r="S583" s="36">
        <f t="shared" si="27"/>
        <v>31711.319299999999</v>
      </c>
      <c r="T583" s="36">
        <f t="shared" si="28"/>
        <v>6025.1506669999999</v>
      </c>
      <c r="U583" s="19">
        <v>0</v>
      </c>
      <c r="V583" s="36">
        <f t="shared" si="29"/>
        <v>37736.469966999997</v>
      </c>
    </row>
    <row r="584" spans="1:22" ht="23.4" thickBot="1" x14ac:dyDescent="0.35">
      <c r="A584" s="25" t="s">
        <v>153</v>
      </c>
      <c r="B584" s="26">
        <v>11</v>
      </c>
      <c r="C584" s="27" t="s">
        <v>15</v>
      </c>
      <c r="D584" s="26" t="s">
        <v>138</v>
      </c>
      <c r="E584" s="26" t="s">
        <v>124</v>
      </c>
      <c r="F584" s="27" t="s">
        <v>139</v>
      </c>
      <c r="G584" s="26" t="s">
        <v>33</v>
      </c>
      <c r="H584" s="26">
        <v>159.26</v>
      </c>
      <c r="I584" s="26">
        <v>0.43</v>
      </c>
      <c r="J584" s="26">
        <v>0.43</v>
      </c>
      <c r="K584" s="29">
        <v>1</v>
      </c>
      <c r="L584" s="26">
        <v>5.14</v>
      </c>
      <c r="M584" s="19">
        <f>H584*INDEX('Pliegos Tarifarios (Huechuraba)'!$B:$B,MATCH($B584,'Pliegos Tarifarios (Huechuraba)'!$A:$A,0))</f>
        <v>20984.575379999998</v>
      </c>
      <c r="N584" s="19">
        <f>I584*INDEX('Pliegos Tarifarios (Huechuraba)'!$C:$C,MATCH($B584,'Pliegos Tarifarios (Huechuraba)'!$A:$A,0))</f>
        <v>1494.42329</v>
      </c>
      <c r="O584" s="19">
        <f>J584*INDEX('Pliegos Tarifarios (Huechuraba)'!$D:$D,MATCH($B584,'Pliegos Tarifarios (Huechuraba)'!$A:$A,0))</f>
        <v>6256.3589600000005</v>
      </c>
      <c r="P584" s="19">
        <f>H584*INDEX('Pliegos Tarifarios (Huechuraba)'!$E:$E,MATCH($B584,'Pliegos Tarifarios (Huechuraba)'!$A:$A,0))</f>
        <v>2074.2022399999996</v>
      </c>
      <c r="Q584" s="19" cm="1">
        <f t="array" ref="Q584">H584*_xlfn.IFS(H584&lt;=350,INDEX('Pliegos Tarifarios (Huechuraba)'!$F:$F,MATCH($B584,'Pliegos Tarifarios (Huechuraba)'!$A:$A,0)),H584&lt;=500,INDEX('Pliegos Tarifarios (Huechuraba)'!$G:$G,MATCH($B584,'Pliegos Tarifarios (Huechuraba)'!$A:$A,0)),H584&lt;=1000,INDEX('Pliegos Tarifarios (Huechuraba)'!$H:$H,MATCH($B584,'Pliegos Tarifarios (Huechuraba)'!$A:$A,0)),H584&lt;=5000,INDEX('Pliegos Tarifarios (Huechuraba)'!$I:$I,MATCH($B584,'Pliegos Tarifarios (Huechuraba)'!$A:$A,0)),H584&gt;5000,INDEX('Pliegos Tarifarios (Huechuraba)'!$J:$J,MATCH($B584,'Pliegos Tarifarios (Huechuraba)'!$A:$A,0)))/1.19</f>
        <v>104.92423529411765</v>
      </c>
      <c r="R584" s="19">
        <f>INDEX('Pliegos Tarifarios (Huechuraba)'!$K:$K,MATCH($B584,'Pliegos Tarifarios (Huechuraba)'!$A:$A,0))</f>
        <v>732.99199999999996</v>
      </c>
      <c r="S584" s="36">
        <f t="shared" si="27"/>
        <v>31647.476105294114</v>
      </c>
      <c r="T584" s="36">
        <f t="shared" si="28"/>
        <v>6013.0204600058814</v>
      </c>
      <c r="U584" s="19">
        <v>0</v>
      </c>
      <c r="V584" s="36">
        <f t="shared" si="29"/>
        <v>37660.496565299996</v>
      </c>
    </row>
    <row r="585" spans="1:22" ht="23.4" thickBot="1" x14ac:dyDescent="0.35">
      <c r="A585" s="25" t="s">
        <v>153</v>
      </c>
      <c r="B585" s="26">
        <v>11</v>
      </c>
      <c r="C585" s="27" t="s">
        <v>15</v>
      </c>
      <c r="D585" s="26" t="s">
        <v>140</v>
      </c>
      <c r="E585" s="26" t="s">
        <v>124</v>
      </c>
      <c r="F585" s="27" t="s">
        <v>141</v>
      </c>
      <c r="G585" s="26" t="s">
        <v>33</v>
      </c>
      <c r="H585" s="26">
        <v>79.73</v>
      </c>
      <c r="I585" s="26">
        <v>0.22</v>
      </c>
      <c r="J585" s="26">
        <v>0.21</v>
      </c>
      <c r="K585" s="29">
        <v>0.96799999999999997</v>
      </c>
      <c r="L585" s="26">
        <v>2.57</v>
      </c>
      <c r="M585" s="19">
        <f>H585*INDEX('Pliegos Tarifarios (Huechuraba)'!$B:$B,MATCH($B585,'Pliegos Tarifarios (Huechuraba)'!$A:$A,0))</f>
        <v>10505.46399</v>
      </c>
      <c r="N585" s="19">
        <f>I585*INDEX('Pliegos Tarifarios (Huechuraba)'!$C:$C,MATCH($B585,'Pliegos Tarifarios (Huechuraba)'!$A:$A,0))</f>
        <v>764.58866</v>
      </c>
      <c r="O585" s="19">
        <f>J585*INDEX('Pliegos Tarifarios (Huechuraba)'!$D:$D,MATCH($B585,'Pliegos Tarifarios (Huechuraba)'!$A:$A,0))</f>
        <v>3055.4311200000002</v>
      </c>
      <c r="P585" s="19">
        <f>H585*INDEX('Pliegos Tarifarios (Huechuraba)'!$E:$E,MATCH($B585,'Pliegos Tarifarios (Huechuraba)'!$A:$A,0))</f>
        <v>1038.4035200000001</v>
      </c>
      <c r="Q585" s="19" cm="1">
        <f t="array" ref="Q585">H585*_xlfn.IFS(H585&lt;=350,INDEX('Pliegos Tarifarios (Huechuraba)'!$F:$F,MATCH($B585,'Pliegos Tarifarios (Huechuraba)'!$A:$A,0)),H585&lt;=500,INDEX('Pliegos Tarifarios (Huechuraba)'!$G:$G,MATCH($B585,'Pliegos Tarifarios (Huechuraba)'!$A:$A,0)),H585&lt;=1000,INDEX('Pliegos Tarifarios (Huechuraba)'!$H:$H,MATCH($B585,'Pliegos Tarifarios (Huechuraba)'!$A:$A,0)),H585&lt;=5000,INDEX('Pliegos Tarifarios (Huechuraba)'!$I:$I,MATCH($B585,'Pliegos Tarifarios (Huechuraba)'!$A:$A,0)),H585&gt;5000,INDEX('Pliegos Tarifarios (Huechuraba)'!$J:$J,MATCH($B585,'Pliegos Tarifarios (Huechuraba)'!$A:$A,0)))/1.19</f>
        <v>52.528000000000006</v>
      </c>
      <c r="R585" s="19">
        <f>INDEX('Pliegos Tarifarios (Huechuraba)'!$K:$K,MATCH($B585,'Pliegos Tarifarios (Huechuraba)'!$A:$A,0))</f>
        <v>732.99199999999996</v>
      </c>
      <c r="S585" s="36">
        <f t="shared" si="27"/>
        <v>16149.407289999999</v>
      </c>
      <c r="T585" s="36">
        <f t="shared" si="28"/>
        <v>3068.3873850999998</v>
      </c>
      <c r="U585" s="19">
        <v>0</v>
      </c>
      <c r="V585" s="36">
        <f t="shared" si="29"/>
        <v>19217.794675099998</v>
      </c>
    </row>
    <row r="586" spans="1:22" ht="23.4" thickBot="1" x14ac:dyDescent="0.35">
      <c r="A586" s="25" t="s">
        <v>153</v>
      </c>
      <c r="B586" s="26">
        <v>11</v>
      </c>
      <c r="C586" s="27" t="s">
        <v>15</v>
      </c>
      <c r="D586" s="26" t="s">
        <v>142</v>
      </c>
      <c r="E586" s="26" t="s">
        <v>124</v>
      </c>
      <c r="F586" s="27" t="s">
        <v>143</v>
      </c>
      <c r="G586" s="26" t="s">
        <v>33</v>
      </c>
      <c r="H586" s="26">
        <v>159.47999999999999</v>
      </c>
      <c r="I586" s="26">
        <v>0.45</v>
      </c>
      <c r="J586" s="26">
        <v>0.45</v>
      </c>
      <c r="K586" s="29">
        <v>1</v>
      </c>
      <c r="L586" s="26">
        <v>5.14</v>
      </c>
      <c r="M586" s="19">
        <f>H586*INDEX('Pliegos Tarifarios (Huechuraba)'!$B:$B,MATCH($B586,'Pliegos Tarifarios (Huechuraba)'!$A:$A,0))</f>
        <v>21013.563239999999</v>
      </c>
      <c r="N586" s="19">
        <f>I586*INDEX('Pliegos Tarifarios (Huechuraba)'!$C:$C,MATCH($B586,'Pliegos Tarifarios (Huechuraba)'!$A:$A,0))</f>
        <v>1563.9313499999998</v>
      </c>
      <c r="O586" s="19">
        <f>J586*INDEX('Pliegos Tarifarios (Huechuraba)'!$D:$D,MATCH($B586,'Pliegos Tarifarios (Huechuraba)'!$A:$A,0))</f>
        <v>6547.3524000000007</v>
      </c>
      <c r="P586" s="19">
        <f>H586*INDEX('Pliegos Tarifarios (Huechuraba)'!$E:$E,MATCH($B586,'Pliegos Tarifarios (Huechuraba)'!$A:$A,0))</f>
        <v>2077.0675199999996</v>
      </c>
      <c r="Q586" s="19" cm="1">
        <f t="array" ref="Q586">H586*_xlfn.IFS(H586&lt;=350,INDEX('Pliegos Tarifarios (Huechuraba)'!$F:$F,MATCH($B586,'Pliegos Tarifarios (Huechuraba)'!$A:$A,0)),H586&lt;=500,INDEX('Pliegos Tarifarios (Huechuraba)'!$G:$G,MATCH($B586,'Pliegos Tarifarios (Huechuraba)'!$A:$A,0)),H586&lt;=1000,INDEX('Pliegos Tarifarios (Huechuraba)'!$H:$H,MATCH($B586,'Pliegos Tarifarios (Huechuraba)'!$A:$A,0)),H586&lt;=5000,INDEX('Pliegos Tarifarios (Huechuraba)'!$I:$I,MATCH($B586,'Pliegos Tarifarios (Huechuraba)'!$A:$A,0)),H586&gt;5000,INDEX('Pliegos Tarifarios (Huechuraba)'!$J:$J,MATCH($B586,'Pliegos Tarifarios (Huechuraba)'!$A:$A,0)))/1.19</f>
        <v>105.06917647058823</v>
      </c>
      <c r="R586" s="19">
        <f>INDEX('Pliegos Tarifarios (Huechuraba)'!$K:$K,MATCH($B586,'Pliegos Tarifarios (Huechuraba)'!$A:$A,0))</f>
        <v>732.99199999999996</v>
      </c>
      <c r="S586" s="36">
        <f t="shared" si="27"/>
        <v>32039.975686470585</v>
      </c>
      <c r="T586" s="36">
        <f t="shared" si="28"/>
        <v>6087.5953804294113</v>
      </c>
      <c r="U586" s="19">
        <v>0</v>
      </c>
      <c r="V586" s="36">
        <f t="shared" si="29"/>
        <v>38127.571066899996</v>
      </c>
    </row>
    <row r="587" spans="1:22" ht="23.4" thickBot="1" x14ac:dyDescent="0.35">
      <c r="A587" s="30" t="s">
        <v>154</v>
      </c>
      <c r="B587" s="31">
        <v>12</v>
      </c>
      <c r="C587" s="32" t="s">
        <v>15</v>
      </c>
      <c r="D587" s="31" t="s">
        <v>16</v>
      </c>
      <c r="E587" s="31" t="s">
        <v>17</v>
      </c>
      <c r="F587" s="32" t="s">
        <v>18</v>
      </c>
      <c r="G587" s="31" t="s">
        <v>19</v>
      </c>
      <c r="H587" s="33">
        <v>9741.25</v>
      </c>
      <c r="I587" s="31">
        <v>25.67</v>
      </c>
      <c r="J587" s="31">
        <v>25.65</v>
      </c>
      <c r="K587" s="34">
        <v>0.999</v>
      </c>
      <c r="L587" s="31">
        <v>314.23</v>
      </c>
      <c r="M587" s="19">
        <f>H587*INDEX('Pliegos Tarifarios (Huechuraba)'!$B:$B,MATCH($B587,'Pliegos Tarifarios (Huechuraba)'!$A:$A,0))</f>
        <v>1283536.32375</v>
      </c>
      <c r="N587" s="19">
        <f>I587*INDEX('Pliegos Tarifarios (Huechuraba)'!$C:$C,MATCH($B587,'Pliegos Tarifarios (Huechuraba)'!$A:$A,0))</f>
        <v>88946.113610000015</v>
      </c>
      <c r="O587" s="19">
        <f>J587*INDEX('Pliegos Tarifarios (Huechuraba)'!$D:$D,MATCH($B587,'Pliegos Tarifarios (Huechuraba)'!$A:$A,0))</f>
        <v>372921.47684999998</v>
      </c>
      <c r="P587" s="19">
        <f>H587*INDEX('Pliegos Tarifarios (Huechuraba)'!$E:$E,MATCH($B587,'Pliegos Tarifarios (Huechuraba)'!$A:$A,0))</f>
        <v>126870.04</v>
      </c>
      <c r="Q587" s="19" cm="1">
        <f t="array" ref="Q587">H587*_xlfn.IFS(H587&lt;=350,INDEX('Pliegos Tarifarios (Huechuraba)'!$F:$F,MATCH($B587,'Pliegos Tarifarios (Huechuraba)'!$A:$A,0)),H587&lt;=500,INDEX('Pliegos Tarifarios (Huechuraba)'!$G:$G,MATCH($B587,'Pliegos Tarifarios (Huechuraba)'!$A:$A,0)),H587&lt;=1000,INDEX('Pliegos Tarifarios (Huechuraba)'!$H:$H,MATCH($B587,'Pliegos Tarifarios (Huechuraba)'!$A:$A,0)),H587&lt;=5000,INDEX('Pliegos Tarifarios (Huechuraba)'!$I:$I,MATCH($B587,'Pliegos Tarifarios (Huechuraba)'!$A:$A,0)),H587&gt;5000,INDEX('Pliegos Tarifarios (Huechuraba)'!$J:$J,MATCH($B587,'Pliegos Tarifarios (Huechuraba)'!$A:$A,0)))/1.19</f>
        <v>32547.235294117647</v>
      </c>
      <c r="R587" s="19">
        <f>INDEX('Pliegos Tarifarios (Huechuraba)'!$K:$K,MATCH($B587,'Pliegos Tarifarios (Huechuraba)'!$A:$A,0))</f>
        <v>733.35299999999995</v>
      </c>
      <c r="S587" s="36">
        <f t="shared" si="27"/>
        <v>1905554.5425041176</v>
      </c>
      <c r="T587" s="36">
        <f t="shared" si="28"/>
        <v>362055.36307578237</v>
      </c>
      <c r="U587" s="19">
        <v>0</v>
      </c>
      <c r="V587" s="36">
        <f t="shared" si="29"/>
        <v>2267609.9055798999</v>
      </c>
    </row>
    <row r="588" spans="1:22" ht="23.4" thickBot="1" x14ac:dyDescent="0.35">
      <c r="A588" s="30" t="s">
        <v>154</v>
      </c>
      <c r="B588" s="31">
        <v>12</v>
      </c>
      <c r="C588" s="32" t="s">
        <v>15</v>
      </c>
      <c r="D588" s="31" t="s">
        <v>20</v>
      </c>
      <c r="E588" s="31" t="s">
        <v>21</v>
      </c>
      <c r="F588" s="32" t="s">
        <v>22</v>
      </c>
      <c r="G588" s="31" t="s">
        <v>19</v>
      </c>
      <c r="H588" s="33">
        <v>4861.72</v>
      </c>
      <c r="I588" s="31">
        <v>12.69</v>
      </c>
      <c r="J588" s="31">
        <v>12.54</v>
      </c>
      <c r="K588" s="34">
        <v>0.98899999999999999</v>
      </c>
      <c r="L588" s="31">
        <v>156.83000000000001</v>
      </c>
      <c r="M588" s="19">
        <f>H588*INDEX('Pliegos Tarifarios (Huechuraba)'!$B:$B,MATCH($B588,'Pliegos Tarifarios (Huechuraba)'!$A:$A,0))</f>
        <v>640594.8123600001</v>
      </c>
      <c r="N588" s="19">
        <f>I588*INDEX('Pliegos Tarifarios (Huechuraba)'!$C:$C,MATCH($B588,'Pliegos Tarifarios (Huechuraba)'!$A:$A,0))</f>
        <v>43970.634270000002</v>
      </c>
      <c r="O588" s="19">
        <f>J588*INDEX('Pliegos Tarifarios (Huechuraba)'!$D:$D,MATCH($B588,'Pliegos Tarifarios (Huechuraba)'!$A:$A,0))</f>
        <v>182317.16645999998</v>
      </c>
      <c r="P588" s="19">
        <f>H588*INDEX('Pliegos Tarifarios (Huechuraba)'!$E:$E,MATCH($B588,'Pliegos Tarifarios (Huechuraba)'!$A:$A,0))</f>
        <v>63319.041279999998</v>
      </c>
      <c r="Q588" s="19" cm="1">
        <f t="array" ref="Q588">H588*_xlfn.IFS(H588&lt;=350,INDEX('Pliegos Tarifarios (Huechuraba)'!$F:$F,MATCH($B588,'Pliegos Tarifarios (Huechuraba)'!$A:$A,0)),H588&lt;=500,INDEX('Pliegos Tarifarios (Huechuraba)'!$G:$G,MATCH($B588,'Pliegos Tarifarios (Huechuraba)'!$A:$A,0)),H588&lt;=1000,INDEX('Pliegos Tarifarios (Huechuraba)'!$H:$H,MATCH($B588,'Pliegos Tarifarios (Huechuraba)'!$A:$A,0)),H588&lt;=5000,INDEX('Pliegos Tarifarios (Huechuraba)'!$I:$I,MATCH($B588,'Pliegos Tarifarios (Huechuraba)'!$A:$A,0)),H588&gt;5000,INDEX('Pliegos Tarifarios (Huechuraba)'!$J:$J,MATCH($B588,'Pliegos Tarifarios (Huechuraba)'!$A:$A,0)))/1.19</f>
        <v>14879.314487394959</v>
      </c>
      <c r="R588" s="19">
        <f>INDEX('Pliegos Tarifarios (Huechuraba)'!$K:$K,MATCH($B588,'Pliegos Tarifarios (Huechuraba)'!$A:$A,0))</f>
        <v>733.35299999999995</v>
      </c>
      <c r="S588" s="36">
        <f t="shared" si="27"/>
        <v>945814.32185739512</v>
      </c>
      <c r="T588" s="36">
        <f t="shared" si="28"/>
        <v>179704.72115290508</v>
      </c>
      <c r="U588" s="19">
        <v>0</v>
      </c>
      <c r="V588" s="36">
        <f t="shared" si="29"/>
        <v>1125519.0430103003</v>
      </c>
    </row>
    <row r="589" spans="1:22" ht="23.4" thickBot="1" x14ac:dyDescent="0.35">
      <c r="A589" s="30" t="s">
        <v>154</v>
      </c>
      <c r="B589" s="31">
        <v>12</v>
      </c>
      <c r="C589" s="32" t="s">
        <v>15</v>
      </c>
      <c r="D589" s="31" t="s">
        <v>23</v>
      </c>
      <c r="E589" s="31" t="s">
        <v>21</v>
      </c>
      <c r="F589" s="32" t="s">
        <v>24</v>
      </c>
      <c r="G589" s="31" t="s">
        <v>19</v>
      </c>
      <c r="H589" s="33">
        <v>3894.9</v>
      </c>
      <c r="I589" s="31">
        <v>10.11</v>
      </c>
      <c r="J589" s="31">
        <v>10.11</v>
      </c>
      <c r="K589" s="34">
        <v>1</v>
      </c>
      <c r="L589" s="31">
        <v>125.64</v>
      </c>
      <c r="M589" s="19">
        <f>H589*INDEX('Pliegos Tarifarios (Huechuraba)'!$B:$B,MATCH($B589,'Pliegos Tarifarios (Huechuraba)'!$A:$A,0))</f>
        <v>513203.70870000002</v>
      </c>
      <c r="N589" s="19">
        <f>I589*INDEX('Pliegos Tarifarios (Huechuraba)'!$C:$C,MATCH($B589,'Pliegos Tarifarios (Huechuraba)'!$A:$A,0))</f>
        <v>35030.978130000003</v>
      </c>
      <c r="O589" s="19">
        <f>J589*INDEX('Pliegos Tarifarios (Huechuraba)'!$D:$D,MATCH($B589,'Pliegos Tarifarios (Huechuraba)'!$A:$A,0))</f>
        <v>146987.76339000001</v>
      </c>
      <c r="P589" s="19">
        <f>H589*INDEX('Pliegos Tarifarios (Huechuraba)'!$E:$E,MATCH($B589,'Pliegos Tarifarios (Huechuraba)'!$A:$A,0))</f>
        <v>50727.177599999995</v>
      </c>
      <c r="Q589" s="19" cm="1">
        <f t="array" ref="Q589">H589*_xlfn.IFS(H589&lt;=350,INDEX('Pliegos Tarifarios (Huechuraba)'!$F:$F,MATCH($B589,'Pliegos Tarifarios (Huechuraba)'!$A:$A,0)),H589&lt;=500,INDEX('Pliegos Tarifarios (Huechuraba)'!$G:$G,MATCH($B589,'Pliegos Tarifarios (Huechuraba)'!$A:$A,0)),H589&lt;=1000,INDEX('Pliegos Tarifarios (Huechuraba)'!$H:$H,MATCH($B589,'Pliegos Tarifarios (Huechuraba)'!$A:$A,0)),H589&lt;=5000,INDEX('Pliegos Tarifarios (Huechuraba)'!$I:$I,MATCH($B589,'Pliegos Tarifarios (Huechuraba)'!$A:$A,0)),H589&gt;5000,INDEX('Pliegos Tarifarios (Huechuraba)'!$J:$J,MATCH($B589,'Pliegos Tarifarios (Huechuraba)'!$A:$A,0)))/1.19</f>
        <v>11920.357815126052</v>
      </c>
      <c r="R589" s="19">
        <f>INDEX('Pliegos Tarifarios (Huechuraba)'!$K:$K,MATCH($B589,'Pliegos Tarifarios (Huechuraba)'!$A:$A,0))</f>
        <v>733.35299999999995</v>
      </c>
      <c r="S589" s="36">
        <f t="shared" si="27"/>
        <v>758603.33863512613</v>
      </c>
      <c r="T589" s="36">
        <f t="shared" si="28"/>
        <v>144134.63434067398</v>
      </c>
      <c r="U589" s="19">
        <v>0</v>
      </c>
      <c r="V589" s="36">
        <f t="shared" si="29"/>
        <v>902737.97297580005</v>
      </c>
    </row>
    <row r="590" spans="1:22" ht="23.4" thickBot="1" x14ac:dyDescent="0.35">
      <c r="A590" s="30" t="s">
        <v>154</v>
      </c>
      <c r="B590" s="31">
        <v>12</v>
      </c>
      <c r="C590" s="32" t="s">
        <v>15</v>
      </c>
      <c r="D590" s="31" t="s">
        <v>25</v>
      </c>
      <c r="E590" s="31" t="s">
        <v>21</v>
      </c>
      <c r="F590" s="32" t="s">
        <v>26</v>
      </c>
      <c r="G590" s="31" t="s">
        <v>19</v>
      </c>
      <c r="H590" s="33">
        <v>3242.32</v>
      </c>
      <c r="I590" s="31">
        <v>8.52</v>
      </c>
      <c r="J590" s="31">
        <v>8.49</v>
      </c>
      <c r="K590" s="34">
        <v>0.997</v>
      </c>
      <c r="L590" s="31">
        <v>104.59</v>
      </c>
      <c r="M590" s="19">
        <f>H590*INDEX('Pliegos Tarifarios (Huechuraba)'!$B:$B,MATCH($B590,'Pliegos Tarifarios (Huechuraba)'!$A:$A,0))</f>
        <v>427217.81016000005</v>
      </c>
      <c r="N590" s="19">
        <f>I590*INDEX('Pliegos Tarifarios (Huechuraba)'!$C:$C,MATCH($B590,'Pliegos Tarifarios (Huechuraba)'!$A:$A,0))</f>
        <v>29521.655159999998</v>
      </c>
      <c r="O590" s="19">
        <f>J590*INDEX('Pliegos Tarifarios (Huechuraba)'!$D:$D,MATCH($B590,'Pliegos Tarifarios (Huechuraba)'!$A:$A,0))</f>
        <v>123434.82801</v>
      </c>
      <c r="P590" s="19">
        <f>H590*INDEX('Pliegos Tarifarios (Huechuraba)'!$E:$E,MATCH($B590,'Pliegos Tarifarios (Huechuraba)'!$A:$A,0))</f>
        <v>42227.975679999996</v>
      </c>
      <c r="Q590" s="19" cm="1">
        <f t="array" ref="Q590">H590*_xlfn.IFS(H590&lt;=350,INDEX('Pliegos Tarifarios (Huechuraba)'!$F:$F,MATCH($B590,'Pliegos Tarifarios (Huechuraba)'!$A:$A,0)),H590&lt;=500,INDEX('Pliegos Tarifarios (Huechuraba)'!$G:$G,MATCH($B590,'Pliegos Tarifarios (Huechuraba)'!$A:$A,0)),H590&lt;=1000,INDEX('Pliegos Tarifarios (Huechuraba)'!$H:$H,MATCH($B590,'Pliegos Tarifarios (Huechuraba)'!$A:$A,0)),H590&lt;=5000,INDEX('Pliegos Tarifarios (Huechuraba)'!$I:$I,MATCH($B590,'Pliegos Tarifarios (Huechuraba)'!$A:$A,0)),H590&gt;5000,INDEX('Pliegos Tarifarios (Huechuraba)'!$J:$J,MATCH($B590,'Pliegos Tarifarios (Huechuraba)'!$A:$A,0)))/1.19</f>
        <v>9923.1339831932783</v>
      </c>
      <c r="R590" s="19">
        <f>INDEX('Pliegos Tarifarios (Huechuraba)'!$K:$K,MATCH($B590,'Pliegos Tarifarios (Huechuraba)'!$A:$A,0))</f>
        <v>733.35299999999995</v>
      </c>
      <c r="S590" s="36">
        <f t="shared" si="27"/>
        <v>633058.75599319336</v>
      </c>
      <c r="T590" s="36">
        <f t="shared" si="28"/>
        <v>120281.16363870674</v>
      </c>
      <c r="U590" s="19">
        <v>0</v>
      </c>
      <c r="V590" s="36">
        <f t="shared" si="29"/>
        <v>753339.91963190015</v>
      </c>
    </row>
    <row r="591" spans="1:22" ht="23.4" thickBot="1" x14ac:dyDescent="0.35">
      <c r="A591" s="30" t="s">
        <v>154</v>
      </c>
      <c r="B591" s="31">
        <v>12</v>
      </c>
      <c r="C591" s="32" t="s">
        <v>15</v>
      </c>
      <c r="D591" s="31" t="s">
        <v>27</v>
      </c>
      <c r="E591" s="31" t="s">
        <v>21</v>
      </c>
      <c r="F591" s="32" t="s">
        <v>28</v>
      </c>
      <c r="G591" s="31" t="s">
        <v>19</v>
      </c>
      <c r="H591" s="33">
        <v>3504.77</v>
      </c>
      <c r="I591" s="31">
        <v>9.27</v>
      </c>
      <c r="J591" s="31">
        <v>9.23</v>
      </c>
      <c r="K591" s="34">
        <v>0.996</v>
      </c>
      <c r="L591" s="31">
        <v>113.06</v>
      </c>
      <c r="M591" s="19">
        <f>H591*INDEX('Pliegos Tarifarios (Huechuraba)'!$B:$B,MATCH($B591,'Pliegos Tarifarios (Huechuraba)'!$A:$A,0))</f>
        <v>461799.00951</v>
      </c>
      <c r="N591" s="19">
        <f>I591*INDEX('Pliegos Tarifarios (Huechuraba)'!$C:$C,MATCH($B591,'Pliegos Tarifarios (Huechuraba)'!$A:$A,0))</f>
        <v>32120.39241</v>
      </c>
      <c r="O591" s="19">
        <f>J591*INDEX('Pliegos Tarifarios (Huechuraba)'!$D:$D,MATCH($B591,'Pliegos Tarifarios (Huechuraba)'!$A:$A,0))</f>
        <v>134193.57627000002</v>
      </c>
      <c r="P591" s="19">
        <f>H591*INDEX('Pliegos Tarifarios (Huechuraba)'!$E:$E,MATCH($B591,'Pliegos Tarifarios (Huechuraba)'!$A:$A,0))</f>
        <v>45646.124479999999</v>
      </c>
      <c r="Q591" s="19" cm="1">
        <f t="array" ref="Q591">H591*_xlfn.IFS(H591&lt;=350,INDEX('Pliegos Tarifarios (Huechuraba)'!$F:$F,MATCH($B591,'Pliegos Tarifarios (Huechuraba)'!$A:$A,0)),H591&lt;=500,INDEX('Pliegos Tarifarios (Huechuraba)'!$G:$G,MATCH($B591,'Pliegos Tarifarios (Huechuraba)'!$A:$A,0)),H591&lt;=1000,INDEX('Pliegos Tarifarios (Huechuraba)'!$H:$H,MATCH($B591,'Pliegos Tarifarios (Huechuraba)'!$A:$A,0)),H591&lt;=5000,INDEX('Pliegos Tarifarios (Huechuraba)'!$I:$I,MATCH($B591,'Pliegos Tarifarios (Huechuraba)'!$A:$A,0)),H591&gt;5000,INDEX('Pliegos Tarifarios (Huechuraba)'!$J:$J,MATCH($B591,'Pliegos Tarifarios (Huechuraba)'!$A:$A,0)))/1.19</f>
        <v>10726.363310924371</v>
      </c>
      <c r="R591" s="19">
        <f>INDEX('Pliegos Tarifarios (Huechuraba)'!$K:$K,MATCH($B591,'Pliegos Tarifarios (Huechuraba)'!$A:$A,0))</f>
        <v>733.35299999999995</v>
      </c>
      <c r="S591" s="36">
        <f t="shared" si="27"/>
        <v>685218.81898092432</v>
      </c>
      <c r="T591" s="36">
        <f t="shared" si="28"/>
        <v>130191.57560637563</v>
      </c>
      <c r="U591" s="19">
        <v>0</v>
      </c>
      <c r="V591" s="36">
        <f t="shared" si="29"/>
        <v>815410.3945872999</v>
      </c>
    </row>
    <row r="592" spans="1:22" ht="23.4" thickBot="1" x14ac:dyDescent="0.35">
      <c r="A592" s="30" t="s">
        <v>154</v>
      </c>
      <c r="B592" s="31">
        <v>12</v>
      </c>
      <c r="C592" s="32" t="s">
        <v>15</v>
      </c>
      <c r="D592" s="31" t="s">
        <v>29</v>
      </c>
      <c r="E592" s="31" t="s">
        <v>21</v>
      </c>
      <c r="F592" s="32" t="s">
        <v>30</v>
      </c>
      <c r="G592" s="31" t="s">
        <v>19</v>
      </c>
      <c r="H592" s="33">
        <v>2338.31</v>
      </c>
      <c r="I592" s="31">
        <v>6.14</v>
      </c>
      <c r="J592" s="31">
        <v>6.06</v>
      </c>
      <c r="K592" s="34">
        <v>0.98699999999999999</v>
      </c>
      <c r="L592" s="31">
        <v>75.430000000000007</v>
      </c>
      <c r="M592" s="19">
        <f>H592*INDEX('Pliegos Tarifarios (Huechuraba)'!$B:$B,MATCH($B592,'Pliegos Tarifarios (Huechuraba)'!$A:$A,0))</f>
        <v>308102.74053000001</v>
      </c>
      <c r="N592" s="19">
        <f>I592*INDEX('Pliegos Tarifarios (Huechuraba)'!$C:$C,MATCH($B592,'Pliegos Tarifarios (Huechuraba)'!$A:$A,0))</f>
        <v>21274.995620000002</v>
      </c>
      <c r="O592" s="19">
        <f>J592*INDEX('Pliegos Tarifarios (Huechuraba)'!$D:$D,MATCH($B592,'Pliegos Tarifarios (Huechuraba)'!$A:$A,0))</f>
        <v>88105.424939999997</v>
      </c>
      <c r="P592" s="19">
        <f>H592*INDEX('Pliegos Tarifarios (Huechuraba)'!$E:$E,MATCH($B592,'Pliegos Tarifarios (Huechuraba)'!$A:$A,0))</f>
        <v>30454.149439999997</v>
      </c>
      <c r="Q592" s="19" cm="1">
        <f t="array" ref="Q592">H592*_xlfn.IFS(H592&lt;=350,INDEX('Pliegos Tarifarios (Huechuraba)'!$F:$F,MATCH($B592,'Pliegos Tarifarios (Huechuraba)'!$A:$A,0)),H592&lt;=500,INDEX('Pliegos Tarifarios (Huechuraba)'!$G:$G,MATCH($B592,'Pliegos Tarifarios (Huechuraba)'!$A:$A,0)),H592&lt;=1000,INDEX('Pliegos Tarifarios (Huechuraba)'!$H:$H,MATCH($B592,'Pliegos Tarifarios (Huechuraba)'!$A:$A,0)),H592&lt;=5000,INDEX('Pliegos Tarifarios (Huechuraba)'!$I:$I,MATCH($B592,'Pliegos Tarifarios (Huechuraba)'!$A:$A,0)),H592&gt;5000,INDEX('Pliegos Tarifarios (Huechuraba)'!$J:$J,MATCH($B592,'Pliegos Tarifarios (Huechuraba)'!$A:$A,0)))/1.19</f>
        <v>7156.4075798319327</v>
      </c>
      <c r="R592" s="19">
        <f>INDEX('Pliegos Tarifarios (Huechuraba)'!$K:$K,MATCH($B592,'Pliegos Tarifarios (Huechuraba)'!$A:$A,0))</f>
        <v>733.35299999999995</v>
      </c>
      <c r="S592" s="36">
        <f t="shared" si="27"/>
        <v>455827.07110983197</v>
      </c>
      <c r="T592" s="36">
        <f t="shared" si="28"/>
        <v>86607.143510868074</v>
      </c>
      <c r="U592" s="19">
        <v>0</v>
      </c>
      <c r="V592" s="36">
        <f t="shared" si="29"/>
        <v>542434.21462070011</v>
      </c>
    </row>
    <row r="593" spans="1:22" ht="23.4" thickBot="1" x14ac:dyDescent="0.35">
      <c r="A593" s="30" t="s">
        <v>154</v>
      </c>
      <c r="B593" s="31">
        <v>12</v>
      </c>
      <c r="C593" s="32" t="s">
        <v>15</v>
      </c>
      <c r="D593" s="31" t="s">
        <v>31</v>
      </c>
      <c r="E593" s="31" t="s">
        <v>21</v>
      </c>
      <c r="F593" s="32" t="s">
        <v>32</v>
      </c>
      <c r="G593" s="31" t="s">
        <v>33</v>
      </c>
      <c r="H593" s="31">
        <v>779.91</v>
      </c>
      <c r="I593" s="31">
        <v>2.08</v>
      </c>
      <c r="J593" s="31">
        <v>2.02</v>
      </c>
      <c r="K593" s="34">
        <v>0.97099999999999997</v>
      </c>
      <c r="L593" s="31">
        <v>25.16</v>
      </c>
      <c r="M593" s="19">
        <f>H593*INDEX('Pliegos Tarifarios (Huechuraba)'!$B:$B,MATCH($B593,'Pliegos Tarifarios (Huechuraba)'!$A:$A,0))</f>
        <v>102763.28133</v>
      </c>
      <c r="N593" s="19">
        <f>I593*INDEX('Pliegos Tarifarios (Huechuraba)'!$C:$C,MATCH($B593,'Pliegos Tarifarios (Huechuraba)'!$A:$A,0))</f>
        <v>7207.1646400000009</v>
      </c>
      <c r="O593" s="19">
        <f>J593*INDEX('Pliegos Tarifarios (Huechuraba)'!$D:$D,MATCH($B593,'Pliegos Tarifarios (Huechuraba)'!$A:$A,0))</f>
        <v>29368.474979999999</v>
      </c>
      <c r="P593" s="19">
        <f>H593*INDEX('Pliegos Tarifarios (Huechuraba)'!$E:$E,MATCH($B593,'Pliegos Tarifarios (Huechuraba)'!$A:$A,0))</f>
        <v>10157.547839999999</v>
      </c>
      <c r="Q593" s="19" cm="1">
        <f t="array" ref="Q593">H593*_xlfn.IFS(H593&lt;=350,INDEX('Pliegos Tarifarios (Huechuraba)'!$F:$F,MATCH($B593,'Pliegos Tarifarios (Huechuraba)'!$A:$A,0)),H593&lt;=500,INDEX('Pliegos Tarifarios (Huechuraba)'!$G:$G,MATCH($B593,'Pliegos Tarifarios (Huechuraba)'!$A:$A,0)),H593&lt;=1000,INDEX('Pliegos Tarifarios (Huechuraba)'!$H:$H,MATCH($B593,'Pliegos Tarifarios (Huechuraba)'!$A:$A,0)),H593&lt;=5000,INDEX('Pliegos Tarifarios (Huechuraba)'!$I:$I,MATCH($B593,'Pliegos Tarifarios (Huechuraba)'!$A:$A,0)),H593&gt;5000,INDEX('Pliegos Tarifarios (Huechuraba)'!$J:$J,MATCH($B593,'Pliegos Tarifarios (Huechuraba)'!$A:$A,0)))/1.19</f>
        <v>1875.7163193277313</v>
      </c>
      <c r="R593" s="19">
        <f>INDEX('Pliegos Tarifarios (Huechuraba)'!$K:$K,MATCH($B593,'Pliegos Tarifarios (Huechuraba)'!$A:$A,0))</f>
        <v>733.35299999999995</v>
      </c>
      <c r="S593" s="36">
        <f t="shared" si="27"/>
        <v>152105.53810932775</v>
      </c>
      <c r="T593" s="36">
        <f t="shared" si="28"/>
        <v>28900.052240772275</v>
      </c>
      <c r="U593" s="19">
        <v>0</v>
      </c>
      <c r="V593" s="36">
        <f t="shared" si="29"/>
        <v>181005.59035010001</v>
      </c>
    </row>
    <row r="594" spans="1:22" ht="23.4" thickBot="1" x14ac:dyDescent="0.35">
      <c r="A594" s="30" t="s">
        <v>154</v>
      </c>
      <c r="B594" s="31">
        <v>12</v>
      </c>
      <c r="C594" s="32" t="s">
        <v>15</v>
      </c>
      <c r="D594" s="31" t="s">
        <v>34</v>
      </c>
      <c r="E594" s="31" t="s">
        <v>21</v>
      </c>
      <c r="F594" s="32" t="s">
        <v>35</v>
      </c>
      <c r="G594" s="31" t="s">
        <v>19</v>
      </c>
      <c r="H594" s="33">
        <v>2341.0100000000002</v>
      </c>
      <c r="I594" s="31">
        <v>6.15</v>
      </c>
      <c r="J594" s="31">
        <v>6.15</v>
      </c>
      <c r="K594" s="34">
        <v>1</v>
      </c>
      <c r="L594" s="31">
        <v>75.52</v>
      </c>
      <c r="M594" s="19">
        <f>H594*INDEX('Pliegos Tarifarios (Huechuraba)'!$B:$B,MATCH($B594,'Pliegos Tarifarios (Huechuraba)'!$A:$A,0))</f>
        <v>308458.50063000002</v>
      </c>
      <c r="N594" s="19">
        <f>I594*INDEX('Pliegos Tarifarios (Huechuraba)'!$C:$C,MATCH($B594,'Pliegos Tarifarios (Huechuraba)'!$A:$A,0))</f>
        <v>21309.645450000004</v>
      </c>
      <c r="O594" s="19">
        <f>J594*INDEX('Pliegos Tarifarios (Huechuraba)'!$D:$D,MATCH($B594,'Pliegos Tarifarios (Huechuraba)'!$A:$A,0))</f>
        <v>89413.921350000004</v>
      </c>
      <c r="P594" s="19">
        <f>H594*INDEX('Pliegos Tarifarios (Huechuraba)'!$E:$E,MATCH($B594,'Pliegos Tarifarios (Huechuraba)'!$A:$A,0))</f>
        <v>30489.31424</v>
      </c>
      <c r="Q594" s="19" cm="1">
        <f t="array" ref="Q594">H594*_xlfn.IFS(H594&lt;=350,INDEX('Pliegos Tarifarios (Huechuraba)'!$F:$F,MATCH($B594,'Pliegos Tarifarios (Huechuraba)'!$A:$A,0)),H594&lt;=500,INDEX('Pliegos Tarifarios (Huechuraba)'!$G:$G,MATCH($B594,'Pliegos Tarifarios (Huechuraba)'!$A:$A,0)),H594&lt;=1000,INDEX('Pliegos Tarifarios (Huechuraba)'!$H:$H,MATCH($B594,'Pliegos Tarifarios (Huechuraba)'!$A:$A,0)),H594&lt;=5000,INDEX('Pliegos Tarifarios (Huechuraba)'!$I:$I,MATCH($B594,'Pliegos Tarifarios (Huechuraba)'!$A:$A,0)),H594&gt;5000,INDEX('Pliegos Tarifarios (Huechuraba)'!$J:$J,MATCH($B594,'Pliegos Tarifarios (Huechuraba)'!$A:$A,0)))/1.19</f>
        <v>7164.6709411764714</v>
      </c>
      <c r="R594" s="19">
        <f>INDEX('Pliegos Tarifarios (Huechuraba)'!$K:$K,MATCH($B594,'Pliegos Tarifarios (Huechuraba)'!$A:$A,0))</f>
        <v>733.35299999999995</v>
      </c>
      <c r="S594" s="36">
        <f t="shared" si="27"/>
        <v>457569.40561117651</v>
      </c>
      <c r="T594" s="36">
        <f t="shared" si="28"/>
        <v>86938.187066123544</v>
      </c>
      <c r="U594" s="19">
        <v>0</v>
      </c>
      <c r="V594" s="36">
        <f t="shared" si="29"/>
        <v>544507.5926773001</v>
      </c>
    </row>
    <row r="595" spans="1:22" ht="23.4" thickBot="1" x14ac:dyDescent="0.35">
      <c r="A595" s="30" t="s">
        <v>154</v>
      </c>
      <c r="B595" s="31">
        <v>12</v>
      </c>
      <c r="C595" s="32" t="s">
        <v>15</v>
      </c>
      <c r="D595" s="31" t="s">
        <v>36</v>
      </c>
      <c r="E595" s="31" t="s">
        <v>37</v>
      </c>
      <c r="F595" s="32" t="s">
        <v>38</v>
      </c>
      <c r="G595" s="31" t="s">
        <v>33</v>
      </c>
      <c r="H595" s="31">
        <v>975.15</v>
      </c>
      <c r="I595" s="31">
        <v>2.5499999999999998</v>
      </c>
      <c r="J595" s="31">
        <v>2.5299999999999998</v>
      </c>
      <c r="K595" s="34">
        <v>0.99099999999999999</v>
      </c>
      <c r="L595" s="31">
        <v>31.46</v>
      </c>
      <c r="M595" s="19">
        <f>H595*INDEX('Pliegos Tarifarios (Huechuraba)'!$B:$B,MATCH($B595,'Pliegos Tarifarios (Huechuraba)'!$A:$A,0))</f>
        <v>128488.68945000001</v>
      </c>
      <c r="N595" s="19">
        <f>I595*INDEX('Pliegos Tarifarios (Huechuraba)'!$C:$C,MATCH($B595,'Pliegos Tarifarios (Huechuraba)'!$A:$A,0))</f>
        <v>8835.7066500000001</v>
      </c>
      <c r="O595" s="19">
        <f>J595*INDEX('Pliegos Tarifarios (Huechuraba)'!$D:$D,MATCH($B595,'Pliegos Tarifarios (Huechuraba)'!$A:$A,0))</f>
        <v>36783.287969999998</v>
      </c>
      <c r="P595" s="19">
        <f>H595*INDEX('Pliegos Tarifarios (Huechuraba)'!$E:$E,MATCH($B595,'Pliegos Tarifarios (Huechuraba)'!$A:$A,0))</f>
        <v>12700.353599999999</v>
      </c>
      <c r="Q595" s="19" cm="1">
        <f t="array" ref="Q595">H595*_xlfn.IFS(H595&lt;=350,INDEX('Pliegos Tarifarios (Huechuraba)'!$F:$F,MATCH($B595,'Pliegos Tarifarios (Huechuraba)'!$A:$A,0)),H595&lt;=500,INDEX('Pliegos Tarifarios (Huechuraba)'!$G:$G,MATCH($B595,'Pliegos Tarifarios (Huechuraba)'!$A:$A,0)),H595&lt;=1000,INDEX('Pliegos Tarifarios (Huechuraba)'!$H:$H,MATCH($B595,'Pliegos Tarifarios (Huechuraba)'!$A:$A,0)),H595&lt;=5000,INDEX('Pliegos Tarifarios (Huechuraba)'!$I:$I,MATCH($B595,'Pliegos Tarifarios (Huechuraba)'!$A:$A,0)),H595&gt;5000,INDEX('Pliegos Tarifarios (Huechuraba)'!$J:$J,MATCH($B595,'Pliegos Tarifarios (Huechuraba)'!$A:$A,0)))/1.19</f>
        <v>2345.276722689076</v>
      </c>
      <c r="R595" s="19">
        <f>INDEX('Pliegos Tarifarios (Huechuraba)'!$K:$K,MATCH($B595,'Pliegos Tarifarios (Huechuraba)'!$A:$A,0))</f>
        <v>733.35299999999995</v>
      </c>
      <c r="S595" s="36">
        <f t="shared" si="27"/>
        <v>189886.66739268909</v>
      </c>
      <c r="T595" s="36">
        <f t="shared" si="28"/>
        <v>36078.466804610929</v>
      </c>
      <c r="U595" s="19">
        <v>0</v>
      </c>
      <c r="V595" s="36">
        <f t="shared" si="29"/>
        <v>225965.13419730001</v>
      </c>
    </row>
    <row r="596" spans="1:22" ht="23.4" thickBot="1" x14ac:dyDescent="0.35">
      <c r="A596" s="30" t="s">
        <v>154</v>
      </c>
      <c r="B596" s="31">
        <v>12</v>
      </c>
      <c r="C596" s="32" t="s">
        <v>15</v>
      </c>
      <c r="D596" s="31" t="s">
        <v>39</v>
      </c>
      <c r="E596" s="31" t="s">
        <v>37</v>
      </c>
      <c r="F596" s="32" t="s">
        <v>40</v>
      </c>
      <c r="G596" s="31" t="s">
        <v>33</v>
      </c>
      <c r="H596" s="31">
        <v>780.22</v>
      </c>
      <c r="I596" s="31">
        <v>2.13</v>
      </c>
      <c r="J596" s="31">
        <v>2.13</v>
      </c>
      <c r="K596" s="34">
        <v>1</v>
      </c>
      <c r="L596" s="31">
        <v>25.17</v>
      </c>
      <c r="M596" s="19">
        <f>H596*INDEX('Pliegos Tarifarios (Huechuraba)'!$B:$B,MATCH($B596,'Pliegos Tarifarios (Huechuraba)'!$A:$A,0))</f>
        <v>102804.12786000001</v>
      </c>
      <c r="N596" s="19">
        <f>I596*INDEX('Pliegos Tarifarios (Huechuraba)'!$C:$C,MATCH($B596,'Pliegos Tarifarios (Huechuraba)'!$A:$A,0))</f>
        <v>7380.4137899999996</v>
      </c>
      <c r="O596" s="19">
        <f>J596*INDEX('Pliegos Tarifarios (Huechuraba)'!$D:$D,MATCH($B596,'Pliegos Tarifarios (Huechuraba)'!$A:$A,0))</f>
        <v>30967.748369999998</v>
      </c>
      <c r="P596" s="19">
        <f>H596*INDEX('Pliegos Tarifarios (Huechuraba)'!$E:$E,MATCH($B596,'Pliegos Tarifarios (Huechuraba)'!$A:$A,0))</f>
        <v>10161.585279999999</v>
      </c>
      <c r="Q596" s="19" cm="1">
        <f t="array" ref="Q596">H596*_xlfn.IFS(H596&lt;=350,INDEX('Pliegos Tarifarios (Huechuraba)'!$F:$F,MATCH($B596,'Pliegos Tarifarios (Huechuraba)'!$A:$A,0)),H596&lt;=500,INDEX('Pliegos Tarifarios (Huechuraba)'!$G:$G,MATCH($B596,'Pliegos Tarifarios (Huechuraba)'!$A:$A,0)),H596&lt;=1000,INDEX('Pliegos Tarifarios (Huechuraba)'!$H:$H,MATCH($B596,'Pliegos Tarifarios (Huechuraba)'!$A:$A,0)),H596&lt;=5000,INDEX('Pliegos Tarifarios (Huechuraba)'!$I:$I,MATCH($B596,'Pliegos Tarifarios (Huechuraba)'!$A:$A,0)),H596&gt;5000,INDEX('Pliegos Tarifarios (Huechuraba)'!$J:$J,MATCH($B596,'Pliegos Tarifarios (Huechuraba)'!$A:$A,0)))/1.19</f>
        <v>1876.4618823529415</v>
      </c>
      <c r="R596" s="19">
        <f>INDEX('Pliegos Tarifarios (Huechuraba)'!$K:$K,MATCH($B596,'Pliegos Tarifarios (Huechuraba)'!$A:$A,0))</f>
        <v>733.35299999999995</v>
      </c>
      <c r="S596" s="36">
        <f t="shared" si="27"/>
        <v>153923.69018235296</v>
      </c>
      <c r="T596" s="36">
        <f t="shared" si="28"/>
        <v>29245.501134647064</v>
      </c>
      <c r="U596" s="19">
        <v>0</v>
      </c>
      <c r="V596" s="36">
        <f t="shared" si="29"/>
        <v>183169.19131700002</v>
      </c>
    </row>
    <row r="597" spans="1:22" ht="23.4" thickBot="1" x14ac:dyDescent="0.35">
      <c r="A597" s="30" t="s">
        <v>154</v>
      </c>
      <c r="B597" s="31">
        <v>12</v>
      </c>
      <c r="C597" s="32" t="s">
        <v>15</v>
      </c>
      <c r="D597" s="31" t="s">
        <v>41</v>
      </c>
      <c r="E597" s="31" t="s">
        <v>37</v>
      </c>
      <c r="F597" s="32" t="s">
        <v>42</v>
      </c>
      <c r="G597" s="31" t="s">
        <v>33</v>
      </c>
      <c r="H597" s="33">
        <v>1557.98</v>
      </c>
      <c r="I597" s="31">
        <v>4.08</v>
      </c>
      <c r="J597" s="31">
        <v>4.04</v>
      </c>
      <c r="K597" s="34">
        <v>0.99099999999999999</v>
      </c>
      <c r="L597" s="31">
        <v>50.26</v>
      </c>
      <c r="M597" s="19">
        <f>H597*INDEX('Pliegos Tarifarios (Huechuraba)'!$B:$B,MATCH($B597,'Pliegos Tarifarios (Huechuraba)'!$A:$A,0))</f>
        <v>205284.11874000001</v>
      </c>
      <c r="N597" s="19">
        <f>I597*INDEX('Pliegos Tarifarios (Huechuraba)'!$C:$C,MATCH($B597,'Pliegos Tarifarios (Huechuraba)'!$A:$A,0))</f>
        <v>14137.130640000001</v>
      </c>
      <c r="O597" s="19">
        <f>J597*INDEX('Pliegos Tarifarios (Huechuraba)'!$D:$D,MATCH($B597,'Pliegos Tarifarios (Huechuraba)'!$A:$A,0))</f>
        <v>58736.949959999998</v>
      </c>
      <c r="P597" s="19">
        <f>H597*INDEX('Pliegos Tarifarios (Huechuraba)'!$E:$E,MATCH($B597,'Pliegos Tarifarios (Huechuraba)'!$A:$A,0))</f>
        <v>20291.131519999999</v>
      </c>
      <c r="Q597" s="19" cm="1">
        <f t="array" ref="Q597">H597*_xlfn.IFS(H597&lt;=350,INDEX('Pliegos Tarifarios (Huechuraba)'!$F:$F,MATCH($B597,'Pliegos Tarifarios (Huechuraba)'!$A:$A,0)),H597&lt;=500,INDEX('Pliegos Tarifarios (Huechuraba)'!$G:$G,MATCH($B597,'Pliegos Tarifarios (Huechuraba)'!$A:$A,0)),H597&lt;=1000,INDEX('Pliegos Tarifarios (Huechuraba)'!$H:$H,MATCH($B597,'Pliegos Tarifarios (Huechuraba)'!$A:$A,0)),H597&lt;=5000,INDEX('Pliegos Tarifarios (Huechuraba)'!$I:$I,MATCH($B597,'Pliegos Tarifarios (Huechuraba)'!$A:$A,0)),H597&gt;5000,INDEX('Pliegos Tarifarios (Huechuraba)'!$J:$J,MATCH($B597,'Pliegos Tarifarios (Huechuraba)'!$A:$A,0)))/1.19</f>
        <v>4768.204336134454</v>
      </c>
      <c r="R597" s="19">
        <f>INDEX('Pliegos Tarifarios (Huechuraba)'!$K:$K,MATCH($B597,'Pliegos Tarifarios (Huechuraba)'!$A:$A,0))</f>
        <v>733.35299999999995</v>
      </c>
      <c r="S597" s="36">
        <f t="shared" si="27"/>
        <v>303950.88819613442</v>
      </c>
      <c r="T597" s="36">
        <f t="shared" si="28"/>
        <v>57750.668757265543</v>
      </c>
      <c r="U597" s="19">
        <v>0</v>
      </c>
      <c r="V597" s="36">
        <f t="shared" si="29"/>
        <v>361701.55695339997</v>
      </c>
    </row>
    <row r="598" spans="1:22" ht="23.4" thickBot="1" x14ac:dyDescent="0.35">
      <c r="A598" s="30" t="s">
        <v>154</v>
      </c>
      <c r="B598" s="31">
        <v>12</v>
      </c>
      <c r="C598" s="32" t="s">
        <v>15</v>
      </c>
      <c r="D598" s="31" t="s">
        <v>43</v>
      </c>
      <c r="E598" s="31" t="s">
        <v>37</v>
      </c>
      <c r="F598" s="32" t="s">
        <v>44</v>
      </c>
      <c r="G598" s="31" t="s">
        <v>33</v>
      </c>
      <c r="H598" s="31">
        <v>584.22</v>
      </c>
      <c r="I598" s="31">
        <v>1.53</v>
      </c>
      <c r="J598" s="31">
        <v>1.53</v>
      </c>
      <c r="K598" s="34">
        <v>0.999</v>
      </c>
      <c r="L598" s="31">
        <v>18.850000000000001</v>
      </c>
      <c r="M598" s="19">
        <f>H598*INDEX('Pliegos Tarifarios (Huechuraba)'!$B:$B,MATCH($B598,'Pliegos Tarifarios (Huechuraba)'!$A:$A,0))</f>
        <v>76978.579860000013</v>
      </c>
      <c r="N598" s="19">
        <f>I598*INDEX('Pliegos Tarifarios (Huechuraba)'!$C:$C,MATCH($B598,'Pliegos Tarifarios (Huechuraba)'!$A:$A,0))</f>
        <v>5301.4239900000002</v>
      </c>
      <c r="O598" s="19">
        <f>J598*INDEX('Pliegos Tarifarios (Huechuraba)'!$D:$D,MATCH($B598,'Pliegos Tarifarios (Huechuraba)'!$A:$A,0))</f>
        <v>22244.438969999999</v>
      </c>
      <c r="P598" s="19">
        <f>H598*INDEX('Pliegos Tarifarios (Huechuraba)'!$E:$E,MATCH($B598,'Pliegos Tarifarios (Huechuraba)'!$A:$A,0))</f>
        <v>7608.8812799999996</v>
      </c>
      <c r="Q598" s="19" cm="1">
        <f t="array" ref="Q598">H598*_xlfn.IFS(H598&lt;=350,INDEX('Pliegos Tarifarios (Huechuraba)'!$F:$F,MATCH($B598,'Pliegos Tarifarios (Huechuraba)'!$A:$A,0)),H598&lt;=500,INDEX('Pliegos Tarifarios (Huechuraba)'!$G:$G,MATCH($B598,'Pliegos Tarifarios (Huechuraba)'!$A:$A,0)),H598&lt;=1000,INDEX('Pliegos Tarifarios (Huechuraba)'!$H:$H,MATCH($B598,'Pliegos Tarifarios (Huechuraba)'!$A:$A,0)),H598&lt;=5000,INDEX('Pliegos Tarifarios (Huechuraba)'!$I:$I,MATCH($B598,'Pliegos Tarifarios (Huechuraba)'!$A:$A,0)),H598&gt;5000,INDEX('Pliegos Tarifarios (Huechuraba)'!$J:$J,MATCH($B598,'Pliegos Tarifarios (Huechuraba)'!$A:$A,0)))/1.19</f>
        <v>1405.0736470588238</v>
      </c>
      <c r="R598" s="19">
        <f>INDEX('Pliegos Tarifarios (Huechuraba)'!$K:$K,MATCH($B598,'Pliegos Tarifarios (Huechuraba)'!$A:$A,0))</f>
        <v>733.35299999999995</v>
      </c>
      <c r="S598" s="36">
        <f t="shared" si="27"/>
        <v>114271.75074705885</v>
      </c>
      <c r="T598" s="36">
        <f t="shared" si="28"/>
        <v>21711.632641941182</v>
      </c>
      <c r="U598" s="19">
        <v>0</v>
      </c>
      <c r="V598" s="36">
        <f t="shared" si="29"/>
        <v>135983.38338900002</v>
      </c>
    </row>
    <row r="599" spans="1:22" ht="23.4" thickBot="1" x14ac:dyDescent="0.35">
      <c r="A599" s="30" t="s">
        <v>154</v>
      </c>
      <c r="B599" s="31">
        <v>12</v>
      </c>
      <c r="C599" s="32" t="s">
        <v>15</v>
      </c>
      <c r="D599" s="31" t="s">
        <v>45</v>
      </c>
      <c r="E599" s="31" t="s">
        <v>37</v>
      </c>
      <c r="F599" s="32" t="s">
        <v>46</v>
      </c>
      <c r="G599" s="31" t="s">
        <v>33</v>
      </c>
      <c r="H599" s="31">
        <v>584.94000000000005</v>
      </c>
      <c r="I599" s="31">
        <v>1.53</v>
      </c>
      <c r="J599" s="31">
        <v>1.52</v>
      </c>
      <c r="K599" s="34">
        <v>0.99399999999999999</v>
      </c>
      <c r="L599" s="31">
        <v>18.87</v>
      </c>
      <c r="M599" s="19">
        <f>H599*INDEX('Pliegos Tarifarios (Huechuraba)'!$B:$B,MATCH($B599,'Pliegos Tarifarios (Huechuraba)'!$A:$A,0))</f>
        <v>77073.44922000001</v>
      </c>
      <c r="N599" s="19">
        <f>I599*INDEX('Pliegos Tarifarios (Huechuraba)'!$C:$C,MATCH($B599,'Pliegos Tarifarios (Huechuraba)'!$A:$A,0))</f>
        <v>5301.4239900000002</v>
      </c>
      <c r="O599" s="19">
        <f>J599*INDEX('Pliegos Tarifarios (Huechuraba)'!$D:$D,MATCH($B599,'Pliegos Tarifarios (Huechuraba)'!$A:$A,0))</f>
        <v>22099.050480000002</v>
      </c>
      <c r="P599" s="19">
        <f>H599*INDEX('Pliegos Tarifarios (Huechuraba)'!$E:$E,MATCH($B599,'Pliegos Tarifarios (Huechuraba)'!$A:$A,0))</f>
        <v>7618.2585600000002</v>
      </c>
      <c r="Q599" s="19" cm="1">
        <f t="array" ref="Q599">H599*_xlfn.IFS(H599&lt;=350,INDEX('Pliegos Tarifarios (Huechuraba)'!$F:$F,MATCH($B599,'Pliegos Tarifarios (Huechuraba)'!$A:$A,0)),H599&lt;=500,INDEX('Pliegos Tarifarios (Huechuraba)'!$G:$G,MATCH($B599,'Pliegos Tarifarios (Huechuraba)'!$A:$A,0)),H599&lt;=1000,INDEX('Pliegos Tarifarios (Huechuraba)'!$H:$H,MATCH($B599,'Pliegos Tarifarios (Huechuraba)'!$A:$A,0)),H599&lt;=5000,INDEX('Pliegos Tarifarios (Huechuraba)'!$I:$I,MATCH($B599,'Pliegos Tarifarios (Huechuraba)'!$A:$A,0)),H599&gt;5000,INDEX('Pliegos Tarifarios (Huechuraba)'!$J:$J,MATCH($B599,'Pliegos Tarifarios (Huechuraba)'!$A:$A,0)))/1.19</f>
        <v>1406.8052773109246</v>
      </c>
      <c r="R599" s="19">
        <f>INDEX('Pliegos Tarifarios (Huechuraba)'!$K:$K,MATCH($B599,'Pliegos Tarifarios (Huechuraba)'!$A:$A,0))</f>
        <v>733.35299999999995</v>
      </c>
      <c r="S599" s="36">
        <f t="shared" si="27"/>
        <v>114232.34052731094</v>
      </c>
      <c r="T599" s="36">
        <f t="shared" si="28"/>
        <v>21704.144700189077</v>
      </c>
      <c r="U599" s="19">
        <v>0</v>
      </c>
      <c r="V599" s="36">
        <f t="shared" si="29"/>
        <v>135936.48522750003</v>
      </c>
    </row>
    <row r="600" spans="1:22" ht="23.4" thickBot="1" x14ac:dyDescent="0.35">
      <c r="A600" s="30" t="s">
        <v>154</v>
      </c>
      <c r="B600" s="31">
        <v>12</v>
      </c>
      <c r="C600" s="32" t="s">
        <v>15</v>
      </c>
      <c r="D600" s="31" t="s">
        <v>47</v>
      </c>
      <c r="E600" s="31" t="s">
        <v>37</v>
      </c>
      <c r="F600" s="32" t="s">
        <v>48</v>
      </c>
      <c r="G600" s="31" t="s">
        <v>33</v>
      </c>
      <c r="H600" s="33">
        <v>1170.3800000000001</v>
      </c>
      <c r="I600" s="31">
        <v>3.05</v>
      </c>
      <c r="J600" s="31">
        <v>3.05</v>
      </c>
      <c r="K600" s="34">
        <v>1</v>
      </c>
      <c r="L600" s="31">
        <v>37.75</v>
      </c>
      <c r="M600" s="19">
        <f>H600*INDEX('Pliegos Tarifarios (Huechuraba)'!$B:$B,MATCH($B600,'Pliegos Tarifarios (Huechuraba)'!$A:$A,0))</f>
        <v>154212.77994000001</v>
      </c>
      <c r="N600" s="19">
        <f>I600*INDEX('Pliegos Tarifarios (Huechuraba)'!$C:$C,MATCH($B600,'Pliegos Tarifarios (Huechuraba)'!$A:$A,0))</f>
        <v>10568.19815</v>
      </c>
      <c r="O600" s="19">
        <f>J600*INDEX('Pliegos Tarifarios (Huechuraba)'!$D:$D,MATCH($B600,'Pliegos Tarifarios (Huechuraba)'!$A:$A,0))</f>
        <v>44343.489450000001</v>
      </c>
      <c r="P600" s="19">
        <f>H600*INDEX('Pliegos Tarifarios (Huechuraba)'!$E:$E,MATCH($B600,'Pliegos Tarifarios (Huechuraba)'!$A:$A,0))</f>
        <v>15243.029120000001</v>
      </c>
      <c r="Q600" s="19" cm="1">
        <f t="array" ref="Q600">H600*_xlfn.IFS(H600&lt;=350,INDEX('Pliegos Tarifarios (Huechuraba)'!$F:$F,MATCH($B600,'Pliegos Tarifarios (Huechuraba)'!$A:$A,0)),H600&lt;=500,INDEX('Pliegos Tarifarios (Huechuraba)'!$G:$G,MATCH($B600,'Pliegos Tarifarios (Huechuraba)'!$A:$A,0)),H600&lt;=1000,INDEX('Pliegos Tarifarios (Huechuraba)'!$H:$H,MATCH($B600,'Pliegos Tarifarios (Huechuraba)'!$A:$A,0)),H600&lt;=5000,INDEX('Pliegos Tarifarios (Huechuraba)'!$I:$I,MATCH($B600,'Pliegos Tarifarios (Huechuraba)'!$A:$A,0)),H600&gt;5000,INDEX('Pliegos Tarifarios (Huechuraba)'!$J:$J,MATCH($B600,'Pliegos Tarifarios (Huechuraba)'!$A:$A,0)))/1.19</f>
        <v>3581.9529075630257</v>
      </c>
      <c r="R600" s="19">
        <f>INDEX('Pliegos Tarifarios (Huechuraba)'!$K:$K,MATCH($B600,'Pliegos Tarifarios (Huechuraba)'!$A:$A,0))</f>
        <v>733.35299999999995</v>
      </c>
      <c r="S600" s="36">
        <f t="shared" si="27"/>
        <v>228682.80256756302</v>
      </c>
      <c r="T600" s="36">
        <f t="shared" si="28"/>
        <v>43449.732487836976</v>
      </c>
      <c r="U600" s="19">
        <v>0</v>
      </c>
      <c r="V600" s="36">
        <f t="shared" si="29"/>
        <v>272132.53505539999</v>
      </c>
    </row>
    <row r="601" spans="1:22" ht="23.4" thickBot="1" x14ac:dyDescent="0.35">
      <c r="A601" s="30" t="s">
        <v>154</v>
      </c>
      <c r="B601" s="31">
        <v>12</v>
      </c>
      <c r="C601" s="32" t="s">
        <v>15</v>
      </c>
      <c r="D601" s="31" t="s">
        <v>49</v>
      </c>
      <c r="E601" s="31" t="s">
        <v>50</v>
      </c>
      <c r="F601" s="32" t="s">
        <v>51</v>
      </c>
      <c r="G601" s="31" t="s">
        <v>33</v>
      </c>
      <c r="H601" s="33">
        <v>1168.3699999999999</v>
      </c>
      <c r="I601" s="31">
        <v>3.12</v>
      </c>
      <c r="J601" s="31">
        <v>3.12</v>
      </c>
      <c r="K601" s="34">
        <v>1</v>
      </c>
      <c r="L601" s="31">
        <v>37.69</v>
      </c>
      <c r="M601" s="19">
        <f>H601*INDEX('Pliegos Tarifarios (Huechuraba)'!$B:$B,MATCH($B601,'Pliegos Tarifarios (Huechuraba)'!$A:$A,0))</f>
        <v>153947.93630999999</v>
      </c>
      <c r="N601" s="19">
        <f>I601*INDEX('Pliegos Tarifarios (Huechuraba)'!$C:$C,MATCH($B601,'Pliegos Tarifarios (Huechuraba)'!$A:$A,0))</f>
        <v>10810.74696</v>
      </c>
      <c r="O601" s="19">
        <f>J601*INDEX('Pliegos Tarifarios (Huechuraba)'!$D:$D,MATCH($B601,'Pliegos Tarifarios (Huechuraba)'!$A:$A,0))</f>
        <v>45361.208880000006</v>
      </c>
      <c r="P601" s="19">
        <f>H601*INDEX('Pliegos Tarifarios (Huechuraba)'!$E:$E,MATCH($B601,'Pliegos Tarifarios (Huechuraba)'!$A:$A,0))</f>
        <v>15216.850879999998</v>
      </c>
      <c r="Q601" s="19" cm="1">
        <f t="array" ref="Q601">H601*_xlfn.IFS(H601&lt;=350,INDEX('Pliegos Tarifarios (Huechuraba)'!$F:$F,MATCH($B601,'Pliegos Tarifarios (Huechuraba)'!$A:$A,0)),H601&lt;=500,INDEX('Pliegos Tarifarios (Huechuraba)'!$G:$G,MATCH($B601,'Pliegos Tarifarios (Huechuraba)'!$A:$A,0)),H601&lt;=1000,INDEX('Pliegos Tarifarios (Huechuraba)'!$H:$H,MATCH($B601,'Pliegos Tarifarios (Huechuraba)'!$A:$A,0)),H601&lt;=5000,INDEX('Pliegos Tarifarios (Huechuraba)'!$I:$I,MATCH($B601,'Pliegos Tarifarios (Huechuraba)'!$A:$A,0)),H601&gt;5000,INDEX('Pliegos Tarifarios (Huechuraba)'!$J:$J,MATCH($B601,'Pliegos Tarifarios (Huechuraba)'!$A:$A,0)))/1.19</f>
        <v>3575.8012941176466</v>
      </c>
      <c r="R601" s="19">
        <f>INDEX('Pliegos Tarifarios (Huechuraba)'!$K:$K,MATCH($B601,'Pliegos Tarifarios (Huechuraba)'!$A:$A,0))</f>
        <v>733.35299999999995</v>
      </c>
      <c r="S601" s="36">
        <f t="shared" si="27"/>
        <v>229645.8973241176</v>
      </c>
      <c r="T601" s="36">
        <f t="shared" si="28"/>
        <v>43632.720491582346</v>
      </c>
      <c r="U601" s="19">
        <v>0</v>
      </c>
      <c r="V601" s="36">
        <f t="shared" si="29"/>
        <v>273278.61781569995</v>
      </c>
    </row>
    <row r="602" spans="1:22" ht="23.4" thickBot="1" x14ac:dyDescent="0.35">
      <c r="A602" s="30" t="s">
        <v>154</v>
      </c>
      <c r="B602" s="31">
        <v>12</v>
      </c>
      <c r="C602" s="32" t="s">
        <v>15</v>
      </c>
      <c r="D602" s="31" t="s">
        <v>52</v>
      </c>
      <c r="E602" s="31" t="s">
        <v>50</v>
      </c>
      <c r="F602" s="32" t="s">
        <v>53</v>
      </c>
      <c r="G602" s="31" t="s">
        <v>33</v>
      </c>
      <c r="H602" s="33">
        <v>1170.25</v>
      </c>
      <c r="I602" s="31">
        <v>3.09</v>
      </c>
      <c r="J602" s="31">
        <v>2.99</v>
      </c>
      <c r="K602" s="34">
        <v>0.96699999999999997</v>
      </c>
      <c r="L602" s="31">
        <v>37.75</v>
      </c>
      <c r="M602" s="19">
        <f>H602*INDEX('Pliegos Tarifarios (Huechuraba)'!$B:$B,MATCH($B602,'Pliegos Tarifarios (Huechuraba)'!$A:$A,0))</f>
        <v>154195.65075</v>
      </c>
      <c r="N602" s="19">
        <f>I602*INDEX('Pliegos Tarifarios (Huechuraba)'!$C:$C,MATCH($B602,'Pliegos Tarifarios (Huechuraba)'!$A:$A,0))</f>
        <v>10706.79747</v>
      </c>
      <c r="O602" s="19">
        <f>J602*INDEX('Pliegos Tarifarios (Huechuraba)'!$D:$D,MATCH($B602,'Pliegos Tarifarios (Huechuraba)'!$A:$A,0))</f>
        <v>43471.158510000001</v>
      </c>
      <c r="P602" s="19">
        <f>H602*INDEX('Pliegos Tarifarios (Huechuraba)'!$E:$E,MATCH($B602,'Pliegos Tarifarios (Huechuraba)'!$A:$A,0))</f>
        <v>15241.335999999999</v>
      </c>
      <c r="Q602" s="19" cm="1">
        <f t="array" ref="Q602">H602*_xlfn.IFS(H602&lt;=350,INDEX('Pliegos Tarifarios (Huechuraba)'!$F:$F,MATCH($B602,'Pliegos Tarifarios (Huechuraba)'!$A:$A,0)),H602&lt;=500,INDEX('Pliegos Tarifarios (Huechuraba)'!$G:$G,MATCH($B602,'Pliegos Tarifarios (Huechuraba)'!$A:$A,0)),H602&lt;=1000,INDEX('Pliegos Tarifarios (Huechuraba)'!$H:$H,MATCH($B602,'Pliegos Tarifarios (Huechuraba)'!$A:$A,0)),H602&lt;=5000,INDEX('Pliegos Tarifarios (Huechuraba)'!$I:$I,MATCH($B602,'Pliegos Tarifarios (Huechuraba)'!$A:$A,0)),H602&gt;5000,INDEX('Pliegos Tarifarios (Huechuraba)'!$J:$J,MATCH($B602,'Pliegos Tarifarios (Huechuraba)'!$A:$A,0)))/1.19</f>
        <v>3581.555042016807</v>
      </c>
      <c r="R602" s="19">
        <f>INDEX('Pliegos Tarifarios (Huechuraba)'!$K:$K,MATCH($B602,'Pliegos Tarifarios (Huechuraba)'!$A:$A,0))</f>
        <v>733.35299999999995</v>
      </c>
      <c r="S602" s="36">
        <f t="shared" si="27"/>
        <v>227929.85077201683</v>
      </c>
      <c r="T602" s="36">
        <f t="shared" si="28"/>
        <v>43306.6716466832</v>
      </c>
      <c r="U602" s="19">
        <v>0</v>
      </c>
      <c r="V602" s="36">
        <f t="shared" si="29"/>
        <v>271236.52241870004</v>
      </c>
    </row>
    <row r="603" spans="1:22" ht="23.4" thickBot="1" x14ac:dyDescent="0.35">
      <c r="A603" s="30" t="s">
        <v>154</v>
      </c>
      <c r="B603" s="31">
        <v>12</v>
      </c>
      <c r="C603" s="32" t="s">
        <v>15</v>
      </c>
      <c r="D603" s="31" t="s">
        <v>54</v>
      </c>
      <c r="E603" s="31" t="s">
        <v>55</v>
      </c>
      <c r="F603" s="32" t="s">
        <v>56</v>
      </c>
      <c r="G603" s="31" t="s">
        <v>33</v>
      </c>
      <c r="H603" s="31">
        <v>583.76</v>
      </c>
      <c r="I603" s="31">
        <v>1.53</v>
      </c>
      <c r="J603" s="31">
        <v>1.5</v>
      </c>
      <c r="K603" s="34">
        <v>0.98399999999999999</v>
      </c>
      <c r="L603" s="31">
        <v>18.829999999999998</v>
      </c>
      <c r="M603" s="19">
        <f>H603*INDEX('Pliegos Tarifarios (Huechuraba)'!$B:$B,MATCH($B603,'Pliegos Tarifarios (Huechuraba)'!$A:$A,0))</f>
        <v>76917.96888</v>
      </c>
      <c r="N603" s="19">
        <f>I603*INDEX('Pliegos Tarifarios (Huechuraba)'!$C:$C,MATCH($B603,'Pliegos Tarifarios (Huechuraba)'!$A:$A,0))</f>
        <v>5301.4239900000002</v>
      </c>
      <c r="O603" s="19">
        <f>J603*INDEX('Pliegos Tarifarios (Huechuraba)'!$D:$D,MATCH($B603,'Pliegos Tarifarios (Huechuraba)'!$A:$A,0))</f>
        <v>21808.273499999999</v>
      </c>
      <c r="P603" s="19">
        <f>H603*INDEX('Pliegos Tarifarios (Huechuraba)'!$E:$E,MATCH($B603,'Pliegos Tarifarios (Huechuraba)'!$A:$A,0))</f>
        <v>7602.8902399999997</v>
      </c>
      <c r="Q603" s="19" cm="1">
        <f t="array" ref="Q603">H603*_xlfn.IFS(H603&lt;=350,INDEX('Pliegos Tarifarios (Huechuraba)'!$F:$F,MATCH($B603,'Pliegos Tarifarios (Huechuraba)'!$A:$A,0)),H603&lt;=500,INDEX('Pliegos Tarifarios (Huechuraba)'!$G:$G,MATCH($B603,'Pliegos Tarifarios (Huechuraba)'!$A:$A,0)),H603&lt;=1000,INDEX('Pliegos Tarifarios (Huechuraba)'!$H:$H,MATCH($B603,'Pliegos Tarifarios (Huechuraba)'!$A:$A,0)),H603&lt;=5000,INDEX('Pliegos Tarifarios (Huechuraba)'!$I:$I,MATCH($B603,'Pliegos Tarifarios (Huechuraba)'!$A:$A,0)),H603&gt;5000,INDEX('Pliegos Tarifarios (Huechuraba)'!$J:$J,MATCH($B603,'Pliegos Tarifarios (Huechuraba)'!$A:$A,0)))/1.19</f>
        <v>1403.9673277310924</v>
      </c>
      <c r="R603" s="19">
        <f>INDEX('Pliegos Tarifarios (Huechuraba)'!$K:$K,MATCH($B603,'Pliegos Tarifarios (Huechuraba)'!$A:$A,0))</f>
        <v>733.35299999999995</v>
      </c>
      <c r="S603" s="36">
        <f t="shared" si="27"/>
        <v>113767.87693773108</v>
      </c>
      <c r="T603" s="36">
        <f t="shared" si="28"/>
        <v>21615.896618168907</v>
      </c>
      <c r="U603" s="19">
        <v>0</v>
      </c>
      <c r="V603" s="36">
        <f t="shared" si="29"/>
        <v>135383.7735559</v>
      </c>
    </row>
    <row r="604" spans="1:22" ht="23.4" thickBot="1" x14ac:dyDescent="0.35">
      <c r="A604" s="30" t="s">
        <v>154</v>
      </c>
      <c r="B604" s="31">
        <v>12</v>
      </c>
      <c r="C604" s="32" t="s">
        <v>15</v>
      </c>
      <c r="D604" s="31" t="s">
        <v>57</v>
      </c>
      <c r="E604" s="31" t="s">
        <v>58</v>
      </c>
      <c r="F604" s="32" t="s">
        <v>59</v>
      </c>
      <c r="G604" s="31" t="s">
        <v>33</v>
      </c>
      <c r="H604" s="31">
        <v>389.72</v>
      </c>
      <c r="I604" s="31">
        <v>1.01</v>
      </c>
      <c r="J604" s="31">
        <v>1.01</v>
      </c>
      <c r="K604" s="34">
        <v>1</v>
      </c>
      <c r="L604" s="31">
        <v>12.57</v>
      </c>
      <c r="M604" s="19">
        <f>H604*INDEX('Pliegos Tarifarios (Huechuraba)'!$B:$B,MATCH($B604,'Pliegos Tarifarios (Huechuraba)'!$A:$A,0))</f>
        <v>51350.676360000005</v>
      </c>
      <c r="N604" s="19">
        <f>I604*INDEX('Pliegos Tarifarios (Huechuraba)'!$C:$C,MATCH($B604,'Pliegos Tarifarios (Huechuraba)'!$A:$A,0))</f>
        <v>3499.63283</v>
      </c>
      <c r="O604" s="19">
        <f>J604*INDEX('Pliegos Tarifarios (Huechuraba)'!$D:$D,MATCH($B604,'Pliegos Tarifarios (Huechuraba)'!$A:$A,0))</f>
        <v>14684.23749</v>
      </c>
      <c r="P604" s="19">
        <f>H604*INDEX('Pliegos Tarifarios (Huechuraba)'!$E:$E,MATCH($B604,'Pliegos Tarifarios (Huechuraba)'!$A:$A,0))</f>
        <v>5075.7132799999999</v>
      </c>
      <c r="Q604" s="19" cm="1">
        <f t="array" ref="Q604">H604*_xlfn.IFS(H604&lt;=350,INDEX('Pliegos Tarifarios (Huechuraba)'!$F:$F,MATCH($B604,'Pliegos Tarifarios (Huechuraba)'!$A:$A,0)),H604&lt;=500,INDEX('Pliegos Tarifarios (Huechuraba)'!$G:$G,MATCH($B604,'Pliegos Tarifarios (Huechuraba)'!$A:$A,0)),H604&lt;=1000,INDEX('Pliegos Tarifarios (Huechuraba)'!$H:$H,MATCH($B604,'Pliegos Tarifarios (Huechuraba)'!$A:$A,0)),H604&lt;=5000,INDEX('Pliegos Tarifarios (Huechuraba)'!$I:$I,MATCH($B604,'Pliegos Tarifarios (Huechuraba)'!$A:$A,0)),H604&gt;5000,INDEX('Pliegos Tarifarios (Huechuraba)'!$J:$J,MATCH($B604,'Pliegos Tarifarios (Huechuraba)'!$A:$A,0)))/1.19</f>
        <v>572.13515966386558</v>
      </c>
      <c r="R604" s="19">
        <f>INDEX('Pliegos Tarifarios (Huechuraba)'!$K:$K,MATCH($B604,'Pliegos Tarifarios (Huechuraba)'!$A:$A,0))</f>
        <v>733.35299999999995</v>
      </c>
      <c r="S604" s="36">
        <f t="shared" si="27"/>
        <v>75915.748119663869</v>
      </c>
      <c r="T604" s="36">
        <f t="shared" si="28"/>
        <v>14423.992142736135</v>
      </c>
      <c r="U604" s="19">
        <v>0</v>
      </c>
      <c r="V604" s="36">
        <f t="shared" si="29"/>
        <v>90339.74026240001</v>
      </c>
    </row>
    <row r="605" spans="1:22" ht="23.4" thickBot="1" x14ac:dyDescent="0.35">
      <c r="A605" s="30" t="s">
        <v>154</v>
      </c>
      <c r="B605" s="31">
        <v>12</v>
      </c>
      <c r="C605" s="32" t="s">
        <v>15</v>
      </c>
      <c r="D605" s="31" t="s">
        <v>60</v>
      </c>
      <c r="E605" s="31" t="s">
        <v>61</v>
      </c>
      <c r="F605" s="32" t="s">
        <v>62</v>
      </c>
      <c r="G605" s="31" t="s">
        <v>33</v>
      </c>
      <c r="H605" s="31">
        <v>390.3</v>
      </c>
      <c r="I605" s="31">
        <v>1.02</v>
      </c>
      <c r="J605" s="31">
        <v>1</v>
      </c>
      <c r="K605" s="34">
        <v>0.98399999999999999</v>
      </c>
      <c r="L605" s="31">
        <v>12.59</v>
      </c>
      <c r="M605" s="19">
        <f>H605*INDEX('Pliegos Tarifarios (Huechuraba)'!$B:$B,MATCH($B605,'Pliegos Tarifarios (Huechuraba)'!$A:$A,0))</f>
        <v>51427.098900000005</v>
      </c>
      <c r="N605" s="19">
        <f>I605*INDEX('Pliegos Tarifarios (Huechuraba)'!$C:$C,MATCH($B605,'Pliegos Tarifarios (Huechuraba)'!$A:$A,0))</f>
        <v>3534.2826600000003</v>
      </c>
      <c r="O605" s="19">
        <f>J605*INDEX('Pliegos Tarifarios (Huechuraba)'!$D:$D,MATCH($B605,'Pliegos Tarifarios (Huechuraba)'!$A:$A,0))</f>
        <v>14538.849</v>
      </c>
      <c r="P605" s="19">
        <f>H605*INDEX('Pliegos Tarifarios (Huechuraba)'!$E:$E,MATCH($B605,'Pliegos Tarifarios (Huechuraba)'!$A:$A,0))</f>
        <v>5083.2672000000002</v>
      </c>
      <c r="Q605" s="19" cm="1">
        <f t="array" ref="Q605">H605*_xlfn.IFS(H605&lt;=350,INDEX('Pliegos Tarifarios (Huechuraba)'!$F:$F,MATCH($B605,'Pliegos Tarifarios (Huechuraba)'!$A:$A,0)),H605&lt;=500,INDEX('Pliegos Tarifarios (Huechuraba)'!$G:$G,MATCH($B605,'Pliegos Tarifarios (Huechuraba)'!$A:$A,0)),H605&lt;=1000,INDEX('Pliegos Tarifarios (Huechuraba)'!$H:$H,MATCH($B605,'Pliegos Tarifarios (Huechuraba)'!$A:$A,0)),H605&lt;=5000,INDEX('Pliegos Tarifarios (Huechuraba)'!$I:$I,MATCH($B605,'Pliegos Tarifarios (Huechuraba)'!$A:$A,0)),H605&gt;5000,INDEX('Pliegos Tarifarios (Huechuraba)'!$J:$J,MATCH($B605,'Pliegos Tarifarios (Huechuraba)'!$A:$A,0)))/1.19</f>
        <v>572.98663865546223</v>
      </c>
      <c r="R605" s="19">
        <f>INDEX('Pliegos Tarifarios (Huechuraba)'!$K:$K,MATCH($B605,'Pliegos Tarifarios (Huechuraba)'!$A:$A,0))</f>
        <v>733.35299999999995</v>
      </c>
      <c r="S605" s="36">
        <f t="shared" si="27"/>
        <v>75889.837398655465</v>
      </c>
      <c r="T605" s="36">
        <f t="shared" si="28"/>
        <v>14419.069105744538</v>
      </c>
      <c r="U605" s="19">
        <v>0</v>
      </c>
      <c r="V605" s="36">
        <f t="shared" si="29"/>
        <v>90308.906504400002</v>
      </c>
    </row>
    <row r="606" spans="1:22" ht="23.4" thickBot="1" x14ac:dyDescent="0.35">
      <c r="A606" s="30" t="s">
        <v>154</v>
      </c>
      <c r="B606" s="31">
        <v>12</v>
      </c>
      <c r="C606" s="32" t="s">
        <v>15</v>
      </c>
      <c r="D606" s="31" t="s">
        <v>63</v>
      </c>
      <c r="E606" s="31" t="s">
        <v>64</v>
      </c>
      <c r="F606" s="32" t="s">
        <v>65</v>
      </c>
      <c r="G606" s="31" t="s">
        <v>33</v>
      </c>
      <c r="H606" s="31">
        <v>389.94</v>
      </c>
      <c r="I606" s="31">
        <v>1.02</v>
      </c>
      <c r="J606" s="31">
        <v>1.02</v>
      </c>
      <c r="K606" s="34">
        <v>1</v>
      </c>
      <c r="L606" s="31">
        <v>12.58</v>
      </c>
      <c r="M606" s="19">
        <f>H606*INDEX('Pliegos Tarifarios (Huechuraba)'!$B:$B,MATCH($B606,'Pliegos Tarifarios (Huechuraba)'!$A:$A,0))</f>
        <v>51379.664219999999</v>
      </c>
      <c r="N606" s="19">
        <f>I606*INDEX('Pliegos Tarifarios (Huechuraba)'!$C:$C,MATCH($B606,'Pliegos Tarifarios (Huechuraba)'!$A:$A,0))</f>
        <v>3534.2826600000003</v>
      </c>
      <c r="O606" s="19">
        <f>J606*INDEX('Pliegos Tarifarios (Huechuraba)'!$D:$D,MATCH($B606,'Pliegos Tarifarios (Huechuraba)'!$A:$A,0))</f>
        <v>14829.625980000001</v>
      </c>
      <c r="P606" s="19">
        <f>H606*INDEX('Pliegos Tarifarios (Huechuraba)'!$E:$E,MATCH($B606,'Pliegos Tarifarios (Huechuraba)'!$A:$A,0))</f>
        <v>5078.5785599999999</v>
      </c>
      <c r="Q606" s="19" cm="1">
        <f t="array" ref="Q606">H606*_xlfn.IFS(H606&lt;=350,INDEX('Pliegos Tarifarios (Huechuraba)'!$F:$F,MATCH($B606,'Pliegos Tarifarios (Huechuraba)'!$A:$A,0)),H606&lt;=500,INDEX('Pliegos Tarifarios (Huechuraba)'!$G:$G,MATCH($B606,'Pliegos Tarifarios (Huechuraba)'!$A:$A,0)),H606&lt;=1000,INDEX('Pliegos Tarifarios (Huechuraba)'!$H:$H,MATCH($B606,'Pliegos Tarifarios (Huechuraba)'!$A:$A,0)),H606&lt;=5000,INDEX('Pliegos Tarifarios (Huechuraba)'!$I:$I,MATCH($B606,'Pliegos Tarifarios (Huechuraba)'!$A:$A,0)),H606&gt;5000,INDEX('Pliegos Tarifarios (Huechuraba)'!$J:$J,MATCH($B606,'Pliegos Tarifarios (Huechuraba)'!$A:$A,0)))/1.19</f>
        <v>572.45813445378144</v>
      </c>
      <c r="R606" s="19">
        <f>INDEX('Pliegos Tarifarios (Huechuraba)'!$K:$K,MATCH($B606,'Pliegos Tarifarios (Huechuraba)'!$A:$A,0))</f>
        <v>733.35299999999995</v>
      </c>
      <c r="S606" s="36">
        <f t="shared" si="27"/>
        <v>76127.962554453785</v>
      </c>
      <c r="T606" s="36">
        <f t="shared" si="28"/>
        <v>14464.312885346219</v>
      </c>
      <c r="U606" s="19">
        <v>0</v>
      </c>
      <c r="V606" s="36">
        <f t="shared" si="29"/>
        <v>90592.275439799996</v>
      </c>
    </row>
    <row r="607" spans="1:22" ht="23.4" thickBot="1" x14ac:dyDescent="0.35">
      <c r="A607" s="30" t="s">
        <v>154</v>
      </c>
      <c r="B607" s="31">
        <v>12</v>
      </c>
      <c r="C607" s="32" t="s">
        <v>15</v>
      </c>
      <c r="D607" s="31" t="s">
        <v>66</v>
      </c>
      <c r="E607" s="31" t="s">
        <v>37</v>
      </c>
      <c r="F607" s="32" t="s">
        <v>67</v>
      </c>
      <c r="G607" s="31" t="s">
        <v>33</v>
      </c>
      <c r="H607" s="31">
        <v>779.61</v>
      </c>
      <c r="I607" s="31">
        <v>2.06</v>
      </c>
      <c r="J607" s="31">
        <v>2.06</v>
      </c>
      <c r="K607" s="34">
        <v>1</v>
      </c>
      <c r="L607" s="31">
        <v>25.15</v>
      </c>
      <c r="M607" s="19">
        <f>H607*INDEX('Pliegos Tarifarios (Huechuraba)'!$B:$B,MATCH($B607,'Pliegos Tarifarios (Huechuraba)'!$A:$A,0))</f>
        <v>102723.75243000001</v>
      </c>
      <c r="N607" s="19">
        <f>I607*INDEX('Pliegos Tarifarios (Huechuraba)'!$C:$C,MATCH($B607,'Pliegos Tarifarios (Huechuraba)'!$A:$A,0))</f>
        <v>7137.8649800000003</v>
      </c>
      <c r="O607" s="19">
        <f>J607*INDEX('Pliegos Tarifarios (Huechuraba)'!$D:$D,MATCH($B607,'Pliegos Tarifarios (Huechuraba)'!$A:$A,0))</f>
        <v>29950.02894</v>
      </c>
      <c r="P607" s="19">
        <f>H607*INDEX('Pliegos Tarifarios (Huechuraba)'!$E:$E,MATCH($B607,'Pliegos Tarifarios (Huechuraba)'!$A:$A,0))</f>
        <v>10153.64064</v>
      </c>
      <c r="Q607" s="19" cm="1">
        <f t="array" ref="Q607">H607*_xlfn.IFS(H607&lt;=350,INDEX('Pliegos Tarifarios (Huechuraba)'!$F:$F,MATCH($B607,'Pliegos Tarifarios (Huechuraba)'!$A:$A,0)),H607&lt;=500,INDEX('Pliegos Tarifarios (Huechuraba)'!$G:$G,MATCH($B607,'Pliegos Tarifarios (Huechuraba)'!$A:$A,0)),H607&lt;=1000,INDEX('Pliegos Tarifarios (Huechuraba)'!$H:$H,MATCH($B607,'Pliegos Tarifarios (Huechuraba)'!$A:$A,0)),H607&lt;=5000,INDEX('Pliegos Tarifarios (Huechuraba)'!$I:$I,MATCH($B607,'Pliegos Tarifarios (Huechuraba)'!$A:$A,0)),H607&gt;5000,INDEX('Pliegos Tarifarios (Huechuraba)'!$J:$J,MATCH($B607,'Pliegos Tarifarios (Huechuraba)'!$A:$A,0)))/1.19</f>
        <v>1874.9948067226892</v>
      </c>
      <c r="R607" s="19">
        <f>INDEX('Pliegos Tarifarios (Huechuraba)'!$K:$K,MATCH($B607,'Pliegos Tarifarios (Huechuraba)'!$A:$A,0))</f>
        <v>733.35299999999995</v>
      </c>
      <c r="S607" s="36">
        <f t="shared" si="27"/>
        <v>152573.63479672268</v>
      </c>
      <c r="T607" s="36">
        <f t="shared" si="28"/>
        <v>28988.99061137731</v>
      </c>
      <c r="U607" s="19">
        <v>0</v>
      </c>
      <c r="V607" s="36">
        <f t="shared" si="29"/>
        <v>181562.62540809999</v>
      </c>
    </row>
    <row r="608" spans="1:22" ht="23.4" thickBot="1" x14ac:dyDescent="0.35">
      <c r="A608" s="30" t="s">
        <v>154</v>
      </c>
      <c r="B608" s="31">
        <v>12</v>
      </c>
      <c r="C608" s="32" t="s">
        <v>15</v>
      </c>
      <c r="D608" s="31" t="s">
        <v>68</v>
      </c>
      <c r="E608" s="31" t="s">
        <v>37</v>
      </c>
      <c r="F608" s="32" t="s">
        <v>69</v>
      </c>
      <c r="G608" s="31" t="s">
        <v>33</v>
      </c>
      <c r="H608" s="31">
        <v>780.17</v>
      </c>
      <c r="I608" s="31">
        <v>2.06</v>
      </c>
      <c r="J608" s="31">
        <v>2.06</v>
      </c>
      <c r="K608" s="34">
        <v>1</v>
      </c>
      <c r="L608" s="31">
        <v>25.17</v>
      </c>
      <c r="M608" s="19">
        <f>H608*INDEX('Pliegos Tarifarios (Huechuraba)'!$B:$B,MATCH($B608,'Pliegos Tarifarios (Huechuraba)'!$A:$A,0))</f>
        <v>102797.53971</v>
      </c>
      <c r="N608" s="19">
        <f>I608*INDEX('Pliegos Tarifarios (Huechuraba)'!$C:$C,MATCH($B608,'Pliegos Tarifarios (Huechuraba)'!$A:$A,0))</f>
        <v>7137.8649800000003</v>
      </c>
      <c r="O608" s="19">
        <f>J608*INDEX('Pliegos Tarifarios (Huechuraba)'!$D:$D,MATCH($B608,'Pliegos Tarifarios (Huechuraba)'!$A:$A,0))</f>
        <v>29950.02894</v>
      </c>
      <c r="P608" s="19">
        <f>H608*INDEX('Pliegos Tarifarios (Huechuraba)'!$E:$E,MATCH($B608,'Pliegos Tarifarios (Huechuraba)'!$A:$A,0))</f>
        <v>10160.934079999999</v>
      </c>
      <c r="Q608" s="19" cm="1">
        <f t="array" ref="Q608">H608*_xlfn.IFS(H608&lt;=350,INDEX('Pliegos Tarifarios (Huechuraba)'!$F:$F,MATCH($B608,'Pliegos Tarifarios (Huechuraba)'!$A:$A,0)),H608&lt;=500,INDEX('Pliegos Tarifarios (Huechuraba)'!$G:$G,MATCH($B608,'Pliegos Tarifarios (Huechuraba)'!$A:$A,0)),H608&lt;=1000,INDEX('Pliegos Tarifarios (Huechuraba)'!$H:$H,MATCH($B608,'Pliegos Tarifarios (Huechuraba)'!$A:$A,0)),H608&lt;=5000,INDEX('Pliegos Tarifarios (Huechuraba)'!$I:$I,MATCH($B608,'Pliegos Tarifarios (Huechuraba)'!$A:$A,0)),H608&gt;5000,INDEX('Pliegos Tarifarios (Huechuraba)'!$J:$J,MATCH($B608,'Pliegos Tarifarios (Huechuraba)'!$A:$A,0)))/1.19</f>
        <v>1876.3416302521009</v>
      </c>
      <c r="R608" s="19">
        <f>INDEX('Pliegos Tarifarios (Huechuraba)'!$K:$K,MATCH($B608,'Pliegos Tarifarios (Huechuraba)'!$A:$A,0))</f>
        <v>733.35299999999995</v>
      </c>
      <c r="S608" s="36">
        <f t="shared" si="27"/>
        <v>152656.0623402521</v>
      </c>
      <c r="T608" s="36">
        <f t="shared" si="28"/>
        <v>29004.651844647899</v>
      </c>
      <c r="U608" s="19">
        <v>0</v>
      </c>
      <c r="V608" s="36">
        <f t="shared" si="29"/>
        <v>181660.71418489999</v>
      </c>
    </row>
    <row r="609" spans="1:22" ht="23.4" thickBot="1" x14ac:dyDescent="0.35">
      <c r="A609" s="30" t="s">
        <v>154</v>
      </c>
      <c r="B609" s="31">
        <v>12</v>
      </c>
      <c r="C609" s="32" t="s">
        <v>15</v>
      </c>
      <c r="D609" s="31" t="s">
        <v>70</v>
      </c>
      <c r="E609" s="31" t="s">
        <v>37</v>
      </c>
      <c r="F609" s="32" t="s">
        <v>71</v>
      </c>
      <c r="G609" s="31" t="s">
        <v>33</v>
      </c>
      <c r="H609" s="31">
        <v>778.38</v>
      </c>
      <c r="I609" s="31">
        <v>2.02</v>
      </c>
      <c r="J609" s="31">
        <v>2.02</v>
      </c>
      <c r="K609" s="34">
        <v>0.998</v>
      </c>
      <c r="L609" s="31">
        <v>25.11</v>
      </c>
      <c r="M609" s="19">
        <f>H609*INDEX('Pliegos Tarifarios (Huechuraba)'!$B:$B,MATCH($B609,'Pliegos Tarifarios (Huechuraba)'!$A:$A,0))</f>
        <v>102561.68394</v>
      </c>
      <c r="N609" s="19">
        <f>I609*INDEX('Pliegos Tarifarios (Huechuraba)'!$C:$C,MATCH($B609,'Pliegos Tarifarios (Huechuraba)'!$A:$A,0))</f>
        <v>6999.26566</v>
      </c>
      <c r="O609" s="19">
        <f>J609*INDEX('Pliegos Tarifarios (Huechuraba)'!$D:$D,MATCH($B609,'Pliegos Tarifarios (Huechuraba)'!$A:$A,0))</f>
        <v>29368.474979999999</v>
      </c>
      <c r="P609" s="19">
        <f>H609*INDEX('Pliegos Tarifarios (Huechuraba)'!$E:$E,MATCH($B609,'Pliegos Tarifarios (Huechuraba)'!$A:$A,0))</f>
        <v>10137.62112</v>
      </c>
      <c r="Q609" s="19" cm="1">
        <f t="array" ref="Q609">H609*_xlfn.IFS(H609&lt;=350,INDEX('Pliegos Tarifarios (Huechuraba)'!$F:$F,MATCH($B609,'Pliegos Tarifarios (Huechuraba)'!$A:$A,0)),H609&lt;=500,INDEX('Pliegos Tarifarios (Huechuraba)'!$G:$G,MATCH($B609,'Pliegos Tarifarios (Huechuraba)'!$A:$A,0)),H609&lt;=1000,INDEX('Pliegos Tarifarios (Huechuraba)'!$H:$H,MATCH($B609,'Pliegos Tarifarios (Huechuraba)'!$A:$A,0)),H609&lt;=5000,INDEX('Pliegos Tarifarios (Huechuraba)'!$I:$I,MATCH($B609,'Pliegos Tarifarios (Huechuraba)'!$A:$A,0)),H609&gt;5000,INDEX('Pliegos Tarifarios (Huechuraba)'!$J:$J,MATCH($B609,'Pliegos Tarifarios (Huechuraba)'!$A:$A,0)))/1.19</f>
        <v>1872.0366050420168</v>
      </c>
      <c r="R609" s="19">
        <f>INDEX('Pliegos Tarifarios (Huechuraba)'!$K:$K,MATCH($B609,'Pliegos Tarifarios (Huechuraba)'!$A:$A,0))</f>
        <v>733.35299999999995</v>
      </c>
      <c r="S609" s="36">
        <f t="shared" si="27"/>
        <v>151672.43530504202</v>
      </c>
      <c r="T609" s="36">
        <f t="shared" si="28"/>
        <v>28817.762707957983</v>
      </c>
      <c r="U609" s="19">
        <v>0</v>
      </c>
      <c r="V609" s="36">
        <f t="shared" si="29"/>
        <v>180490.19801300002</v>
      </c>
    </row>
    <row r="610" spans="1:22" ht="23.4" thickBot="1" x14ac:dyDescent="0.35">
      <c r="A610" s="30" t="s">
        <v>154</v>
      </c>
      <c r="B610" s="31">
        <v>12</v>
      </c>
      <c r="C610" s="32" t="s">
        <v>15</v>
      </c>
      <c r="D610" s="31" t="s">
        <v>72</v>
      </c>
      <c r="E610" s="31" t="s">
        <v>73</v>
      </c>
      <c r="F610" s="32" t="s">
        <v>74</v>
      </c>
      <c r="G610" s="31" t="s">
        <v>33</v>
      </c>
      <c r="H610" s="31">
        <v>971.16</v>
      </c>
      <c r="I610" s="31">
        <v>2.54</v>
      </c>
      <c r="J610" s="31">
        <v>2.52</v>
      </c>
      <c r="K610" s="34">
        <v>0.99199999999999999</v>
      </c>
      <c r="L610" s="31">
        <v>31.33</v>
      </c>
      <c r="M610" s="19">
        <f>H610*INDEX('Pliegos Tarifarios (Huechuraba)'!$B:$B,MATCH($B610,'Pliegos Tarifarios (Huechuraba)'!$A:$A,0))</f>
        <v>127962.95508</v>
      </c>
      <c r="N610" s="19">
        <f>I610*INDEX('Pliegos Tarifarios (Huechuraba)'!$C:$C,MATCH($B610,'Pliegos Tarifarios (Huechuraba)'!$A:$A,0))</f>
        <v>8801.0568199999998</v>
      </c>
      <c r="O610" s="19">
        <f>J610*INDEX('Pliegos Tarifarios (Huechuraba)'!$D:$D,MATCH($B610,'Pliegos Tarifarios (Huechuraba)'!$A:$A,0))</f>
        <v>36637.89948</v>
      </c>
      <c r="P610" s="19">
        <f>H610*INDEX('Pliegos Tarifarios (Huechuraba)'!$E:$E,MATCH($B610,'Pliegos Tarifarios (Huechuraba)'!$A:$A,0))</f>
        <v>12648.387839999999</v>
      </c>
      <c r="Q610" s="19" cm="1">
        <f t="array" ref="Q610">H610*_xlfn.IFS(H610&lt;=350,INDEX('Pliegos Tarifarios (Huechuraba)'!$F:$F,MATCH($B610,'Pliegos Tarifarios (Huechuraba)'!$A:$A,0)),H610&lt;=500,INDEX('Pliegos Tarifarios (Huechuraba)'!$G:$G,MATCH($B610,'Pliegos Tarifarios (Huechuraba)'!$A:$A,0)),H610&lt;=1000,INDEX('Pliegos Tarifarios (Huechuraba)'!$H:$H,MATCH($B610,'Pliegos Tarifarios (Huechuraba)'!$A:$A,0)),H610&lt;=5000,INDEX('Pliegos Tarifarios (Huechuraba)'!$I:$I,MATCH($B610,'Pliegos Tarifarios (Huechuraba)'!$A:$A,0)),H610&gt;5000,INDEX('Pliegos Tarifarios (Huechuraba)'!$J:$J,MATCH($B610,'Pliegos Tarifarios (Huechuraba)'!$A:$A,0)))/1.19</f>
        <v>2335.6806050420169</v>
      </c>
      <c r="R610" s="19">
        <f>INDEX('Pliegos Tarifarios (Huechuraba)'!$K:$K,MATCH($B610,'Pliegos Tarifarios (Huechuraba)'!$A:$A,0))</f>
        <v>733.35299999999995</v>
      </c>
      <c r="S610" s="36">
        <f t="shared" si="27"/>
        <v>189119.33282504205</v>
      </c>
      <c r="T610" s="36">
        <f t="shared" si="28"/>
        <v>35932.67323675799</v>
      </c>
      <c r="U610" s="19">
        <v>0</v>
      </c>
      <c r="V610" s="36">
        <f t="shared" si="29"/>
        <v>225052.00606180003</v>
      </c>
    </row>
    <row r="611" spans="1:22" ht="23.4" thickBot="1" x14ac:dyDescent="0.35">
      <c r="A611" s="30" t="s">
        <v>154</v>
      </c>
      <c r="B611" s="31">
        <v>12</v>
      </c>
      <c r="C611" s="32" t="s">
        <v>15</v>
      </c>
      <c r="D611" s="31" t="s">
        <v>75</v>
      </c>
      <c r="E611" s="31" t="s">
        <v>76</v>
      </c>
      <c r="F611" s="32" t="s">
        <v>77</v>
      </c>
      <c r="G611" s="31" t="s">
        <v>19</v>
      </c>
      <c r="H611" s="33">
        <v>1559.61</v>
      </c>
      <c r="I611" s="31">
        <v>4.09</v>
      </c>
      <c r="J611" s="31">
        <v>4.0199999999999996</v>
      </c>
      <c r="K611" s="34">
        <v>0.98299999999999998</v>
      </c>
      <c r="L611" s="31">
        <v>50.31</v>
      </c>
      <c r="M611" s="19">
        <f>H611*INDEX('Pliegos Tarifarios (Huechuraba)'!$B:$B,MATCH($B611,'Pliegos Tarifarios (Huechuraba)'!$A:$A,0))</f>
        <v>205498.89243000001</v>
      </c>
      <c r="N611" s="19">
        <f>I611*INDEX('Pliegos Tarifarios (Huechuraba)'!$C:$C,MATCH($B611,'Pliegos Tarifarios (Huechuraba)'!$A:$A,0))</f>
        <v>14171.78047</v>
      </c>
      <c r="O611" s="19">
        <f>J611*INDEX('Pliegos Tarifarios (Huechuraba)'!$D:$D,MATCH($B611,'Pliegos Tarifarios (Huechuraba)'!$A:$A,0))</f>
        <v>58446.172979999996</v>
      </c>
      <c r="P611" s="19">
        <f>H611*INDEX('Pliegos Tarifarios (Huechuraba)'!$E:$E,MATCH($B611,'Pliegos Tarifarios (Huechuraba)'!$A:$A,0))</f>
        <v>20312.360639999999</v>
      </c>
      <c r="Q611" s="19" cm="1">
        <f t="array" ref="Q611">H611*_xlfn.IFS(H611&lt;=350,INDEX('Pliegos Tarifarios (Huechuraba)'!$F:$F,MATCH($B611,'Pliegos Tarifarios (Huechuraba)'!$A:$A,0)),H611&lt;=500,INDEX('Pliegos Tarifarios (Huechuraba)'!$G:$G,MATCH($B611,'Pliegos Tarifarios (Huechuraba)'!$A:$A,0)),H611&lt;=1000,INDEX('Pliegos Tarifarios (Huechuraba)'!$H:$H,MATCH($B611,'Pliegos Tarifarios (Huechuraba)'!$A:$A,0)),H611&lt;=5000,INDEX('Pliegos Tarifarios (Huechuraba)'!$I:$I,MATCH($B611,'Pliegos Tarifarios (Huechuraba)'!$A:$A,0)),H611&gt;5000,INDEX('Pliegos Tarifarios (Huechuraba)'!$J:$J,MATCH($B611,'Pliegos Tarifarios (Huechuraba)'!$A:$A,0)))/1.19</f>
        <v>4773.1929579831931</v>
      </c>
      <c r="R611" s="19">
        <f>INDEX('Pliegos Tarifarios (Huechuraba)'!$K:$K,MATCH($B611,'Pliegos Tarifarios (Huechuraba)'!$A:$A,0))</f>
        <v>733.35299999999995</v>
      </c>
      <c r="S611" s="36">
        <f t="shared" si="27"/>
        <v>303935.75247798319</v>
      </c>
      <c r="T611" s="36">
        <f t="shared" si="28"/>
        <v>57747.792970816809</v>
      </c>
      <c r="U611" s="19">
        <v>0</v>
      </c>
      <c r="V611" s="36">
        <f t="shared" si="29"/>
        <v>361683.54544879997</v>
      </c>
    </row>
    <row r="612" spans="1:22" ht="23.4" thickBot="1" x14ac:dyDescent="0.35">
      <c r="A612" s="30" t="s">
        <v>154</v>
      </c>
      <c r="B612" s="31">
        <v>12</v>
      </c>
      <c r="C612" s="32" t="s">
        <v>15</v>
      </c>
      <c r="D612" s="31" t="s">
        <v>78</v>
      </c>
      <c r="E612" s="31" t="s">
        <v>76</v>
      </c>
      <c r="F612" s="32" t="s">
        <v>79</v>
      </c>
      <c r="G612" s="31" t="s">
        <v>19</v>
      </c>
      <c r="H612" s="33">
        <v>1169.1400000000001</v>
      </c>
      <c r="I612" s="31">
        <v>3.04</v>
      </c>
      <c r="J612" s="31">
        <v>3.04</v>
      </c>
      <c r="K612" s="34">
        <v>1</v>
      </c>
      <c r="L612" s="31">
        <v>37.71</v>
      </c>
      <c r="M612" s="19">
        <f>H612*INDEX('Pliegos Tarifarios (Huechuraba)'!$B:$B,MATCH($B612,'Pliegos Tarifarios (Huechuraba)'!$A:$A,0))</f>
        <v>154049.39382000003</v>
      </c>
      <c r="N612" s="19">
        <f>I612*INDEX('Pliegos Tarifarios (Huechuraba)'!$C:$C,MATCH($B612,'Pliegos Tarifarios (Huechuraba)'!$A:$A,0))</f>
        <v>10533.54832</v>
      </c>
      <c r="O612" s="19">
        <f>J612*INDEX('Pliegos Tarifarios (Huechuraba)'!$D:$D,MATCH($B612,'Pliegos Tarifarios (Huechuraba)'!$A:$A,0))</f>
        <v>44198.100960000003</v>
      </c>
      <c r="P612" s="19">
        <f>H612*INDEX('Pliegos Tarifarios (Huechuraba)'!$E:$E,MATCH($B612,'Pliegos Tarifarios (Huechuraba)'!$A:$A,0))</f>
        <v>15226.879360000001</v>
      </c>
      <c r="Q612" s="19" cm="1">
        <f t="array" ref="Q612">H612*_xlfn.IFS(H612&lt;=350,INDEX('Pliegos Tarifarios (Huechuraba)'!$F:$F,MATCH($B612,'Pliegos Tarifarios (Huechuraba)'!$A:$A,0)),H612&lt;=500,INDEX('Pliegos Tarifarios (Huechuraba)'!$G:$G,MATCH($B612,'Pliegos Tarifarios (Huechuraba)'!$A:$A,0)),H612&lt;=1000,INDEX('Pliegos Tarifarios (Huechuraba)'!$H:$H,MATCH($B612,'Pliegos Tarifarios (Huechuraba)'!$A:$A,0)),H612&lt;=5000,INDEX('Pliegos Tarifarios (Huechuraba)'!$I:$I,MATCH($B612,'Pliegos Tarifarios (Huechuraba)'!$A:$A,0)),H612&gt;5000,INDEX('Pliegos Tarifarios (Huechuraba)'!$J:$J,MATCH($B612,'Pliegos Tarifarios (Huechuraba)'!$A:$A,0)))/1.19</f>
        <v>3578.1578823529412</v>
      </c>
      <c r="R612" s="19">
        <f>INDEX('Pliegos Tarifarios (Huechuraba)'!$K:$K,MATCH($B612,'Pliegos Tarifarios (Huechuraba)'!$A:$A,0))</f>
        <v>733.35299999999995</v>
      </c>
      <c r="S612" s="36">
        <f t="shared" si="27"/>
        <v>228319.43334235298</v>
      </c>
      <c r="T612" s="36">
        <f t="shared" si="28"/>
        <v>43380.692335047068</v>
      </c>
      <c r="U612" s="19">
        <v>0</v>
      </c>
      <c r="V612" s="36">
        <f t="shared" si="29"/>
        <v>271700.12567740004</v>
      </c>
    </row>
    <row r="613" spans="1:22" ht="23.4" thickBot="1" x14ac:dyDescent="0.35">
      <c r="A613" s="30" t="s">
        <v>154</v>
      </c>
      <c r="B613" s="31">
        <v>12</v>
      </c>
      <c r="C613" s="32" t="s">
        <v>15</v>
      </c>
      <c r="D613" s="31" t="s">
        <v>80</v>
      </c>
      <c r="E613" s="31" t="s">
        <v>81</v>
      </c>
      <c r="F613" s="32" t="s">
        <v>82</v>
      </c>
      <c r="G613" s="31" t="s">
        <v>19</v>
      </c>
      <c r="H613" s="31">
        <v>972.48</v>
      </c>
      <c r="I613" s="31">
        <v>2.54</v>
      </c>
      <c r="J613" s="31">
        <v>2.54</v>
      </c>
      <c r="K613" s="34">
        <v>1</v>
      </c>
      <c r="L613" s="31">
        <v>31.37</v>
      </c>
      <c r="M613" s="19">
        <f>H613*INDEX('Pliegos Tarifarios (Huechuraba)'!$B:$B,MATCH($B613,'Pliegos Tarifarios (Huechuraba)'!$A:$A,0))</f>
        <v>128136.88224000001</v>
      </c>
      <c r="N613" s="19">
        <f>I613*INDEX('Pliegos Tarifarios (Huechuraba)'!$C:$C,MATCH($B613,'Pliegos Tarifarios (Huechuraba)'!$A:$A,0))</f>
        <v>8801.0568199999998</v>
      </c>
      <c r="O613" s="19">
        <f>J613*INDEX('Pliegos Tarifarios (Huechuraba)'!$D:$D,MATCH($B613,'Pliegos Tarifarios (Huechuraba)'!$A:$A,0))</f>
        <v>36928.676460000002</v>
      </c>
      <c r="P613" s="19">
        <f>H613*INDEX('Pliegos Tarifarios (Huechuraba)'!$E:$E,MATCH($B613,'Pliegos Tarifarios (Huechuraba)'!$A:$A,0))</f>
        <v>12665.579519999999</v>
      </c>
      <c r="Q613" s="19" cm="1">
        <f t="array" ref="Q613">H613*_xlfn.IFS(H613&lt;=350,INDEX('Pliegos Tarifarios (Huechuraba)'!$F:$F,MATCH($B613,'Pliegos Tarifarios (Huechuraba)'!$A:$A,0)),H613&lt;=500,INDEX('Pliegos Tarifarios (Huechuraba)'!$G:$G,MATCH($B613,'Pliegos Tarifarios (Huechuraba)'!$A:$A,0)),H613&lt;=1000,INDEX('Pliegos Tarifarios (Huechuraba)'!$H:$H,MATCH($B613,'Pliegos Tarifarios (Huechuraba)'!$A:$A,0)),H613&lt;=5000,INDEX('Pliegos Tarifarios (Huechuraba)'!$I:$I,MATCH($B613,'Pliegos Tarifarios (Huechuraba)'!$A:$A,0)),H613&gt;5000,INDEX('Pliegos Tarifarios (Huechuraba)'!$J:$J,MATCH($B613,'Pliegos Tarifarios (Huechuraba)'!$A:$A,0)))/1.19</f>
        <v>2338.8552605042019</v>
      </c>
      <c r="R613" s="19">
        <f>INDEX('Pliegos Tarifarios (Huechuraba)'!$K:$K,MATCH($B613,'Pliegos Tarifarios (Huechuraba)'!$A:$A,0))</f>
        <v>733.35299999999995</v>
      </c>
      <c r="S613" s="36">
        <f t="shared" si="27"/>
        <v>189604.4033005042</v>
      </c>
      <c r="T613" s="36">
        <f t="shared" si="28"/>
        <v>36024.836627095799</v>
      </c>
      <c r="U613" s="19">
        <v>0</v>
      </c>
      <c r="V613" s="36">
        <f t="shared" si="29"/>
        <v>225629.23992759999</v>
      </c>
    </row>
    <row r="614" spans="1:22" ht="23.4" thickBot="1" x14ac:dyDescent="0.35">
      <c r="A614" s="30" t="s">
        <v>154</v>
      </c>
      <c r="B614" s="31">
        <v>12</v>
      </c>
      <c r="C614" s="32" t="s">
        <v>15</v>
      </c>
      <c r="D614" s="31" t="s">
        <v>83</v>
      </c>
      <c r="E614" s="31" t="s">
        <v>81</v>
      </c>
      <c r="F614" s="32" t="s">
        <v>84</v>
      </c>
      <c r="G614" s="31" t="s">
        <v>19</v>
      </c>
      <c r="H614" s="31">
        <v>649.76</v>
      </c>
      <c r="I614" s="31">
        <v>1.71</v>
      </c>
      <c r="J614" s="31">
        <v>1.68</v>
      </c>
      <c r="K614" s="34">
        <v>0.98599999999999999</v>
      </c>
      <c r="L614" s="31">
        <v>20.96</v>
      </c>
      <c r="M614" s="19">
        <f>H614*INDEX('Pliegos Tarifarios (Huechuraba)'!$B:$B,MATCH($B614,'Pliegos Tarifarios (Huechuraba)'!$A:$A,0))</f>
        <v>85614.326880000008</v>
      </c>
      <c r="N614" s="19">
        <f>I614*INDEX('Pliegos Tarifarios (Huechuraba)'!$C:$C,MATCH($B614,'Pliegos Tarifarios (Huechuraba)'!$A:$A,0))</f>
        <v>5925.12093</v>
      </c>
      <c r="O614" s="19">
        <f>J614*INDEX('Pliegos Tarifarios (Huechuraba)'!$D:$D,MATCH($B614,'Pliegos Tarifarios (Huechuraba)'!$A:$A,0))</f>
        <v>24425.266319999999</v>
      </c>
      <c r="P614" s="19">
        <f>H614*INDEX('Pliegos Tarifarios (Huechuraba)'!$E:$E,MATCH($B614,'Pliegos Tarifarios (Huechuraba)'!$A:$A,0))</f>
        <v>8462.4742399999996</v>
      </c>
      <c r="Q614" s="19" cm="1">
        <f t="array" ref="Q614">H614*_xlfn.IFS(H614&lt;=350,INDEX('Pliegos Tarifarios (Huechuraba)'!$F:$F,MATCH($B614,'Pliegos Tarifarios (Huechuraba)'!$A:$A,0)),H614&lt;=500,INDEX('Pliegos Tarifarios (Huechuraba)'!$G:$G,MATCH($B614,'Pliegos Tarifarios (Huechuraba)'!$A:$A,0)),H614&lt;=1000,INDEX('Pliegos Tarifarios (Huechuraba)'!$H:$H,MATCH($B614,'Pliegos Tarifarios (Huechuraba)'!$A:$A,0)),H614&lt;=5000,INDEX('Pliegos Tarifarios (Huechuraba)'!$I:$I,MATCH($B614,'Pliegos Tarifarios (Huechuraba)'!$A:$A,0)),H614&gt;5000,INDEX('Pliegos Tarifarios (Huechuraba)'!$J:$J,MATCH($B614,'Pliegos Tarifarios (Huechuraba)'!$A:$A,0)))/1.19</f>
        <v>1562.7001008403363</v>
      </c>
      <c r="R614" s="19">
        <f>INDEX('Pliegos Tarifarios (Huechuraba)'!$K:$K,MATCH($B614,'Pliegos Tarifarios (Huechuraba)'!$A:$A,0))</f>
        <v>733.35299999999995</v>
      </c>
      <c r="S614" s="36">
        <f t="shared" si="27"/>
        <v>126723.24147084034</v>
      </c>
      <c r="T614" s="36">
        <f t="shared" si="28"/>
        <v>24077.415879459666</v>
      </c>
      <c r="U614" s="19">
        <v>0</v>
      </c>
      <c r="V614" s="36">
        <f t="shared" si="29"/>
        <v>150800.6573503</v>
      </c>
    </row>
    <row r="615" spans="1:22" ht="23.4" thickBot="1" x14ac:dyDescent="0.35">
      <c r="A615" s="30" t="s">
        <v>154</v>
      </c>
      <c r="B615" s="31">
        <v>12</v>
      </c>
      <c r="C615" s="32" t="s">
        <v>15</v>
      </c>
      <c r="D615" s="31" t="s">
        <v>85</v>
      </c>
      <c r="E615" s="31" t="s">
        <v>81</v>
      </c>
      <c r="F615" s="32" t="s">
        <v>86</v>
      </c>
      <c r="G615" s="31" t="s">
        <v>19</v>
      </c>
      <c r="H615" s="31">
        <v>780.58</v>
      </c>
      <c r="I615" s="31">
        <v>2.04</v>
      </c>
      <c r="J615" s="31">
        <v>2.02</v>
      </c>
      <c r="K615" s="34">
        <v>0.99099999999999999</v>
      </c>
      <c r="L615" s="31">
        <v>25.18</v>
      </c>
      <c r="M615" s="19">
        <f>H615*INDEX('Pliegos Tarifarios (Huechuraba)'!$B:$B,MATCH($B615,'Pliegos Tarifarios (Huechuraba)'!$A:$A,0))</f>
        <v>102851.56254000001</v>
      </c>
      <c r="N615" s="19">
        <f>I615*INDEX('Pliegos Tarifarios (Huechuraba)'!$C:$C,MATCH($B615,'Pliegos Tarifarios (Huechuraba)'!$A:$A,0))</f>
        <v>7068.5653200000006</v>
      </c>
      <c r="O615" s="19">
        <f>J615*INDEX('Pliegos Tarifarios (Huechuraba)'!$D:$D,MATCH($B615,'Pliegos Tarifarios (Huechuraba)'!$A:$A,0))</f>
        <v>29368.474979999999</v>
      </c>
      <c r="P615" s="19">
        <f>H615*INDEX('Pliegos Tarifarios (Huechuraba)'!$E:$E,MATCH($B615,'Pliegos Tarifarios (Huechuraba)'!$A:$A,0))</f>
        <v>10166.27392</v>
      </c>
      <c r="Q615" s="19" cm="1">
        <f t="array" ref="Q615">H615*_xlfn.IFS(H615&lt;=350,INDEX('Pliegos Tarifarios (Huechuraba)'!$F:$F,MATCH($B615,'Pliegos Tarifarios (Huechuraba)'!$A:$A,0)),H615&lt;=500,INDEX('Pliegos Tarifarios (Huechuraba)'!$G:$G,MATCH($B615,'Pliegos Tarifarios (Huechuraba)'!$A:$A,0)),H615&lt;=1000,INDEX('Pliegos Tarifarios (Huechuraba)'!$H:$H,MATCH($B615,'Pliegos Tarifarios (Huechuraba)'!$A:$A,0)),H615&lt;=5000,INDEX('Pliegos Tarifarios (Huechuraba)'!$I:$I,MATCH($B615,'Pliegos Tarifarios (Huechuraba)'!$A:$A,0)),H615&gt;5000,INDEX('Pliegos Tarifarios (Huechuraba)'!$J:$J,MATCH($B615,'Pliegos Tarifarios (Huechuraba)'!$A:$A,0)))/1.19</f>
        <v>1877.3276974789917</v>
      </c>
      <c r="R615" s="19">
        <f>INDEX('Pliegos Tarifarios (Huechuraba)'!$K:$K,MATCH($B615,'Pliegos Tarifarios (Huechuraba)'!$A:$A,0))</f>
        <v>733.35299999999995</v>
      </c>
      <c r="S615" s="36">
        <f t="shared" si="27"/>
        <v>152065.55745747901</v>
      </c>
      <c r="T615" s="36">
        <f t="shared" si="28"/>
        <v>28892.455916921012</v>
      </c>
      <c r="U615" s="19">
        <v>0</v>
      </c>
      <c r="V615" s="36">
        <f t="shared" si="29"/>
        <v>180958.01337440003</v>
      </c>
    </row>
    <row r="616" spans="1:22" ht="23.4" thickBot="1" x14ac:dyDescent="0.35">
      <c r="A616" s="30" t="s">
        <v>154</v>
      </c>
      <c r="B616" s="31">
        <v>12</v>
      </c>
      <c r="C616" s="32" t="s">
        <v>15</v>
      </c>
      <c r="D616" s="31" t="s">
        <v>87</v>
      </c>
      <c r="E616" s="31" t="s">
        <v>81</v>
      </c>
      <c r="F616" s="32" t="s">
        <v>88</v>
      </c>
      <c r="G616" s="31" t="s">
        <v>19</v>
      </c>
      <c r="H616" s="31">
        <v>780.04</v>
      </c>
      <c r="I616" s="31">
        <v>2.0299999999999998</v>
      </c>
      <c r="J616" s="31">
        <v>2.0099999999999998</v>
      </c>
      <c r="K616" s="34">
        <v>0.99</v>
      </c>
      <c r="L616" s="31">
        <v>25.16</v>
      </c>
      <c r="M616" s="19">
        <f>H616*INDEX('Pliegos Tarifarios (Huechuraba)'!$B:$B,MATCH($B616,'Pliegos Tarifarios (Huechuraba)'!$A:$A,0))</f>
        <v>102780.41052</v>
      </c>
      <c r="N616" s="19">
        <f>I616*INDEX('Pliegos Tarifarios (Huechuraba)'!$C:$C,MATCH($B616,'Pliegos Tarifarios (Huechuraba)'!$A:$A,0))</f>
        <v>7033.9154899999994</v>
      </c>
      <c r="O616" s="19">
        <f>J616*INDEX('Pliegos Tarifarios (Huechuraba)'!$D:$D,MATCH($B616,'Pliegos Tarifarios (Huechuraba)'!$A:$A,0))</f>
        <v>29223.086489999998</v>
      </c>
      <c r="P616" s="19">
        <f>H616*INDEX('Pliegos Tarifarios (Huechuraba)'!$E:$E,MATCH($B616,'Pliegos Tarifarios (Huechuraba)'!$A:$A,0))</f>
        <v>10159.240959999999</v>
      </c>
      <c r="Q616" s="19" cm="1">
        <f t="array" ref="Q616">H616*_xlfn.IFS(H616&lt;=350,INDEX('Pliegos Tarifarios (Huechuraba)'!$F:$F,MATCH($B616,'Pliegos Tarifarios (Huechuraba)'!$A:$A,0)),H616&lt;=500,INDEX('Pliegos Tarifarios (Huechuraba)'!$G:$G,MATCH($B616,'Pliegos Tarifarios (Huechuraba)'!$A:$A,0)),H616&lt;=1000,INDEX('Pliegos Tarifarios (Huechuraba)'!$H:$H,MATCH($B616,'Pliegos Tarifarios (Huechuraba)'!$A:$A,0)),H616&lt;=5000,INDEX('Pliegos Tarifarios (Huechuraba)'!$I:$I,MATCH($B616,'Pliegos Tarifarios (Huechuraba)'!$A:$A,0)),H616&gt;5000,INDEX('Pliegos Tarifarios (Huechuraba)'!$J:$J,MATCH($B616,'Pliegos Tarifarios (Huechuraba)'!$A:$A,0)))/1.19</f>
        <v>1876.028974789916</v>
      </c>
      <c r="R616" s="19">
        <f>INDEX('Pliegos Tarifarios (Huechuraba)'!$K:$K,MATCH($B616,'Pliegos Tarifarios (Huechuraba)'!$A:$A,0))</f>
        <v>733.35299999999995</v>
      </c>
      <c r="S616" s="36">
        <f t="shared" si="27"/>
        <v>151806.03543478993</v>
      </c>
      <c r="T616" s="36">
        <f t="shared" si="28"/>
        <v>28843.146732610086</v>
      </c>
      <c r="U616" s="19">
        <v>0</v>
      </c>
      <c r="V616" s="36">
        <f t="shared" si="29"/>
        <v>180649.18216740002</v>
      </c>
    </row>
    <row r="617" spans="1:22" ht="23.4" thickBot="1" x14ac:dyDescent="0.35">
      <c r="A617" s="30" t="s">
        <v>154</v>
      </c>
      <c r="B617" s="31">
        <v>12</v>
      </c>
      <c r="C617" s="32" t="s">
        <v>15</v>
      </c>
      <c r="D617" s="31" t="s">
        <v>89</v>
      </c>
      <c r="E617" s="31" t="s">
        <v>81</v>
      </c>
      <c r="F617" s="32" t="s">
        <v>90</v>
      </c>
      <c r="G617" s="31" t="s">
        <v>19</v>
      </c>
      <c r="H617" s="31">
        <v>778.69</v>
      </c>
      <c r="I617" s="31">
        <v>2.0299999999999998</v>
      </c>
      <c r="J617" s="31">
        <v>2.0099999999999998</v>
      </c>
      <c r="K617" s="34">
        <v>0.98599999999999999</v>
      </c>
      <c r="L617" s="31">
        <v>25.12</v>
      </c>
      <c r="M617" s="19">
        <f>H617*INDEX('Pliegos Tarifarios (Huechuraba)'!$B:$B,MATCH($B617,'Pliegos Tarifarios (Huechuraba)'!$A:$A,0))</f>
        <v>102602.53047000001</v>
      </c>
      <c r="N617" s="19">
        <f>I617*INDEX('Pliegos Tarifarios (Huechuraba)'!$C:$C,MATCH($B617,'Pliegos Tarifarios (Huechuraba)'!$A:$A,0))</f>
        <v>7033.9154899999994</v>
      </c>
      <c r="O617" s="19">
        <f>J617*INDEX('Pliegos Tarifarios (Huechuraba)'!$D:$D,MATCH($B617,'Pliegos Tarifarios (Huechuraba)'!$A:$A,0))</f>
        <v>29223.086489999998</v>
      </c>
      <c r="P617" s="19">
        <f>H617*INDEX('Pliegos Tarifarios (Huechuraba)'!$E:$E,MATCH($B617,'Pliegos Tarifarios (Huechuraba)'!$A:$A,0))</f>
        <v>10141.65856</v>
      </c>
      <c r="Q617" s="19" cm="1">
        <f t="array" ref="Q617">H617*_xlfn.IFS(H617&lt;=350,INDEX('Pliegos Tarifarios (Huechuraba)'!$F:$F,MATCH($B617,'Pliegos Tarifarios (Huechuraba)'!$A:$A,0)),H617&lt;=500,INDEX('Pliegos Tarifarios (Huechuraba)'!$G:$G,MATCH($B617,'Pliegos Tarifarios (Huechuraba)'!$A:$A,0)),H617&lt;=1000,INDEX('Pliegos Tarifarios (Huechuraba)'!$H:$H,MATCH($B617,'Pliegos Tarifarios (Huechuraba)'!$A:$A,0)),H617&lt;=5000,INDEX('Pliegos Tarifarios (Huechuraba)'!$I:$I,MATCH($B617,'Pliegos Tarifarios (Huechuraba)'!$A:$A,0)),H617&gt;5000,INDEX('Pliegos Tarifarios (Huechuraba)'!$J:$J,MATCH($B617,'Pliegos Tarifarios (Huechuraba)'!$A:$A,0)))/1.19</f>
        <v>1872.7821680672273</v>
      </c>
      <c r="R617" s="19">
        <f>INDEX('Pliegos Tarifarios (Huechuraba)'!$K:$K,MATCH($B617,'Pliegos Tarifarios (Huechuraba)'!$A:$A,0))</f>
        <v>733.35299999999995</v>
      </c>
      <c r="S617" s="36">
        <f t="shared" si="27"/>
        <v>151607.32617806725</v>
      </c>
      <c r="T617" s="36">
        <f t="shared" si="28"/>
        <v>28805.391973832779</v>
      </c>
      <c r="U617" s="19">
        <v>0</v>
      </c>
      <c r="V617" s="36">
        <f t="shared" si="29"/>
        <v>180412.71815190002</v>
      </c>
    </row>
    <row r="618" spans="1:22" ht="23.4" thickBot="1" x14ac:dyDescent="0.35">
      <c r="A618" s="30" t="s">
        <v>154</v>
      </c>
      <c r="B618" s="31">
        <v>12</v>
      </c>
      <c r="C618" s="32" t="s">
        <v>15</v>
      </c>
      <c r="D618" s="31" t="s">
        <v>91</v>
      </c>
      <c r="E618" s="31" t="s">
        <v>81</v>
      </c>
      <c r="F618" s="32" t="s">
        <v>92</v>
      </c>
      <c r="G618" s="31" t="s">
        <v>19</v>
      </c>
      <c r="H618" s="31">
        <v>973.78</v>
      </c>
      <c r="I618" s="31">
        <v>2.57</v>
      </c>
      <c r="J618" s="31">
        <v>2.57</v>
      </c>
      <c r="K618" s="34">
        <v>1</v>
      </c>
      <c r="L618" s="31">
        <v>31.41</v>
      </c>
      <c r="M618" s="19">
        <f>H618*INDEX('Pliegos Tarifarios (Huechuraba)'!$B:$B,MATCH($B618,'Pliegos Tarifarios (Huechuraba)'!$A:$A,0))</f>
        <v>128308.17414</v>
      </c>
      <c r="N618" s="19">
        <f>I618*INDEX('Pliegos Tarifarios (Huechuraba)'!$C:$C,MATCH($B618,'Pliegos Tarifarios (Huechuraba)'!$A:$A,0))</f>
        <v>8905.0063100000007</v>
      </c>
      <c r="O618" s="19">
        <f>J618*INDEX('Pliegos Tarifarios (Huechuraba)'!$D:$D,MATCH($B618,'Pliegos Tarifarios (Huechuraba)'!$A:$A,0))</f>
        <v>37364.841929999995</v>
      </c>
      <c r="P618" s="19">
        <f>H618*INDEX('Pliegos Tarifarios (Huechuraba)'!$E:$E,MATCH($B618,'Pliegos Tarifarios (Huechuraba)'!$A:$A,0))</f>
        <v>12682.510719999998</v>
      </c>
      <c r="Q618" s="19" cm="1">
        <f t="array" ref="Q618">H618*_xlfn.IFS(H618&lt;=350,INDEX('Pliegos Tarifarios (Huechuraba)'!$F:$F,MATCH($B618,'Pliegos Tarifarios (Huechuraba)'!$A:$A,0)),H618&lt;=500,INDEX('Pliegos Tarifarios (Huechuraba)'!$G:$G,MATCH($B618,'Pliegos Tarifarios (Huechuraba)'!$A:$A,0)),H618&lt;=1000,INDEX('Pliegos Tarifarios (Huechuraba)'!$H:$H,MATCH($B618,'Pliegos Tarifarios (Huechuraba)'!$A:$A,0)),H618&lt;=5000,INDEX('Pliegos Tarifarios (Huechuraba)'!$I:$I,MATCH($B618,'Pliegos Tarifarios (Huechuraba)'!$A:$A,0)),H618&gt;5000,INDEX('Pliegos Tarifarios (Huechuraba)'!$J:$J,MATCH($B618,'Pliegos Tarifarios (Huechuraba)'!$A:$A,0)))/1.19</f>
        <v>2341.9818151260506</v>
      </c>
      <c r="R618" s="19">
        <f>INDEX('Pliegos Tarifarios (Huechuraba)'!$K:$K,MATCH($B618,'Pliegos Tarifarios (Huechuraba)'!$A:$A,0))</f>
        <v>733.35299999999995</v>
      </c>
      <c r="S618" s="36">
        <f t="shared" si="27"/>
        <v>190335.86791512606</v>
      </c>
      <c r="T618" s="36">
        <f t="shared" si="28"/>
        <v>36163.81490387395</v>
      </c>
      <c r="U618" s="19">
        <v>0</v>
      </c>
      <c r="V618" s="36">
        <f t="shared" si="29"/>
        <v>226499.68281900001</v>
      </c>
    </row>
    <row r="619" spans="1:22" ht="23.4" thickBot="1" x14ac:dyDescent="0.35">
      <c r="A619" s="30" t="s">
        <v>154</v>
      </c>
      <c r="B619" s="31">
        <v>12</v>
      </c>
      <c r="C619" s="32" t="s">
        <v>15</v>
      </c>
      <c r="D619" s="31" t="s">
        <v>93</v>
      </c>
      <c r="E619" s="31" t="s">
        <v>94</v>
      </c>
      <c r="F619" s="32" t="s">
        <v>95</v>
      </c>
      <c r="G619" s="31" t="s">
        <v>19</v>
      </c>
      <c r="H619" s="31">
        <v>780.19</v>
      </c>
      <c r="I619" s="31">
        <v>2.04</v>
      </c>
      <c r="J619" s="31">
        <v>2.0099999999999998</v>
      </c>
      <c r="K619" s="34">
        <v>0.98799999999999999</v>
      </c>
      <c r="L619" s="31">
        <v>25.17</v>
      </c>
      <c r="M619" s="19">
        <f>H619*INDEX('Pliegos Tarifarios (Huechuraba)'!$B:$B,MATCH($B619,'Pliegos Tarifarios (Huechuraba)'!$A:$A,0))</f>
        <v>102800.17497000001</v>
      </c>
      <c r="N619" s="19">
        <f>I619*INDEX('Pliegos Tarifarios (Huechuraba)'!$C:$C,MATCH($B619,'Pliegos Tarifarios (Huechuraba)'!$A:$A,0))</f>
        <v>7068.5653200000006</v>
      </c>
      <c r="O619" s="19">
        <f>J619*INDEX('Pliegos Tarifarios (Huechuraba)'!$D:$D,MATCH($B619,'Pliegos Tarifarios (Huechuraba)'!$A:$A,0))</f>
        <v>29223.086489999998</v>
      </c>
      <c r="P619" s="19">
        <f>H619*INDEX('Pliegos Tarifarios (Huechuraba)'!$E:$E,MATCH($B619,'Pliegos Tarifarios (Huechuraba)'!$A:$A,0))</f>
        <v>10161.19456</v>
      </c>
      <c r="Q619" s="19" cm="1">
        <f t="array" ref="Q619">H619*_xlfn.IFS(H619&lt;=350,INDEX('Pliegos Tarifarios (Huechuraba)'!$F:$F,MATCH($B619,'Pliegos Tarifarios (Huechuraba)'!$A:$A,0)),H619&lt;=500,INDEX('Pliegos Tarifarios (Huechuraba)'!$G:$G,MATCH($B619,'Pliegos Tarifarios (Huechuraba)'!$A:$A,0)),H619&lt;=1000,INDEX('Pliegos Tarifarios (Huechuraba)'!$H:$H,MATCH($B619,'Pliegos Tarifarios (Huechuraba)'!$A:$A,0)),H619&lt;=5000,INDEX('Pliegos Tarifarios (Huechuraba)'!$I:$I,MATCH($B619,'Pliegos Tarifarios (Huechuraba)'!$A:$A,0)),H619&gt;5000,INDEX('Pliegos Tarifarios (Huechuraba)'!$J:$J,MATCH($B619,'Pliegos Tarifarios (Huechuraba)'!$A:$A,0)))/1.19</f>
        <v>1876.3897310924372</v>
      </c>
      <c r="R619" s="19">
        <f>INDEX('Pliegos Tarifarios (Huechuraba)'!$K:$K,MATCH($B619,'Pliegos Tarifarios (Huechuraba)'!$A:$A,0))</f>
        <v>733.35299999999995</v>
      </c>
      <c r="S619" s="36">
        <f t="shared" si="27"/>
        <v>151862.76407109245</v>
      </c>
      <c r="T619" s="36">
        <f t="shared" si="28"/>
        <v>28853.925173507567</v>
      </c>
      <c r="U619" s="19">
        <v>0</v>
      </c>
      <c r="V619" s="36">
        <f t="shared" si="29"/>
        <v>180716.68924460001</v>
      </c>
    </row>
    <row r="620" spans="1:22" ht="23.4" thickBot="1" x14ac:dyDescent="0.35">
      <c r="A620" s="30" t="s">
        <v>154</v>
      </c>
      <c r="B620" s="31">
        <v>12</v>
      </c>
      <c r="C620" s="32" t="s">
        <v>15</v>
      </c>
      <c r="D620" s="31" t="s">
        <v>96</v>
      </c>
      <c r="E620" s="31" t="s">
        <v>97</v>
      </c>
      <c r="F620" s="32" t="s">
        <v>98</v>
      </c>
      <c r="G620" s="31" t="s">
        <v>19</v>
      </c>
      <c r="H620" s="33">
        <v>1170.18</v>
      </c>
      <c r="I620" s="31">
        <v>3.03</v>
      </c>
      <c r="J620" s="31">
        <v>3</v>
      </c>
      <c r="K620" s="34">
        <v>0.99</v>
      </c>
      <c r="L620" s="31">
        <v>37.75</v>
      </c>
      <c r="M620" s="19">
        <f>H620*INDEX('Pliegos Tarifarios (Huechuraba)'!$B:$B,MATCH($B620,'Pliegos Tarifarios (Huechuraba)'!$A:$A,0))</f>
        <v>154186.42734000002</v>
      </c>
      <c r="N620" s="19">
        <f>I620*INDEX('Pliegos Tarifarios (Huechuraba)'!$C:$C,MATCH($B620,'Pliegos Tarifarios (Huechuraba)'!$A:$A,0))</f>
        <v>10498.89849</v>
      </c>
      <c r="O620" s="19">
        <f>J620*INDEX('Pliegos Tarifarios (Huechuraba)'!$D:$D,MATCH($B620,'Pliegos Tarifarios (Huechuraba)'!$A:$A,0))</f>
        <v>43616.546999999999</v>
      </c>
      <c r="P620" s="19">
        <f>H620*INDEX('Pliegos Tarifarios (Huechuraba)'!$E:$E,MATCH($B620,'Pliegos Tarifarios (Huechuraba)'!$A:$A,0))</f>
        <v>15240.42432</v>
      </c>
      <c r="Q620" s="19" cm="1">
        <f t="array" ref="Q620">H620*_xlfn.IFS(H620&lt;=350,INDEX('Pliegos Tarifarios (Huechuraba)'!$F:$F,MATCH($B620,'Pliegos Tarifarios (Huechuraba)'!$A:$A,0)),H620&lt;=500,INDEX('Pliegos Tarifarios (Huechuraba)'!$G:$G,MATCH($B620,'Pliegos Tarifarios (Huechuraba)'!$A:$A,0)),H620&lt;=1000,INDEX('Pliegos Tarifarios (Huechuraba)'!$H:$H,MATCH($B620,'Pliegos Tarifarios (Huechuraba)'!$A:$A,0)),H620&lt;=5000,INDEX('Pliegos Tarifarios (Huechuraba)'!$I:$I,MATCH($B620,'Pliegos Tarifarios (Huechuraba)'!$A:$A,0)),H620&gt;5000,INDEX('Pliegos Tarifarios (Huechuraba)'!$J:$J,MATCH($B620,'Pliegos Tarifarios (Huechuraba)'!$A:$A,0)))/1.19</f>
        <v>3581.3408067226896</v>
      </c>
      <c r="R620" s="19">
        <f>INDEX('Pliegos Tarifarios (Huechuraba)'!$K:$K,MATCH($B620,'Pliegos Tarifarios (Huechuraba)'!$A:$A,0))</f>
        <v>733.35299999999995</v>
      </c>
      <c r="S620" s="36">
        <f t="shared" si="27"/>
        <v>227856.9909567227</v>
      </c>
      <c r="T620" s="36">
        <f t="shared" si="28"/>
        <v>43292.828281777314</v>
      </c>
      <c r="U620" s="19">
        <v>0</v>
      </c>
      <c r="V620" s="36">
        <f t="shared" si="29"/>
        <v>271149.81923850003</v>
      </c>
    </row>
    <row r="621" spans="1:22" ht="23.4" thickBot="1" x14ac:dyDescent="0.35">
      <c r="A621" s="30" t="s">
        <v>154</v>
      </c>
      <c r="B621" s="31">
        <v>12</v>
      </c>
      <c r="C621" s="32" t="s">
        <v>15</v>
      </c>
      <c r="D621" s="31" t="s">
        <v>99</v>
      </c>
      <c r="E621" s="31" t="s">
        <v>94</v>
      </c>
      <c r="F621" s="32" t="s">
        <v>100</v>
      </c>
      <c r="G621" s="31" t="s">
        <v>19</v>
      </c>
      <c r="H621" s="33">
        <v>1167.77</v>
      </c>
      <c r="I621" s="31">
        <v>3.03</v>
      </c>
      <c r="J621" s="31">
        <v>2.99</v>
      </c>
      <c r="K621" s="34">
        <v>0.98899999999999999</v>
      </c>
      <c r="L621" s="31">
        <v>37.67</v>
      </c>
      <c r="M621" s="19">
        <f>H621*INDEX('Pliegos Tarifarios (Huechuraba)'!$B:$B,MATCH($B621,'Pliegos Tarifarios (Huechuraba)'!$A:$A,0))</f>
        <v>153868.87851000001</v>
      </c>
      <c r="N621" s="19">
        <f>I621*INDEX('Pliegos Tarifarios (Huechuraba)'!$C:$C,MATCH($B621,'Pliegos Tarifarios (Huechuraba)'!$A:$A,0))</f>
        <v>10498.89849</v>
      </c>
      <c r="O621" s="19">
        <f>J621*INDEX('Pliegos Tarifarios (Huechuraba)'!$D:$D,MATCH($B621,'Pliegos Tarifarios (Huechuraba)'!$A:$A,0))</f>
        <v>43471.158510000001</v>
      </c>
      <c r="P621" s="19">
        <f>H621*INDEX('Pliegos Tarifarios (Huechuraba)'!$E:$E,MATCH($B621,'Pliegos Tarifarios (Huechuraba)'!$A:$A,0))</f>
        <v>15209.036479999999</v>
      </c>
      <c r="Q621" s="19" cm="1">
        <f t="array" ref="Q621">H621*_xlfn.IFS(H621&lt;=350,INDEX('Pliegos Tarifarios (Huechuraba)'!$F:$F,MATCH($B621,'Pliegos Tarifarios (Huechuraba)'!$A:$A,0)),H621&lt;=500,INDEX('Pliegos Tarifarios (Huechuraba)'!$G:$G,MATCH($B621,'Pliegos Tarifarios (Huechuraba)'!$A:$A,0)),H621&lt;=1000,INDEX('Pliegos Tarifarios (Huechuraba)'!$H:$H,MATCH($B621,'Pliegos Tarifarios (Huechuraba)'!$A:$A,0)),H621&lt;=5000,INDEX('Pliegos Tarifarios (Huechuraba)'!$I:$I,MATCH($B621,'Pliegos Tarifarios (Huechuraba)'!$A:$A,0)),H621&gt;5000,INDEX('Pliegos Tarifarios (Huechuraba)'!$J:$J,MATCH($B621,'Pliegos Tarifarios (Huechuraba)'!$A:$A,0)))/1.19</f>
        <v>3573.9649915966384</v>
      </c>
      <c r="R621" s="19">
        <f>INDEX('Pliegos Tarifarios (Huechuraba)'!$K:$K,MATCH($B621,'Pliegos Tarifarios (Huechuraba)'!$A:$A,0))</f>
        <v>733.35299999999995</v>
      </c>
      <c r="S621" s="36">
        <f t="shared" si="27"/>
        <v>227355.28998159667</v>
      </c>
      <c r="T621" s="36">
        <f t="shared" si="28"/>
        <v>43197.505096503366</v>
      </c>
      <c r="U621" s="19">
        <v>0</v>
      </c>
      <c r="V621" s="36">
        <f t="shared" si="29"/>
        <v>270552.79507810005</v>
      </c>
    </row>
    <row r="622" spans="1:22" ht="23.4" thickBot="1" x14ac:dyDescent="0.35">
      <c r="A622" s="30" t="s">
        <v>154</v>
      </c>
      <c r="B622" s="31">
        <v>12</v>
      </c>
      <c r="C622" s="32" t="s">
        <v>15</v>
      </c>
      <c r="D622" s="31" t="s">
        <v>101</v>
      </c>
      <c r="E622" s="31" t="s">
        <v>102</v>
      </c>
      <c r="F622" s="32" t="s">
        <v>103</v>
      </c>
      <c r="G622" s="31" t="s">
        <v>19</v>
      </c>
      <c r="H622" s="33">
        <v>3122.35</v>
      </c>
      <c r="I622" s="31">
        <v>8.23</v>
      </c>
      <c r="J622" s="31">
        <v>8.23</v>
      </c>
      <c r="K622" s="34">
        <v>1</v>
      </c>
      <c r="L622" s="31">
        <v>100.72</v>
      </c>
      <c r="M622" s="19">
        <f>H622*INDEX('Pliegos Tarifarios (Huechuraba)'!$B:$B,MATCH($B622,'Pliegos Tarifarios (Huechuraba)'!$A:$A,0))</f>
        <v>411410.20305000001</v>
      </c>
      <c r="N622" s="19">
        <f>I622*INDEX('Pliegos Tarifarios (Huechuraba)'!$C:$C,MATCH($B622,'Pliegos Tarifarios (Huechuraba)'!$A:$A,0))</f>
        <v>28516.810090000003</v>
      </c>
      <c r="O622" s="19">
        <f>J622*INDEX('Pliegos Tarifarios (Huechuraba)'!$D:$D,MATCH($B622,'Pliegos Tarifarios (Huechuraba)'!$A:$A,0))</f>
        <v>119654.72727</v>
      </c>
      <c r="P622" s="19">
        <f>H622*INDEX('Pliegos Tarifarios (Huechuraba)'!$E:$E,MATCH($B622,'Pliegos Tarifarios (Huechuraba)'!$A:$A,0))</f>
        <v>40665.486399999994</v>
      </c>
      <c r="Q622" s="19" cm="1">
        <f t="array" ref="Q622">H622*_xlfn.IFS(H622&lt;=350,INDEX('Pliegos Tarifarios (Huechuraba)'!$F:$F,MATCH($B622,'Pliegos Tarifarios (Huechuraba)'!$A:$A,0)),H622&lt;=500,INDEX('Pliegos Tarifarios (Huechuraba)'!$G:$G,MATCH($B622,'Pliegos Tarifarios (Huechuraba)'!$A:$A,0)),H622&lt;=1000,INDEX('Pliegos Tarifarios (Huechuraba)'!$H:$H,MATCH($B622,'Pliegos Tarifarios (Huechuraba)'!$A:$A,0)),H622&lt;=5000,INDEX('Pliegos Tarifarios (Huechuraba)'!$I:$I,MATCH($B622,'Pliegos Tarifarios (Huechuraba)'!$A:$A,0)),H622&gt;5000,INDEX('Pliegos Tarifarios (Huechuraba)'!$J:$J,MATCH($B622,'Pliegos Tarifarios (Huechuraba)'!$A:$A,0)))/1.19</f>
        <v>9555.9652941176464</v>
      </c>
      <c r="R622" s="19">
        <f>INDEX('Pliegos Tarifarios (Huechuraba)'!$K:$K,MATCH($B622,'Pliegos Tarifarios (Huechuraba)'!$A:$A,0))</f>
        <v>733.35299999999995</v>
      </c>
      <c r="S622" s="36">
        <f t="shared" si="27"/>
        <v>610536.5451041176</v>
      </c>
      <c r="T622" s="36">
        <f t="shared" si="28"/>
        <v>116001.94356978235</v>
      </c>
      <c r="U622" s="19">
        <v>0</v>
      </c>
      <c r="V622" s="36">
        <f t="shared" si="29"/>
        <v>726538.4886738999</v>
      </c>
    </row>
    <row r="623" spans="1:22" ht="23.4" thickBot="1" x14ac:dyDescent="0.35">
      <c r="A623" s="30" t="s">
        <v>154</v>
      </c>
      <c r="B623" s="31">
        <v>12</v>
      </c>
      <c r="C623" s="32" t="s">
        <v>15</v>
      </c>
      <c r="D623" s="31" t="s">
        <v>104</v>
      </c>
      <c r="E623" s="31" t="s">
        <v>105</v>
      </c>
      <c r="F623" s="32" t="s">
        <v>106</v>
      </c>
      <c r="G623" s="31" t="s">
        <v>19</v>
      </c>
      <c r="H623" s="33">
        <v>2341.08</v>
      </c>
      <c r="I623" s="31">
        <v>6.06</v>
      </c>
      <c r="J623" s="31">
        <v>6.02</v>
      </c>
      <c r="K623" s="34">
        <v>0.995</v>
      </c>
      <c r="L623" s="31">
        <v>75.52</v>
      </c>
      <c r="M623" s="19">
        <f>H623*INDEX('Pliegos Tarifarios (Huechuraba)'!$B:$B,MATCH($B623,'Pliegos Tarifarios (Huechuraba)'!$A:$A,0))</f>
        <v>308467.72404</v>
      </c>
      <c r="N623" s="19">
        <f>I623*INDEX('Pliegos Tarifarios (Huechuraba)'!$C:$C,MATCH($B623,'Pliegos Tarifarios (Huechuraba)'!$A:$A,0))</f>
        <v>20997.796979999999</v>
      </c>
      <c r="O623" s="19">
        <f>J623*INDEX('Pliegos Tarifarios (Huechuraba)'!$D:$D,MATCH($B623,'Pliegos Tarifarios (Huechuraba)'!$A:$A,0))</f>
        <v>87523.870979999992</v>
      </c>
      <c r="P623" s="19">
        <f>H623*INDEX('Pliegos Tarifarios (Huechuraba)'!$E:$E,MATCH($B623,'Pliegos Tarifarios (Huechuraba)'!$A:$A,0))</f>
        <v>30490.225919999997</v>
      </c>
      <c r="Q623" s="19" cm="1">
        <f t="array" ref="Q623">H623*_xlfn.IFS(H623&lt;=350,INDEX('Pliegos Tarifarios (Huechuraba)'!$F:$F,MATCH($B623,'Pliegos Tarifarios (Huechuraba)'!$A:$A,0)),H623&lt;=500,INDEX('Pliegos Tarifarios (Huechuraba)'!$G:$G,MATCH($B623,'Pliegos Tarifarios (Huechuraba)'!$A:$A,0)),H623&lt;=1000,INDEX('Pliegos Tarifarios (Huechuraba)'!$H:$H,MATCH($B623,'Pliegos Tarifarios (Huechuraba)'!$A:$A,0)),H623&lt;=5000,INDEX('Pliegos Tarifarios (Huechuraba)'!$I:$I,MATCH($B623,'Pliegos Tarifarios (Huechuraba)'!$A:$A,0)),H623&gt;5000,INDEX('Pliegos Tarifarios (Huechuraba)'!$J:$J,MATCH($B623,'Pliegos Tarifarios (Huechuraba)'!$A:$A,0)))/1.19</f>
        <v>7164.8851764705887</v>
      </c>
      <c r="R623" s="19">
        <f>INDEX('Pliegos Tarifarios (Huechuraba)'!$K:$K,MATCH($B623,'Pliegos Tarifarios (Huechuraba)'!$A:$A,0))</f>
        <v>733.35299999999995</v>
      </c>
      <c r="S623" s="36">
        <f t="shared" si="27"/>
        <v>455377.85609647055</v>
      </c>
      <c r="T623" s="36">
        <f t="shared" si="28"/>
        <v>86521.792658329403</v>
      </c>
      <c r="U623" s="19">
        <v>0</v>
      </c>
      <c r="V623" s="36">
        <f t="shared" si="29"/>
        <v>541899.64875479997</v>
      </c>
    </row>
    <row r="624" spans="1:22" ht="23.4" thickBot="1" x14ac:dyDescent="0.35">
      <c r="A624" s="30" t="s">
        <v>154</v>
      </c>
      <c r="B624" s="31">
        <v>12</v>
      </c>
      <c r="C624" s="32" t="s">
        <v>15</v>
      </c>
      <c r="D624" s="31" t="s">
        <v>107</v>
      </c>
      <c r="E624" s="31" t="s">
        <v>108</v>
      </c>
      <c r="F624" s="32" t="s">
        <v>109</v>
      </c>
      <c r="G624" s="31" t="s">
        <v>33</v>
      </c>
      <c r="H624" s="31">
        <v>779.09</v>
      </c>
      <c r="I624" s="31">
        <v>2.0499999999999998</v>
      </c>
      <c r="J624" s="31">
        <v>2.02</v>
      </c>
      <c r="K624" s="34">
        <v>0.99</v>
      </c>
      <c r="L624" s="31">
        <v>25.13</v>
      </c>
      <c r="M624" s="19">
        <f>H624*INDEX('Pliegos Tarifarios (Huechuraba)'!$B:$B,MATCH($B624,'Pliegos Tarifarios (Huechuraba)'!$A:$A,0))</f>
        <v>102655.23567000001</v>
      </c>
      <c r="N624" s="19">
        <f>I624*INDEX('Pliegos Tarifarios (Huechuraba)'!$C:$C,MATCH($B624,'Pliegos Tarifarios (Huechuraba)'!$A:$A,0))</f>
        <v>7103.21515</v>
      </c>
      <c r="O624" s="19">
        <f>J624*INDEX('Pliegos Tarifarios (Huechuraba)'!$D:$D,MATCH($B624,'Pliegos Tarifarios (Huechuraba)'!$A:$A,0))</f>
        <v>29368.474979999999</v>
      </c>
      <c r="P624" s="19">
        <f>H624*INDEX('Pliegos Tarifarios (Huechuraba)'!$E:$E,MATCH($B624,'Pliegos Tarifarios (Huechuraba)'!$A:$A,0))</f>
        <v>10146.86816</v>
      </c>
      <c r="Q624" s="19" cm="1">
        <f t="array" ref="Q624">H624*_xlfn.IFS(H624&lt;=350,INDEX('Pliegos Tarifarios (Huechuraba)'!$F:$F,MATCH($B624,'Pliegos Tarifarios (Huechuraba)'!$A:$A,0)),H624&lt;=500,INDEX('Pliegos Tarifarios (Huechuraba)'!$G:$G,MATCH($B624,'Pliegos Tarifarios (Huechuraba)'!$A:$A,0)),H624&lt;=1000,INDEX('Pliegos Tarifarios (Huechuraba)'!$H:$H,MATCH($B624,'Pliegos Tarifarios (Huechuraba)'!$A:$A,0)),H624&lt;=5000,INDEX('Pliegos Tarifarios (Huechuraba)'!$I:$I,MATCH($B624,'Pliegos Tarifarios (Huechuraba)'!$A:$A,0)),H624&gt;5000,INDEX('Pliegos Tarifarios (Huechuraba)'!$J:$J,MATCH($B624,'Pliegos Tarifarios (Huechuraba)'!$A:$A,0)))/1.19</f>
        <v>1873.7441848739497</v>
      </c>
      <c r="R624" s="19">
        <f>INDEX('Pliegos Tarifarios (Huechuraba)'!$K:$K,MATCH($B624,'Pliegos Tarifarios (Huechuraba)'!$A:$A,0))</f>
        <v>733.35299999999995</v>
      </c>
      <c r="S624" s="36">
        <f t="shared" si="27"/>
        <v>151880.89114487398</v>
      </c>
      <c r="T624" s="36">
        <f t="shared" si="28"/>
        <v>28857.369317526056</v>
      </c>
      <c r="U624" s="19">
        <v>0</v>
      </c>
      <c r="V624" s="36">
        <f t="shared" si="29"/>
        <v>180738.26046240004</v>
      </c>
    </row>
    <row r="625" spans="1:22" ht="23.4" thickBot="1" x14ac:dyDescent="0.35">
      <c r="A625" s="30" t="s">
        <v>154</v>
      </c>
      <c r="B625" s="31">
        <v>12</v>
      </c>
      <c r="C625" s="32" t="s">
        <v>15</v>
      </c>
      <c r="D625" s="31" t="s">
        <v>110</v>
      </c>
      <c r="E625" s="31" t="s">
        <v>108</v>
      </c>
      <c r="F625" s="32" t="s">
        <v>111</v>
      </c>
      <c r="G625" s="31" t="s">
        <v>33</v>
      </c>
      <c r="H625" s="33">
        <v>1429.22</v>
      </c>
      <c r="I625" s="31">
        <v>3.75</v>
      </c>
      <c r="J625" s="31">
        <v>3.75</v>
      </c>
      <c r="K625" s="34">
        <v>1</v>
      </c>
      <c r="L625" s="31">
        <v>46.1</v>
      </c>
      <c r="M625" s="19">
        <f>H625*INDEX('Pliegos Tarifarios (Huechuraba)'!$B:$B,MATCH($B625,'Pliegos Tarifarios (Huechuraba)'!$A:$A,0))</f>
        <v>188318.31486000001</v>
      </c>
      <c r="N625" s="19">
        <f>I625*INDEX('Pliegos Tarifarios (Huechuraba)'!$C:$C,MATCH($B625,'Pliegos Tarifarios (Huechuraba)'!$A:$A,0))</f>
        <v>12993.686250000001</v>
      </c>
      <c r="O625" s="19">
        <f>J625*INDEX('Pliegos Tarifarios (Huechuraba)'!$D:$D,MATCH($B625,'Pliegos Tarifarios (Huechuraba)'!$A:$A,0))</f>
        <v>54520.683750000004</v>
      </c>
      <c r="P625" s="19">
        <f>H625*INDEX('Pliegos Tarifarios (Huechuraba)'!$E:$E,MATCH($B625,'Pliegos Tarifarios (Huechuraba)'!$A:$A,0))</f>
        <v>18614.16128</v>
      </c>
      <c r="Q625" s="19" cm="1">
        <f t="array" ref="Q625">H625*_xlfn.IFS(H625&lt;=350,INDEX('Pliegos Tarifarios (Huechuraba)'!$F:$F,MATCH($B625,'Pliegos Tarifarios (Huechuraba)'!$A:$A,0)),H625&lt;=500,INDEX('Pliegos Tarifarios (Huechuraba)'!$G:$G,MATCH($B625,'Pliegos Tarifarios (Huechuraba)'!$A:$A,0)),H625&lt;=1000,INDEX('Pliegos Tarifarios (Huechuraba)'!$H:$H,MATCH($B625,'Pliegos Tarifarios (Huechuraba)'!$A:$A,0)),H625&lt;=5000,INDEX('Pliegos Tarifarios (Huechuraba)'!$I:$I,MATCH($B625,'Pliegos Tarifarios (Huechuraba)'!$A:$A,0)),H625&gt;5000,INDEX('Pliegos Tarifarios (Huechuraba)'!$J:$J,MATCH($B625,'Pliegos Tarifarios (Huechuraba)'!$A:$A,0)))/1.19</f>
        <v>4374.1338151260506</v>
      </c>
      <c r="R625" s="19">
        <f>INDEX('Pliegos Tarifarios (Huechuraba)'!$K:$K,MATCH($B625,'Pliegos Tarifarios (Huechuraba)'!$A:$A,0))</f>
        <v>733.35299999999995</v>
      </c>
      <c r="S625" s="36">
        <f t="shared" si="27"/>
        <v>279554.33295512607</v>
      </c>
      <c r="T625" s="36">
        <f t="shared" si="28"/>
        <v>53115.323261473954</v>
      </c>
      <c r="U625" s="19">
        <v>0</v>
      </c>
      <c r="V625" s="36">
        <f t="shared" si="29"/>
        <v>332669.65621660004</v>
      </c>
    </row>
    <row r="626" spans="1:22" ht="23.4" thickBot="1" x14ac:dyDescent="0.35">
      <c r="A626" s="30" t="s">
        <v>154</v>
      </c>
      <c r="B626" s="31">
        <v>12</v>
      </c>
      <c r="C626" s="32" t="s">
        <v>15</v>
      </c>
      <c r="D626" s="31" t="s">
        <v>112</v>
      </c>
      <c r="E626" s="31" t="s">
        <v>113</v>
      </c>
      <c r="F626" s="32" t="s">
        <v>114</v>
      </c>
      <c r="G626" s="31" t="s">
        <v>33</v>
      </c>
      <c r="H626" s="31">
        <v>519.92999999999995</v>
      </c>
      <c r="I626" s="31">
        <v>1.38</v>
      </c>
      <c r="J626" s="31">
        <v>1.38</v>
      </c>
      <c r="K626" s="34">
        <v>1</v>
      </c>
      <c r="L626" s="31">
        <v>16.77</v>
      </c>
      <c r="M626" s="19">
        <f>H626*INDEX('Pliegos Tarifarios (Huechuraba)'!$B:$B,MATCH($B626,'Pliegos Tarifarios (Huechuraba)'!$A:$A,0))</f>
        <v>68507.536590000003</v>
      </c>
      <c r="N626" s="19">
        <f>I626*INDEX('Pliegos Tarifarios (Huechuraba)'!$C:$C,MATCH($B626,'Pliegos Tarifarios (Huechuraba)'!$A:$A,0))</f>
        <v>4781.6765399999995</v>
      </c>
      <c r="O626" s="19">
        <f>J626*INDEX('Pliegos Tarifarios (Huechuraba)'!$D:$D,MATCH($B626,'Pliegos Tarifarios (Huechuraba)'!$A:$A,0))</f>
        <v>20063.61162</v>
      </c>
      <c r="P626" s="19">
        <f>H626*INDEX('Pliegos Tarifarios (Huechuraba)'!$E:$E,MATCH($B626,'Pliegos Tarifarios (Huechuraba)'!$A:$A,0))</f>
        <v>6771.5683199999985</v>
      </c>
      <c r="Q626" s="19" cm="1">
        <f t="array" ref="Q626">H626*_xlfn.IFS(H626&lt;=350,INDEX('Pliegos Tarifarios (Huechuraba)'!$F:$F,MATCH($B626,'Pliegos Tarifarios (Huechuraba)'!$A:$A,0)),H626&lt;=500,INDEX('Pliegos Tarifarios (Huechuraba)'!$G:$G,MATCH($B626,'Pliegos Tarifarios (Huechuraba)'!$A:$A,0)),H626&lt;=1000,INDEX('Pliegos Tarifarios (Huechuraba)'!$H:$H,MATCH($B626,'Pliegos Tarifarios (Huechuraba)'!$A:$A,0)),H626&lt;=5000,INDEX('Pliegos Tarifarios (Huechuraba)'!$I:$I,MATCH($B626,'Pliegos Tarifarios (Huechuraba)'!$A:$A,0)),H626&gt;5000,INDEX('Pliegos Tarifarios (Huechuraba)'!$J:$J,MATCH($B626,'Pliegos Tarifarios (Huechuraba)'!$A:$A,0)))/1.19</f>
        <v>1250.4534957983194</v>
      </c>
      <c r="R626" s="19">
        <f>INDEX('Pliegos Tarifarios (Huechuraba)'!$K:$K,MATCH($B626,'Pliegos Tarifarios (Huechuraba)'!$A:$A,0))</f>
        <v>733.35299999999995</v>
      </c>
      <c r="S626" s="36">
        <f t="shared" si="27"/>
        <v>102108.19956579831</v>
      </c>
      <c r="T626" s="36">
        <f t="shared" si="28"/>
        <v>19400.557917501679</v>
      </c>
      <c r="U626" s="19">
        <v>0</v>
      </c>
      <c r="V626" s="36">
        <f t="shared" si="29"/>
        <v>121508.75748329998</v>
      </c>
    </row>
    <row r="627" spans="1:22" ht="23.4" thickBot="1" x14ac:dyDescent="0.35">
      <c r="A627" s="30" t="s">
        <v>154</v>
      </c>
      <c r="B627" s="31">
        <v>12</v>
      </c>
      <c r="C627" s="32" t="s">
        <v>15</v>
      </c>
      <c r="D627" s="31" t="s">
        <v>115</v>
      </c>
      <c r="E627" s="31" t="s">
        <v>116</v>
      </c>
      <c r="F627" s="32" t="s">
        <v>117</v>
      </c>
      <c r="G627" s="31" t="s">
        <v>33</v>
      </c>
      <c r="H627" s="31">
        <v>583.95000000000005</v>
      </c>
      <c r="I627" s="31">
        <v>1.54</v>
      </c>
      <c r="J627" s="31">
        <v>1.54</v>
      </c>
      <c r="K627" s="34">
        <v>1</v>
      </c>
      <c r="L627" s="31">
        <v>18.84</v>
      </c>
      <c r="M627" s="19">
        <f>H627*INDEX('Pliegos Tarifarios (Huechuraba)'!$B:$B,MATCH($B627,'Pliegos Tarifarios (Huechuraba)'!$A:$A,0))</f>
        <v>76943.003850000008</v>
      </c>
      <c r="N627" s="19">
        <f>I627*INDEX('Pliegos Tarifarios (Huechuraba)'!$C:$C,MATCH($B627,'Pliegos Tarifarios (Huechuraba)'!$A:$A,0))</f>
        <v>5336.0738200000005</v>
      </c>
      <c r="O627" s="19">
        <f>J627*INDEX('Pliegos Tarifarios (Huechuraba)'!$D:$D,MATCH($B627,'Pliegos Tarifarios (Huechuraba)'!$A:$A,0))</f>
        <v>22389.82746</v>
      </c>
      <c r="P627" s="19">
        <f>H627*INDEX('Pliegos Tarifarios (Huechuraba)'!$E:$E,MATCH($B627,'Pliegos Tarifarios (Huechuraba)'!$A:$A,0))</f>
        <v>7605.3648000000003</v>
      </c>
      <c r="Q627" s="19" cm="1">
        <f t="array" ref="Q627">H627*_xlfn.IFS(H627&lt;=350,INDEX('Pliegos Tarifarios (Huechuraba)'!$F:$F,MATCH($B627,'Pliegos Tarifarios (Huechuraba)'!$A:$A,0)),H627&lt;=500,INDEX('Pliegos Tarifarios (Huechuraba)'!$G:$G,MATCH($B627,'Pliegos Tarifarios (Huechuraba)'!$A:$A,0)),H627&lt;=1000,INDEX('Pliegos Tarifarios (Huechuraba)'!$H:$H,MATCH($B627,'Pliegos Tarifarios (Huechuraba)'!$A:$A,0)),H627&lt;=5000,INDEX('Pliegos Tarifarios (Huechuraba)'!$I:$I,MATCH($B627,'Pliegos Tarifarios (Huechuraba)'!$A:$A,0)),H627&gt;5000,INDEX('Pliegos Tarifarios (Huechuraba)'!$J:$J,MATCH($B627,'Pliegos Tarifarios (Huechuraba)'!$A:$A,0)))/1.19</f>
        <v>1404.4242857142858</v>
      </c>
      <c r="R627" s="19">
        <f>INDEX('Pliegos Tarifarios (Huechuraba)'!$K:$K,MATCH($B627,'Pliegos Tarifarios (Huechuraba)'!$A:$A,0))</f>
        <v>733.35299999999995</v>
      </c>
      <c r="S627" s="36">
        <f t="shared" si="27"/>
        <v>114412.04721571429</v>
      </c>
      <c r="T627" s="36">
        <f t="shared" si="28"/>
        <v>21738.288970985715</v>
      </c>
      <c r="U627" s="19">
        <v>0</v>
      </c>
      <c r="V627" s="36">
        <f t="shared" si="29"/>
        <v>136150.33618670001</v>
      </c>
    </row>
    <row r="628" spans="1:22" ht="23.4" thickBot="1" x14ac:dyDescent="0.35">
      <c r="A628" s="30" t="s">
        <v>154</v>
      </c>
      <c r="B628" s="31">
        <v>12</v>
      </c>
      <c r="C628" s="32" t="s">
        <v>15</v>
      </c>
      <c r="D628" s="31" t="s">
        <v>118</v>
      </c>
      <c r="E628" s="31" t="s">
        <v>119</v>
      </c>
      <c r="F628" s="32" t="s">
        <v>120</v>
      </c>
      <c r="G628" s="31" t="s">
        <v>33</v>
      </c>
      <c r="H628" s="31">
        <v>97.36</v>
      </c>
      <c r="I628" s="31">
        <v>0.26</v>
      </c>
      <c r="J628" s="31">
        <v>0.26</v>
      </c>
      <c r="K628" s="34">
        <v>1</v>
      </c>
      <c r="L628" s="31">
        <v>3.14</v>
      </c>
      <c r="M628" s="19">
        <f>H628*INDEX('Pliegos Tarifarios (Huechuraba)'!$B:$B,MATCH($B628,'Pliegos Tarifarios (Huechuraba)'!$A:$A,0))</f>
        <v>12828.445680000001</v>
      </c>
      <c r="N628" s="19">
        <f>I628*INDEX('Pliegos Tarifarios (Huechuraba)'!$C:$C,MATCH($B628,'Pliegos Tarifarios (Huechuraba)'!$A:$A,0))</f>
        <v>900.89558000000011</v>
      </c>
      <c r="O628" s="19">
        <f>J628*INDEX('Pliegos Tarifarios (Huechuraba)'!$D:$D,MATCH($B628,'Pliegos Tarifarios (Huechuraba)'!$A:$A,0))</f>
        <v>3780.1007400000003</v>
      </c>
      <c r="P628" s="19">
        <f>H628*INDEX('Pliegos Tarifarios (Huechuraba)'!$E:$E,MATCH($B628,'Pliegos Tarifarios (Huechuraba)'!$A:$A,0))</f>
        <v>1268.0166399999998</v>
      </c>
      <c r="Q628" s="19" cm="1">
        <f t="array" ref="Q628">H628*_xlfn.IFS(H628&lt;=350,INDEX('Pliegos Tarifarios (Huechuraba)'!$F:$F,MATCH($B628,'Pliegos Tarifarios (Huechuraba)'!$A:$A,0)),H628&lt;=500,INDEX('Pliegos Tarifarios (Huechuraba)'!$G:$G,MATCH($B628,'Pliegos Tarifarios (Huechuraba)'!$A:$A,0)),H628&lt;=1000,INDEX('Pliegos Tarifarios (Huechuraba)'!$H:$H,MATCH($B628,'Pliegos Tarifarios (Huechuraba)'!$A:$A,0)),H628&lt;=5000,INDEX('Pliegos Tarifarios (Huechuraba)'!$I:$I,MATCH($B628,'Pliegos Tarifarios (Huechuraba)'!$A:$A,0)),H628&gt;5000,INDEX('Pliegos Tarifarios (Huechuraba)'!$J:$J,MATCH($B628,'Pliegos Tarifarios (Huechuraba)'!$A:$A,0)))/1.19</f>
        <v>69.951932773109249</v>
      </c>
      <c r="R628" s="19">
        <f>INDEX('Pliegos Tarifarios (Huechuraba)'!$K:$K,MATCH($B628,'Pliegos Tarifarios (Huechuraba)'!$A:$A,0))</f>
        <v>733.35299999999995</v>
      </c>
      <c r="S628" s="36">
        <f t="shared" si="27"/>
        <v>19580.763572773114</v>
      </c>
      <c r="T628" s="36">
        <f t="shared" si="28"/>
        <v>3720.3450788268915</v>
      </c>
      <c r="U628" s="19">
        <v>0</v>
      </c>
      <c r="V628" s="36">
        <f t="shared" si="29"/>
        <v>23301.108651600007</v>
      </c>
    </row>
    <row r="629" spans="1:22" ht="23.4" thickBot="1" x14ac:dyDescent="0.35">
      <c r="A629" s="30" t="s">
        <v>154</v>
      </c>
      <c r="B629" s="31">
        <v>12</v>
      </c>
      <c r="C629" s="32" t="s">
        <v>15</v>
      </c>
      <c r="D629" s="31" t="s">
        <v>121</v>
      </c>
      <c r="E629" s="31" t="s">
        <v>119</v>
      </c>
      <c r="F629" s="32" t="s">
        <v>122</v>
      </c>
      <c r="G629" s="31" t="s">
        <v>33</v>
      </c>
      <c r="H629" s="31">
        <v>97.35</v>
      </c>
      <c r="I629" s="31">
        <v>0.25</v>
      </c>
      <c r="J629" s="31">
        <v>0.25</v>
      </c>
      <c r="K629" s="34">
        <v>0.99</v>
      </c>
      <c r="L629" s="31">
        <v>3.14</v>
      </c>
      <c r="M629" s="19">
        <f>H629*INDEX('Pliegos Tarifarios (Huechuraba)'!$B:$B,MATCH($B629,'Pliegos Tarifarios (Huechuraba)'!$A:$A,0))</f>
        <v>12827.128049999999</v>
      </c>
      <c r="N629" s="19">
        <f>I629*INDEX('Pliegos Tarifarios (Huechuraba)'!$C:$C,MATCH($B629,'Pliegos Tarifarios (Huechuraba)'!$A:$A,0))</f>
        <v>866.24575000000004</v>
      </c>
      <c r="O629" s="19">
        <f>J629*INDEX('Pliegos Tarifarios (Huechuraba)'!$D:$D,MATCH($B629,'Pliegos Tarifarios (Huechuraba)'!$A:$A,0))</f>
        <v>3634.71225</v>
      </c>
      <c r="P629" s="19">
        <f>H629*INDEX('Pliegos Tarifarios (Huechuraba)'!$E:$E,MATCH($B629,'Pliegos Tarifarios (Huechuraba)'!$A:$A,0))</f>
        <v>1267.8863999999999</v>
      </c>
      <c r="Q629" s="19" cm="1">
        <f t="array" ref="Q629">H629*_xlfn.IFS(H629&lt;=350,INDEX('Pliegos Tarifarios (Huechuraba)'!$F:$F,MATCH($B629,'Pliegos Tarifarios (Huechuraba)'!$A:$A,0)),H629&lt;=500,INDEX('Pliegos Tarifarios (Huechuraba)'!$G:$G,MATCH($B629,'Pliegos Tarifarios (Huechuraba)'!$A:$A,0)),H629&lt;=1000,INDEX('Pliegos Tarifarios (Huechuraba)'!$H:$H,MATCH($B629,'Pliegos Tarifarios (Huechuraba)'!$A:$A,0)),H629&lt;=5000,INDEX('Pliegos Tarifarios (Huechuraba)'!$I:$I,MATCH($B629,'Pliegos Tarifarios (Huechuraba)'!$A:$A,0)),H629&gt;5000,INDEX('Pliegos Tarifarios (Huechuraba)'!$J:$J,MATCH($B629,'Pliegos Tarifarios (Huechuraba)'!$A:$A,0)))/1.19</f>
        <v>69.944747899159651</v>
      </c>
      <c r="R629" s="19">
        <f>INDEX('Pliegos Tarifarios (Huechuraba)'!$K:$K,MATCH($B629,'Pliegos Tarifarios (Huechuraba)'!$A:$A,0))</f>
        <v>733.35299999999995</v>
      </c>
      <c r="S629" s="36">
        <f t="shared" si="27"/>
        <v>19399.270197899157</v>
      </c>
      <c r="T629" s="36">
        <f t="shared" si="28"/>
        <v>3685.8613376008398</v>
      </c>
      <c r="U629" s="19">
        <v>0</v>
      </c>
      <c r="V629" s="36">
        <f t="shared" si="29"/>
        <v>23085.131535499997</v>
      </c>
    </row>
    <row r="630" spans="1:22" ht="23.4" thickBot="1" x14ac:dyDescent="0.35">
      <c r="A630" s="30" t="s">
        <v>154</v>
      </c>
      <c r="B630" s="31">
        <v>12</v>
      </c>
      <c r="C630" s="32" t="s">
        <v>15</v>
      </c>
      <c r="D630" s="31" t="s">
        <v>123</v>
      </c>
      <c r="E630" s="31" t="s">
        <v>124</v>
      </c>
      <c r="F630" s="32" t="s">
        <v>125</v>
      </c>
      <c r="G630" s="31" t="s">
        <v>33</v>
      </c>
      <c r="H630" s="31">
        <v>97.41</v>
      </c>
      <c r="I630" s="31">
        <v>0.25</v>
      </c>
      <c r="J630" s="31">
        <v>0.25</v>
      </c>
      <c r="K630" s="34">
        <v>0.998</v>
      </c>
      <c r="L630" s="31">
        <v>3.14</v>
      </c>
      <c r="M630" s="19">
        <f>H630*INDEX('Pliegos Tarifarios (Huechuraba)'!$B:$B,MATCH($B630,'Pliegos Tarifarios (Huechuraba)'!$A:$A,0))</f>
        <v>12835.03383</v>
      </c>
      <c r="N630" s="19">
        <f>I630*INDEX('Pliegos Tarifarios (Huechuraba)'!$C:$C,MATCH($B630,'Pliegos Tarifarios (Huechuraba)'!$A:$A,0))</f>
        <v>866.24575000000004</v>
      </c>
      <c r="O630" s="19">
        <f>J630*INDEX('Pliegos Tarifarios (Huechuraba)'!$D:$D,MATCH($B630,'Pliegos Tarifarios (Huechuraba)'!$A:$A,0))</f>
        <v>3634.71225</v>
      </c>
      <c r="P630" s="19">
        <f>H630*INDEX('Pliegos Tarifarios (Huechuraba)'!$E:$E,MATCH($B630,'Pliegos Tarifarios (Huechuraba)'!$A:$A,0))</f>
        <v>1268.6678399999998</v>
      </c>
      <c r="Q630" s="19" cm="1">
        <f t="array" ref="Q630">H630*_xlfn.IFS(H630&lt;=350,INDEX('Pliegos Tarifarios (Huechuraba)'!$F:$F,MATCH($B630,'Pliegos Tarifarios (Huechuraba)'!$A:$A,0)),H630&lt;=500,INDEX('Pliegos Tarifarios (Huechuraba)'!$G:$G,MATCH($B630,'Pliegos Tarifarios (Huechuraba)'!$A:$A,0)),H630&lt;=1000,INDEX('Pliegos Tarifarios (Huechuraba)'!$H:$H,MATCH($B630,'Pliegos Tarifarios (Huechuraba)'!$A:$A,0)),H630&lt;=5000,INDEX('Pliegos Tarifarios (Huechuraba)'!$I:$I,MATCH($B630,'Pliegos Tarifarios (Huechuraba)'!$A:$A,0)),H630&gt;5000,INDEX('Pliegos Tarifarios (Huechuraba)'!$J:$J,MATCH($B630,'Pliegos Tarifarios (Huechuraba)'!$A:$A,0)))/1.19</f>
        <v>69.987857142857152</v>
      </c>
      <c r="R630" s="19">
        <f>INDEX('Pliegos Tarifarios (Huechuraba)'!$K:$K,MATCH($B630,'Pliegos Tarifarios (Huechuraba)'!$A:$A,0))</f>
        <v>733.35299999999995</v>
      </c>
      <c r="S630" s="36">
        <f t="shared" si="27"/>
        <v>19408.000527142853</v>
      </c>
      <c r="T630" s="36">
        <f t="shared" si="28"/>
        <v>3687.5201001571422</v>
      </c>
      <c r="U630" s="19">
        <v>0</v>
      </c>
      <c r="V630" s="36">
        <f t="shared" si="29"/>
        <v>23095.520627299993</v>
      </c>
    </row>
    <row r="631" spans="1:22" ht="23.4" thickBot="1" x14ac:dyDescent="0.35">
      <c r="A631" s="30" t="s">
        <v>154</v>
      </c>
      <c r="B631" s="31">
        <v>12</v>
      </c>
      <c r="C631" s="32" t="s">
        <v>15</v>
      </c>
      <c r="D631" s="31" t="s">
        <v>126</v>
      </c>
      <c r="E631" s="31" t="s">
        <v>124</v>
      </c>
      <c r="F631" s="32" t="s">
        <v>127</v>
      </c>
      <c r="G631" s="31" t="s">
        <v>33</v>
      </c>
      <c r="H631" s="31">
        <v>162.59</v>
      </c>
      <c r="I631" s="31">
        <v>0.43</v>
      </c>
      <c r="J631" s="31">
        <v>0.43</v>
      </c>
      <c r="K631" s="34">
        <v>0.98199999999999998</v>
      </c>
      <c r="L631" s="31">
        <v>5.24</v>
      </c>
      <c r="M631" s="19">
        <f>H631*INDEX('Pliegos Tarifarios (Huechuraba)'!$B:$B,MATCH($B631,'Pliegos Tarifarios (Huechuraba)'!$A:$A,0))</f>
        <v>21423.346170000001</v>
      </c>
      <c r="N631" s="19">
        <f>I631*INDEX('Pliegos Tarifarios (Huechuraba)'!$C:$C,MATCH($B631,'Pliegos Tarifarios (Huechuraba)'!$A:$A,0))</f>
        <v>1489.9426900000001</v>
      </c>
      <c r="O631" s="19">
        <f>J631*INDEX('Pliegos Tarifarios (Huechuraba)'!$D:$D,MATCH($B631,'Pliegos Tarifarios (Huechuraba)'!$A:$A,0))</f>
        <v>6251.70507</v>
      </c>
      <c r="P631" s="19">
        <f>H631*INDEX('Pliegos Tarifarios (Huechuraba)'!$E:$E,MATCH($B631,'Pliegos Tarifarios (Huechuraba)'!$A:$A,0))</f>
        <v>2117.5721599999997</v>
      </c>
      <c r="Q631" s="19" cm="1">
        <f t="array" ref="Q631">H631*_xlfn.IFS(H631&lt;=350,INDEX('Pliegos Tarifarios (Huechuraba)'!$F:$F,MATCH($B631,'Pliegos Tarifarios (Huechuraba)'!$A:$A,0)),H631&lt;=500,INDEX('Pliegos Tarifarios (Huechuraba)'!$G:$G,MATCH($B631,'Pliegos Tarifarios (Huechuraba)'!$A:$A,0)),H631&lt;=1000,INDEX('Pliegos Tarifarios (Huechuraba)'!$H:$H,MATCH($B631,'Pliegos Tarifarios (Huechuraba)'!$A:$A,0)),H631&lt;=5000,INDEX('Pliegos Tarifarios (Huechuraba)'!$I:$I,MATCH($B631,'Pliegos Tarifarios (Huechuraba)'!$A:$A,0)),H631&gt;5000,INDEX('Pliegos Tarifarios (Huechuraba)'!$J:$J,MATCH($B631,'Pliegos Tarifarios (Huechuraba)'!$A:$A,0)))/1.19</f>
        <v>116.8188655462185</v>
      </c>
      <c r="R631" s="19">
        <f>INDEX('Pliegos Tarifarios (Huechuraba)'!$K:$K,MATCH($B631,'Pliegos Tarifarios (Huechuraba)'!$A:$A,0))</f>
        <v>733.35299999999995</v>
      </c>
      <c r="S631" s="36">
        <f t="shared" si="27"/>
        <v>32132.737955546218</v>
      </c>
      <c r="T631" s="36">
        <f t="shared" si="28"/>
        <v>6105.2202115537812</v>
      </c>
      <c r="U631" s="19">
        <v>0</v>
      </c>
      <c r="V631" s="36">
        <f t="shared" si="29"/>
        <v>38237.958167099998</v>
      </c>
    </row>
    <row r="632" spans="1:22" ht="23.4" thickBot="1" x14ac:dyDescent="0.35">
      <c r="A632" s="30" t="s">
        <v>154</v>
      </c>
      <c r="B632" s="31">
        <v>12</v>
      </c>
      <c r="C632" s="32" t="s">
        <v>15</v>
      </c>
      <c r="D632" s="31" t="s">
        <v>128</v>
      </c>
      <c r="E632" s="31" t="s">
        <v>124</v>
      </c>
      <c r="F632" s="32" t="s">
        <v>129</v>
      </c>
      <c r="G632" s="31" t="s">
        <v>33</v>
      </c>
      <c r="H632" s="31">
        <v>97.62</v>
      </c>
      <c r="I632" s="31">
        <v>0.26</v>
      </c>
      <c r="J632" s="31">
        <v>0.25</v>
      </c>
      <c r="K632" s="34">
        <v>0.97399999999999998</v>
      </c>
      <c r="L632" s="31">
        <v>3.15</v>
      </c>
      <c r="M632" s="19">
        <f>H632*INDEX('Pliegos Tarifarios (Huechuraba)'!$B:$B,MATCH($B632,'Pliegos Tarifarios (Huechuraba)'!$A:$A,0))</f>
        <v>12862.704060000002</v>
      </c>
      <c r="N632" s="19">
        <f>I632*INDEX('Pliegos Tarifarios (Huechuraba)'!$C:$C,MATCH($B632,'Pliegos Tarifarios (Huechuraba)'!$A:$A,0))</f>
        <v>900.89558000000011</v>
      </c>
      <c r="O632" s="19">
        <f>J632*INDEX('Pliegos Tarifarios (Huechuraba)'!$D:$D,MATCH($B632,'Pliegos Tarifarios (Huechuraba)'!$A:$A,0))</f>
        <v>3634.71225</v>
      </c>
      <c r="P632" s="19">
        <f>H632*INDEX('Pliegos Tarifarios (Huechuraba)'!$E:$E,MATCH($B632,'Pliegos Tarifarios (Huechuraba)'!$A:$A,0))</f>
        <v>1271.4028799999999</v>
      </c>
      <c r="Q632" s="19" cm="1">
        <f t="array" ref="Q632">H632*_xlfn.IFS(H632&lt;=350,INDEX('Pliegos Tarifarios (Huechuraba)'!$F:$F,MATCH($B632,'Pliegos Tarifarios (Huechuraba)'!$A:$A,0)),H632&lt;=500,INDEX('Pliegos Tarifarios (Huechuraba)'!$G:$G,MATCH($B632,'Pliegos Tarifarios (Huechuraba)'!$A:$A,0)),H632&lt;=1000,INDEX('Pliegos Tarifarios (Huechuraba)'!$H:$H,MATCH($B632,'Pliegos Tarifarios (Huechuraba)'!$A:$A,0)),H632&lt;=5000,INDEX('Pliegos Tarifarios (Huechuraba)'!$I:$I,MATCH($B632,'Pliegos Tarifarios (Huechuraba)'!$A:$A,0)),H632&gt;5000,INDEX('Pliegos Tarifarios (Huechuraba)'!$J:$J,MATCH($B632,'Pliegos Tarifarios (Huechuraba)'!$A:$A,0)))/1.19</f>
        <v>70.138739495798333</v>
      </c>
      <c r="R632" s="19">
        <f>INDEX('Pliegos Tarifarios (Huechuraba)'!$K:$K,MATCH($B632,'Pliegos Tarifarios (Huechuraba)'!$A:$A,0))</f>
        <v>733.35299999999995</v>
      </c>
      <c r="S632" s="36">
        <f t="shared" si="27"/>
        <v>19473.206509495802</v>
      </c>
      <c r="T632" s="36">
        <f t="shared" si="28"/>
        <v>3699.9092368042025</v>
      </c>
      <c r="U632" s="19">
        <v>0</v>
      </c>
      <c r="V632" s="36">
        <f t="shared" si="29"/>
        <v>23173.115746300005</v>
      </c>
    </row>
    <row r="633" spans="1:22" ht="23.4" thickBot="1" x14ac:dyDescent="0.35">
      <c r="A633" s="30" t="s">
        <v>154</v>
      </c>
      <c r="B633" s="31">
        <v>12</v>
      </c>
      <c r="C633" s="32" t="s">
        <v>15</v>
      </c>
      <c r="D633" s="31" t="s">
        <v>130</v>
      </c>
      <c r="E633" s="31" t="s">
        <v>124</v>
      </c>
      <c r="F633" s="32" t="s">
        <v>131</v>
      </c>
      <c r="G633" s="31" t="s">
        <v>33</v>
      </c>
      <c r="H633" s="31">
        <v>97.3</v>
      </c>
      <c r="I633" s="31">
        <v>0.25</v>
      </c>
      <c r="J633" s="31">
        <v>0.25</v>
      </c>
      <c r="K633" s="34">
        <v>0.996</v>
      </c>
      <c r="L633" s="31">
        <v>3.14</v>
      </c>
      <c r="M633" s="19">
        <f>H633*INDEX('Pliegos Tarifarios (Huechuraba)'!$B:$B,MATCH($B633,'Pliegos Tarifarios (Huechuraba)'!$A:$A,0))</f>
        <v>12820.5399</v>
      </c>
      <c r="N633" s="19">
        <f>I633*INDEX('Pliegos Tarifarios (Huechuraba)'!$C:$C,MATCH($B633,'Pliegos Tarifarios (Huechuraba)'!$A:$A,0))</f>
        <v>866.24575000000004</v>
      </c>
      <c r="O633" s="19">
        <f>J633*INDEX('Pliegos Tarifarios (Huechuraba)'!$D:$D,MATCH($B633,'Pliegos Tarifarios (Huechuraba)'!$A:$A,0))</f>
        <v>3634.71225</v>
      </c>
      <c r="P633" s="19">
        <f>H633*INDEX('Pliegos Tarifarios (Huechuraba)'!$E:$E,MATCH($B633,'Pliegos Tarifarios (Huechuraba)'!$A:$A,0))</f>
        <v>1267.2351999999998</v>
      </c>
      <c r="Q633" s="19" cm="1">
        <f t="array" ref="Q633">H633*_xlfn.IFS(H633&lt;=350,INDEX('Pliegos Tarifarios (Huechuraba)'!$F:$F,MATCH($B633,'Pliegos Tarifarios (Huechuraba)'!$A:$A,0)),H633&lt;=500,INDEX('Pliegos Tarifarios (Huechuraba)'!$G:$G,MATCH($B633,'Pliegos Tarifarios (Huechuraba)'!$A:$A,0)),H633&lt;=1000,INDEX('Pliegos Tarifarios (Huechuraba)'!$H:$H,MATCH($B633,'Pliegos Tarifarios (Huechuraba)'!$A:$A,0)),H633&lt;=5000,INDEX('Pliegos Tarifarios (Huechuraba)'!$I:$I,MATCH($B633,'Pliegos Tarifarios (Huechuraba)'!$A:$A,0)),H633&gt;5000,INDEX('Pliegos Tarifarios (Huechuraba)'!$J:$J,MATCH($B633,'Pliegos Tarifarios (Huechuraba)'!$A:$A,0)))/1.19</f>
        <v>69.908823529411762</v>
      </c>
      <c r="R633" s="19">
        <f>INDEX('Pliegos Tarifarios (Huechuraba)'!$K:$K,MATCH($B633,'Pliegos Tarifarios (Huechuraba)'!$A:$A,0))</f>
        <v>733.35299999999995</v>
      </c>
      <c r="S633" s="36">
        <f t="shared" si="27"/>
        <v>19391.994923529408</v>
      </c>
      <c r="T633" s="36">
        <f t="shared" si="28"/>
        <v>3684.4790354705874</v>
      </c>
      <c r="U633" s="19">
        <v>0</v>
      </c>
      <c r="V633" s="36">
        <f t="shared" si="29"/>
        <v>23076.473958999995</v>
      </c>
    </row>
    <row r="634" spans="1:22" ht="23.4" thickBot="1" x14ac:dyDescent="0.35">
      <c r="A634" s="30" t="s">
        <v>154</v>
      </c>
      <c r="B634" s="31">
        <v>12</v>
      </c>
      <c r="C634" s="32" t="s">
        <v>15</v>
      </c>
      <c r="D634" s="31" t="s">
        <v>132</v>
      </c>
      <c r="E634" s="31" t="s">
        <v>124</v>
      </c>
      <c r="F634" s="32" t="s">
        <v>133</v>
      </c>
      <c r="G634" s="31" t="s">
        <v>33</v>
      </c>
      <c r="H634" s="31">
        <v>97.5</v>
      </c>
      <c r="I634" s="31">
        <v>0.26</v>
      </c>
      <c r="J634" s="31">
        <v>0.26</v>
      </c>
      <c r="K634" s="34">
        <v>1</v>
      </c>
      <c r="L634" s="31">
        <v>3.15</v>
      </c>
      <c r="M634" s="19">
        <f>H634*INDEX('Pliegos Tarifarios (Huechuraba)'!$B:$B,MATCH($B634,'Pliegos Tarifarios (Huechuraba)'!$A:$A,0))</f>
        <v>12846.8925</v>
      </c>
      <c r="N634" s="19">
        <f>I634*INDEX('Pliegos Tarifarios (Huechuraba)'!$C:$C,MATCH($B634,'Pliegos Tarifarios (Huechuraba)'!$A:$A,0))</f>
        <v>900.89558000000011</v>
      </c>
      <c r="O634" s="19">
        <f>J634*INDEX('Pliegos Tarifarios (Huechuraba)'!$D:$D,MATCH($B634,'Pliegos Tarifarios (Huechuraba)'!$A:$A,0))</f>
        <v>3780.1007400000003</v>
      </c>
      <c r="P634" s="19">
        <f>H634*INDEX('Pliegos Tarifarios (Huechuraba)'!$E:$E,MATCH($B634,'Pliegos Tarifarios (Huechuraba)'!$A:$A,0))</f>
        <v>1269.8399999999999</v>
      </c>
      <c r="Q634" s="19" cm="1">
        <f t="array" ref="Q634">H634*_xlfn.IFS(H634&lt;=350,INDEX('Pliegos Tarifarios (Huechuraba)'!$F:$F,MATCH($B634,'Pliegos Tarifarios (Huechuraba)'!$A:$A,0)),H634&lt;=500,INDEX('Pliegos Tarifarios (Huechuraba)'!$G:$G,MATCH($B634,'Pliegos Tarifarios (Huechuraba)'!$A:$A,0)),H634&lt;=1000,INDEX('Pliegos Tarifarios (Huechuraba)'!$H:$H,MATCH($B634,'Pliegos Tarifarios (Huechuraba)'!$A:$A,0)),H634&lt;=5000,INDEX('Pliegos Tarifarios (Huechuraba)'!$I:$I,MATCH($B634,'Pliegos Tarifarios (Huechuraba)'!$A:$A,0)),H634&gt;5000,INDEX('Pliegos Tarifarios (Huechuraba)'!$J:$J,MATCH($B634,'Pliegos Tarifarios (Huechuraba)'!$A:$A,0)))/1.19</f>
        <v>70.05252100840336</v>
      </c>
      <c r="R634" s="19">
        <f>INDEX('Pliegos Tarifarios (Huechuraba)'!$K:$K,MATCH($B634,'Pliegos Tarifarios (Huechuraba)'!$A:$A,0))</f>
        <v>733.35299999999995</v>
      </c>
      <c r="S634" s="36">
        <f t="shared" si="27"/>
        <v>19601.134341008405</v>
      </c>
      <c r="T634" s="36">
        <f t="shared" si="28"/>
        <v>3724.2155247915971</v>
      </c>
      <c r="U634" s="19">
        <v>0</v>
      </c>
      <c r="V634" s="36">
        <f t="shared" si="29"/>
        <v>23325.349865800003</v>
      </c>
    </row>
    <row r="635" spans="1:22" ht="23.4" thickBot="1" x14ac:dyDescent="0.35">
      <c r="A635" s="30" t="s">
        <v>154</v>
      </c>
      <c r="B635" s="31">
        <v>12</v>
      </c>
      <c r="C635" s="32" t="s">
        <v>15</v>
      </c>
      <c r="D635" s="31" t="s">
        <v>134</v>
      </c>
      <c r="E635" s="31" t="s">
        <v>124</v>
      </c>
      <c r="F635" s="32" t="s">
        <v>135</v>
      </c>
      <c r="G635" s="31" t="s">
        <v>33</v>
      </c>
      <c r="H635" s="31">
        <v>194.55</v>
      </c>
      <c r="I635" s="31">
        <v>0.51</v>
      </c>
      <c r="J635" s="31">
        <v>0.5</v>
      </c>
      <c r="K635" s="34">
        <v>0.97699999999999998</v>
      </c>
      <c r="L635" s="31">
        <v>6.28</v>
      </c>
      <c r="M635" s="19">
        <f>H635*INDEX('Pliegos Tarifarios (Huechuraba)'!$B:$B,MATCH($B635,'Pliegos Tarifarios (Huechuraba)'!$A:$A,0))</f>
        <v>25634.491650000004</v>
      </c>
      <c r="N635" s="19">
        <f>I635*INDEX('Pliegos Tarifarios (Huechuraba)'!$C:$C,MATCH($B635,'Pliegos Tarifarios (Huechuraba)'!$A:$A,0))</f>
        <v>1767.1413300000002</v>
      </c>
      <c r="O635" s="19">
        <f>J635*INDEX('Pliegos Tarifarios (Huechuraba)'!$D:$D,MATCH($B635,'Pliegos Tarifarios (Huechuraba)'!$A:$A,0))</f>
        <v>7269.4245000000001</v>
      </c>
      <c r="P635" s="19">
        <f>H635*INDEX('Pliegos Tarifarios (Huechuraba)'!$E:$E,MATCH($B635,'Pliegos Tarifarios (Huechuraba)'!$A:$A,0))</f>
        <v>2533.8191999999999</v>
      </c>
      <c r="Q635" s="19" cm="1">
        <f t="array" ref="Q635">H635*_xlfn.IFS(H635&lt;=350,INDEX('Pliegos Tarifarios (Huechuraba)'!$F:$F,MATCH($B635,'Pliegos Tarifarios (Huechuraba)'!$A:$A,0)),H635&lt;=500,INDEX('Pliegos Tarifarios (Huechuraba)'!$G:$G,MATCH($B635,'Pliegos Tarifarios (Huechuraba)'!$A:$A,0)),H635&lt;=1000,INDEX('Pliegos Tarifarios (Huechuraba)'!$H:$H,MATCH($B635,'Pliegos Tarifarios (Huechuraba)'!$A:$A,0)),H635&lt;=5000,INDEX('Pliegos Tarifarios (Huechuraba)'!$I:$I,MATCH($B635,'Pliegos Tarifarios (Huechuraba)'!$A:$A,0)),H635&gt;5000,INDEX('Pliegos Tarifarios (Huechuraba)'!$J:$J,MATCH($B635,'Pliegos Tarifarios (Huechuraba)'!$A:$A,0)))/1.19</f>
        <v>139.78172268907562</v>
      </c>
      <c r="R635" s="19">
        <f>INDEX('Pliegos Tarifarios (Huechuraba)'!$K:$K,MATCH($B635,'Pliegos Tarifarios (Huechuraba)'!$A:$A,0))</f>
        <v>733.35299999999995</v>
      </c>
      <c r="S635" s="36">
        <f t="shared" si="27"/>
        <v>38078.011402689081</v>
      </c>
      <c r="T635" s="36">
        <f t="shared" si="28"/>
        <v>7234.8221665109249</v>
      </c>
      <c r="U635" s="19">
        <v>0</v>
      </c>
      <c r="V635" s="36">
        <f t="shared" si="29"/>
        <v>45312.833569200004</v>
      </c>
    </row>
    <row r="636" spans="1:22" ht="23.4" thickBot="1" x14ac:dyDescent="0.35">
      <c r="A636" s="30" t="s">
        <v>154</v>
      </c>
      <c r="B636" s="31">
        <v>12</v>
      </c>
      <c r="C636" s="32" t="s">
        <v>15</v>
      </c>
      <c r="D636" s="31" t="s">
        <v>136</v>
      </c>
      <c r="E636" s="31" t="s">
        <v>124</v>
      </c>
      <c r="F636" s="32" t="s">
        <v>137</v>
      </c>
      <c r="G636" s="31" t="s">
        <v>33</v>
      </c>
      <c r="H636" s="31">
        <v>195.05</v>
      </c>
      <c r="I636" s="31">
        <v>0.51</v>
      </c>
      <c r="J636" s="31">
        <v>0.51</v>
      </c>
      <c r="K636" s="34">
        <v>0.99099999999999999</v>
      </c>
      <c r="L636" s="31">
        <v>6.29</v>
      </c>
      <c r="M636" s="19">
        <f>H636*INDEX('Pliegos Tarifarios (Huechuraba)'!$B:$B,MATCH($B636,'Pliegos Tarifarios (Huechuraba)'!$A:$A,0))</f>
        <v>25700.373150000003</v>
      </c>
      <c r="N636" s="19">
        <f>I636*INDEX('Pliegos Tarifarios (Huechuraba)'!$C:$C,MATCH($B636,'Pliegos Tarifarios (Huechuraba)'!$A:$A,0))</f>
        <v>1767.1413300000002</v>
      </c>
      <c r="O636" s="19">
        <f>J636*INDEX('Pliegos Tarifarios (Huechuraba)'!$D:$D,MATCH($B636,'Pliegos Tarifarios (Huechuraba)'!$A:$A,0))</f>
        <v>7414.8129900000004</v>
      </c>
      <c r="P636" s="19">
        <f>H636*INDEX('Pliegos Tarifarios (Huechuraba)'!$E:$E,MATCH($B636,'Pliegos Tarifarios (Huechuraba)'!$A:$A,0))</f>
        <v>2540.3312000000001</v>
      </c>
      <c r="Q636" s="19" cm="1">
        <f t="array" ref="Q636">H636*_xlfn.IFS(H636&lt;=350,INDEX('Pliegos Tarifarios (Huechuraba)'!$F:$F,MATCH($B636,'Pliegos Tarifarios (Huechuraba)'!$A:$A,0)),H636&lt;=500,INDEX('Pliegos Tarifarios (Huechuraba)'!$G:$G,MATCH($B636,'Pliegos Tarifarios (Huechuraba)'!$A:$A,0)),H636&lt;=1000,INDEX('Pliegos Tarifarios (Huechuraba)'!$H:$H,MATCH($B636,'Pliegos Tarifarios (Huechuraba)'!$A:$A,0)),H636&lt;=5000,INDEX('Pliegos Tarifarios (Huechuraba)'!$I:$I,MATCH($B636,'Pliegos Tarifarios (Huechuraba)'!$A:$A,0)),H636&gt;5000,INDEX('Pliegos Tarifarios (Huechuraba)'!$J:$J,MATCH($B636,'Pliegos Tarifarios (Huechuraba)'!$A:$A,0)))/1.19</f>
        <v>140.14096638655462</v>
      </c>
      <c r="R636" s="19">
        <f>INDEX('Pliegos Tarifarios (Huechuraba)'!$K:$K,MATCH($B636,'Pliegos Tarifarios (Huechuraba)'!$A:$A,0))</f>
        <v>733.35299999999995</v>
      </c>
      <c r="S636" s="36">
        <f t="shared" si="27"/>
        <v>38296.152636386563</v>
      </c>
      <c r="T636" s="36">
        <f t="shared" si="28"/>
        <v>7276.2690009134467</v>
      </c>
      <c r="U636" s="19">
        <v>0</v>
      </c>
      <c r="V636" s="36">
        <f t="shared" si="29"/>
        <v>45572.421637300009</v>
      </c>
    </row>
    <row r="637" spans="1:22" ht="23.4" thickBot="1" x14ac:dyDescent="0.35">
      <c r="A637" s="30" t="s">
        <v>154</v>
      </c>
      <c r="B637" s="31">
        <v>12</v>
      </c>
      <c r="C637" s="32" t="s">
        <v>15</v>
      </c>
      <c r="D637" s="31" t="s">
        <v>138</v>
      </c>
      <c r="E637" s="31" t="s">
        <v>124</v>
      </c>
      <c r="F637" s="32" t="s">
        <v>139</v>
      </c>
      <c r="G637" s="31" t="s">
        <v>33</v>
      </c>
      <c r="H637" s="31">
        <v>195.14</v>
      </c>
      <c r="I637" s="31">
        <v>0.51</v>
      </c>
      <c r="J637" s="31">
        <v>0.51</v>
      </c>
      <c r="K637" s="34">
        <v>1</v>
      </c>
      <c r="L637" s="31">
        <v>6.29</v>
      </c>
      <c r="M637" s="19">
        <f>H637*INDEX('Pliegos Tarifarios (Huechuraba)'!$B:$B,MATCH($B637,'Pliegos Tarifarios (Huechuraba)'!$A:$A,0))</f>
        <v>25712.231820000001</v>
      </c>
      <c r="N637" s="19">
        <f>I637*INDEX('Pliegos Tarifarios (Huechuraba)'!$C:$C,MATCH($B637,'Pliegos Tarifarios (Huechuraba)'!$A:$A,0))</f>
        <v>1767.1413300000002</v>
      </c>
      <c r="O637" s="19">
        <f>J637*INDEX('Pliegos Tarifarios (Huechuraba)'!$D:$D,MATCH($B637,'Pliegos Tarifarios (Huechuraba)'!$A:$A,0))</f>
        <v>7414.8129900000004</v>
      </c>
      <c r="P637" s="19">
        <f>H637*INDEX('Pliegos Tarifarios (Huechuraba)'!$E:$E,MATCH($B637,'Pliegos Tarifarios (Huechuraba)'!$A:$A,0))</f>
        <v>2541.5033599999997</v>
      </c>
      <c r="Q637" s="19" cm="1">
        <f t="array" ref="Q637">H637*_xlfn.IFS(H637&lt;=350,INDEX('Pliegos Tarifarios (Huechuraba)'!$F:$F,MATCH($B637,'Pliegos Tarifarios (Huechuraba)'!$A:$A,0)),H637&lt;=500,INDEX('Pliegos Tarifarios (Huechuraba)'!$G:$G,MATCH($B637,'Pliegos Tarifarios (Huechuraba)'!$A:$A,0)),H637&lt;=1000,INDEX('Pliegos Tarifarios (Huechuraba)'!$H:$H,MATCH($B637,'Pliegos Tarifarios (Huechuraba)'!$A:$A,0)),H637&lt;=5000,INDEX('Pliegos Tarifarios (Huechuraba)'!$I:$I,MATCH($B637,'Pliegos Tarifarios (Huechuraba)'!$A:$A,0)),H637&gt;5000,INDEX('Pliegos Tarifarios (Huechuraba)'!$J:$J,MATCH($B637,'Pliegos Tarifarios (Huechuraba)'!$A:$A,0)))/1.19</f>
        <v>140.20563025210083</v>
      </c>
      <c r="R637" s="19">
        <f>INDEX('Pliegos Tarifarios (Huechuraba)'!$K:$K,MATCH($B637,'Pliegos Tarifarios (Huechuraba)'!$A:$A,0))</f>
        <v>733.35299999999995</v>
      </c>
      <c r="S637" s="36">
        <f t="shared" si="27"/>
        <v>38309.248130252105</v>
      </c>
      <c r="T637" s="36">
        <f t="shared" si="28"/>
        <v>7278.7571447479004</v>
      </c>
      <c r="U637" s="19">
        <v>0</v>
      </c>
      <c r="V637" s="36">
        <f t="shared" si="29"/>
        <v>45588.005275000003</v>
      </c>
    </row>
    <row r="638" spans="1:22" ht="23.4" thickBot="1" x14ac:dyDescent="0.35">
      <c r="A638" s="30" t="s">
        <v>154</v>
      </c>
      <c r="B638" s="31">
        <v>12</v>
      </c>
      <c r="C638" s="32" t="s">
        <v>15</v>
      </c>
      <c r="D638" s="31" t="s">
        <v>140</v>
      </c>
      <c r="E638" s="31" t="s">
        <v>124</v>
      </c>
      <c r="F638" s="32" t="s">
        <v>141</v>
      </c>
      <c r="G638" s="31" t="s">
        <v>33</v>
      </c>
      <c r="H638" s="31">
        <v>97.34</v>
      </c>
      <c r="I638" s="31">
        <v>0.26</v>
      </c>
      <c r="J638" s="31">
        <v>0.25</v>
      </c>
      <c r="K638" s="34">
        <v>0.98799999999999999</v>
      </c>
      <c r="L638" s="31">
        <v>3.14</v>
      </c>
      <c r="M638" s="19">
        <f>H638*INDEX('Pliegos Tarifarios (Huechuraba)'!$B:$B,MATCH($B638,'Pliegos Tarifarios (Huechuraba)'!$A:$A,0))</f>
        <v>12825.810420000002</v>
      </c>
      <c r="N638" s="19">
        <f>I638*INDEX('Pliegos Tarifarios (Huechuraba)'!$C:$C,MATCH($B638,'Pliegos Tarifarios (Huechuraba)'!$A:$A,0))</f>
        <v>900.89558000000011</v>
      </c>
      <c r="O638" s="19">
        <f>J638*INDEX('Pliegos Tarifarios (Huechuraba)'!$D:$D,MATCH($B638,'Pliegos Tarifarios (Huechuraba)'!$A:$A,0))</f>
        <v>3634.71225</v>
      </c>
      <c r="P638" s="19">
        <f>H638*INDEX('Pliegos Tarifarios (Huechuraba)'!$E:$E,MATCH($B638,'Pliegos Tarifarios (Huechuraba)'!$A:$A,0))</f>
        <v>1267.7561599999999</v>
      </c>
      <c r="Q638" s="19" cm="1">
        <f t="array" ref="Q638">H638*_xlfn.IFS(H638&lt;=350,INDEX('Pliegos Tarifarios (Huechuraba)'!$F:$F,MATCH($B638,'Pliegos Tarifarios (Huechuraba)'!$A:$A,0)),H638&lt;=500,INDEX('Pliegos Tarifarios (Huechuraba)'!$G:$G,MATCH($B638,'Pliegos Tarifarios (Huechuraba)'!$A:$A,0)),H638&lt;=1000,INDEX('Pliegos Tarifarios (Huechuraba)'!$H:$H,MATCH($B638,'Pliegos Tarifarios (Huechuraba)'!$A:$A,0)),H638&lt;=5000,INDEX('Pliegos Tarifarios (Huechuraba)'!$I:$I,MATCH($B638,'Pliegos Tarifarios (Huechuraba)'!$A:$A,0)),H638&gt;5000,INDEX('Pliegos Tarifarios (Huechuraba)'!$J:$J,MATCH($B638,'Pliegos Tarifarios (Huechuraba)'!$A:$A,0)))/1.19</f>
        <v>69.937563025210096</v>
      </c>
      <c r="R638" s="19">
        <f>INDEX('Pliegos Tarifarios (Huechuraba)'!$K:$K,MATCH($B638,'Pliegos Tarifarios (Huechuraba)'!$A:$A,0))</f>
        <v>733.35299999999995</v>
      </c>
      <c r="S638" s="36">
        <f t="shared" si="27"/>
        <v>19432.464973025213</v>
      </c>
      <c r="T638" s="36">
        <f t="shared" si="28"/>
        <v>3692.1683448747904</v>
      </c>
      <c r="U638" s="19">
        <v>0</v>
      </c>
      <c r="V638" s="36">
        <f t="shared" si="29"/>
        <v>23124.633317900003</v>
      </c>
    </row>
    <row r="639" spans="1:22" ht="23.4" thickBot="1" x14ac:dyDescent="0.35">
      <c r="A639" s="30" t="s">
        <v>154</v>
      </c>
      <c r="B639" s="31">
        <v>12</v>
      </c>
      <c r="C639" s="32" t="s">
        <v>15</v>
      </c>
      <c r="D639" s="31" t="s">
        <v>142</v>
      </c>
      <c r="E639" s="31" t="s">
        <v>124</v>
      </c>
      <c r="F639" s="32" t="s">
        <v>143</v>
      </c>
      <c r="G639" s="31" t="s">
        <v>33</v>
      </c>
      <c r="H639" s="31">
        <v>195.19</v>
      </c>
      <c r="I639" s="31">
        <v>0.51</v>
      </c>
      <c r="J639" s="31">
        <v>0.51</v>
      </c>
      <c r="K639" s="34">
        <v>1</v>
      </c>
      <c r="L639" s="31">
        <v>6.3</v>
      </c>
      <c r="M639" s="19">
        <f>H639*INDEX('Pliegos Tarifarios (Huechuraba)'!$B:$B,MATCH($B639,'Pliegos Tarifarios (Huechuraba)'!$A:$A,0))</f>
        <v>25718.81997</v>
      </c>
      <c r="N639" s="19">
        <f>I639*INDEX('Pliegos Tarifarios (Huechuraba)'!$C:$C,MATCH($B639,'Pliegos Tarifarios (Huechuraba)'!$A:$A,0))</f>
        <v>1767.1413300000002</v>
      </c>
      <c r="O639" s="19">
        <f>J639*INDEX('Pliegos Tarifarios (Huechuraba)'!$D:$D,MATCH($B639,'Pliegos Tarifarios (Huechuraba)'!$A:$A,0))</f>
        <v>7414.8129900000004</v>
      </c>
      <c r="P639" s="19">
        <f>H639*INDEX('Pliegos Tarifarios (Huechuraba)'!$E:$E,MATCH($B639,'Pliegos Tarifarios (Huechuraba)'!$A:$A,0))</f>
        <v>2542.1545599999999</v>
      </c>
      <c r="Q639" s="19" cm="1">
        <f t="array" ref="Q639">H639*_xlfn.IFS(H639&lt;=350,INDEX('Pliegos Tarifarios (Huechuraba)'!$F:$F,MATCH($B639,'Pliegos Tarifarios (Huechuraba)'!$A:$A,0)),H639&lt;=500,INDEX('Pliegos Tarifarios (Huechuraba)'!$G:$G,MATCH($B639,'Pliegos Tarifarios (Huechuraba)'!$A:$A,0)),H639&lt;=1000,INDEX('Pliegos Tarifarios (Huechuraba)'!$H:$H,MATCH($B639,'Pliegos Tarifarios (Huechuraba)'!$A:$A,0)),H639&lt;=5000,INDEX('Pliegos Tarifarios (Huechuraba)'!$I:$I,MATCH($B639,'Pliegos Tarifarios (Huechuraba)'!$A:$A,0)),H639&gt;5000,INDEX('Pliegos Tarifarios (Huechuraba)'!$J:$J,MATCH($B639,'Pliegos Tarifarios (Huechuraba)'!$A:$A,0)))/1.19</f>
        <v>140.24155462184873</v>
      </c>
      <c r="R639" s="19">
        <f>INDEX('Pliegos Tarifarios (Huechuraba)'!$K:$K,MATCH($B639,'Pliegos Tarifarios (Huechuraba)'!$A:$A,0))</f>
        <v>733.35299999999995</v>
      </c>
      <c r="S639" s="36">
        <f t="shared" si="27"/>
        <v>38316.523404621854</v>
      </c>
      <c r="T639" s="36">
        <f t="shared" si="28"/>
        <v>7280.1394468781527</v>
      </c>
      <c r="U639" s="19">
        <v>0</v>
      </c>
      <c r="V639" s="36">
        <f t="shared" si="29"/>
        <v>45596.662851500005</v>
      </c>
    </row>
  </sheetData>
  <autoFilter ref="A3:L639" xr:uid="{00000000-0001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082-0A40-4E7D-BE3A-777724BB0B33}">
  <dimension ref="A1:L13"/>
  <sheetViews>
    <sheetView workbookViewId="0">
      <selection activeCell="F26" sqref="F26"/>
    </sheetView>
  </sheetViews>
  <sheetFormatPr baseColWidth="10" defaultRowHeight="14.4" x14ac:dyDescent="0.3"/>
  <sheetData>
    <row r="1" spans="1:12" ht="57.6" x14ac:dyDescent="0.3">
      <c r="A1" s="17" t="s">
        <v>2</v>
      </c>
      <c r="B1" s="17" t="s">
        <v>171</v>
      </c>
      <c r="C1" s="17" t="s">
        <v>172</v>
      </c>
      <c r="D1" s="17" t="s">
        <v>173</v>
      </c>
      <c r="E1" s="17" t="s">
        <v>174</v>
      </c>
      <c r="F1" s="17" t="s">
        <v>177</v>
      </c>
      <c r="G1" s="17" t="s">
        <v>178</v>
      </c>
      <c r="H1" s="17" t="s">
        <v>179</v>
      </c>
      <c r="I1" s="17" t="s">
        <v>180</v>
      </c>
      <c r="J1" s="17" t="s">
        <v>181</v>
      </c>
      <c r="K1" s="18" t="s">
        <v>175</v>
      </c>
    </row>
    <row r="2" spans="1:12" x14ac:dyDescent="0.3">
      <c r="A2">
        <v>1</v>
      </c>
      <c r="B2">
        <v>118.83799999999999</v>
      </c>
      <c r="C2">
        <v>3415.1089999999999</v>
      </c>
      <c r="D2">
        <v>14106.605</v>
      </c>
      <c r="E2">
        <v>12.932</v>
      </c>
      <c r="F2">
        <v>0.78400000000000003</v>
      </c>
      <c r="G2">
        <f>$F2+0.892</f>
        <v>1.6760000000000002</v>
      </c>
      <c r="H2">
        <f>$F2+2.007</f>
        <v>2.7910000000000004</v>
      </c>
      <c r="I2">
        <f>$F2+2.787</f>
        <v>3.5709999999999997</v>
      </c>
      <c r="J2">
        <f>$F2+ 3.121</f>
        <v>3.9050000000000002</v>
      </c>
      <c r="K2">
        <v>710.78200000000004</v>
      </c>
      <c r="L2" s="19"/>
    </row>
    <row r="3" spans="1:12" x14ac:dyDescent="0.3">
      <c r="A3">
        <v>2</v>
      </c>
      <c r="B3">
        <v>118.83799999999999</v>
      </c>
      <c r="C3">
        <v>3430.681</v>
      </c>
      <c r="D3">
        <v>14122.175999999999</v>
      </c>
      <c r="E3">
        <v>12.932</v>
      </c>
      <c r="F3">
        <v>0.78400000000000003</v>
      </c>
      <c r="G3">
        <f t="shared" ref="G3:G13" si="0">$F3+0.892</f>
        <v>1.6760000000000002</v>
      </c>
      <c r="H3">
        <f t="shared" ref="H3:H13" si="1">$F3+2.007</f>
        <v>2.7910000000000004</v>
      </c>
      <c r="I3">
        <f t="shared" ref="I3:I13" si="2">$F3+2.787</f>
        <v>3.5709999999999997</v>
      </c>
      <c r="J3">
        <f t="shared" ref="J3:J13" si="3">$F3+ 3.121</f>
        <v>3.9050000000000002</v>
      </c>
      <c r="K3">
        <v>709.36099999999999</v>
      </c>
    </row>
    <row r="4" spans="1:12" x14ac:dyDescent="0.3">
      <c r="A4">
        <v>3</v>
      </c>
      <c r="B4">
        <v>118.83799999999999</v>
      </c>
      <c r="C4">
        <v>3492.2689999999998</v>
      </c>
      <c r="D4">
        <v>14192.815000000001</v>
      </c>
      <c r="E4">
        <v>12.932</v>
      </c>
      <c r="F4">
        <v>0.78400000000000003</v>
      </c>
      <c r="G4">
        <f t="shared" si="0"/>
        <v>1.6760000000000002</v>
      </c>
      <c r="H4">
        <f t="shared" si="1"/>
        <v>2.7910000000000004</v>
      </c>
      <c r="I4">
        <f t="shared" si="2"/>
        <v>3.5709999999999997</v>
      </c>
      <c r="J4">
        <f t="shared" si="3"/>
        <v>3.9050000000000002</v>
      </c>
      <c r="K4">
        <v>716.899</v>
      </c>
    </row>
    <row r="5" spans="1:12" x14ac:dyDescent="0.3">
      <c r="A5">
        <v>4</v>
      </c>
      <c r="B5">
        <v>118.83799999999999</v>
      </c>
      <c r="C5">
        <v>3429.857</v>
      </c>
      <c r="D5">
        <v>14128.42</v>
      </c>
      <c r="E5">
        <v>12.932</v>
      </c>
      <c r="F5">
        <v>0.78400000000000003</v>
      </c>
      <c r="G5">
        <f t="shared" si="0"/>
        <v>1.6760000000000002</v>
      </c>
      <c r="H5">
        <f t="shared" si="1"/>
        <v>2.7910000000000004</v>
      </c>
      <c r="I5">
        <f t="shared" si="2"/>
        <v>3.5709999999999997</v>
      </c>
      <c r="J5">
        <f t="shared" si="3"/>
        <v>3.9050000000000002</v>
      </c>
      <c r="K5">
        <v>719.68899999999996</v>
      </c>
    </row>
    <row r="6" spans="1:12" x14ac:dyDescent="0.3">
      <c r="A6">
        <v>5</v>
      </c>
      <c r="B6">
        <v>118.83799999999999</v>
      </c>
      <c r="C6">
        <v>3400.471</v>
      </c>
      <c r="D6">
        <v>14099.714</v>
      </c>
      <c r="E6">
        <v>12.932</v>
      </c>
      <c r="F6">
        <v>0.78400000000000003</v>
      </c>
      <c r="G6">
        <f t="shared" si="0"/>
        <v>1.6760000000000002</v>
      </c>
      <c r="H6">
        <f t="shared" si="1"/>
        <v>2.7910000000000004</v>
      </c>
      <c r="I6">
        <f t="shared" si="2"/>
        <v>3.5709999999999997</v>
      </c>
      <c r="J6">
        <f t="shared" si="3"/>
        <v>3.9050000000000002</v>
      </c>
      <c r="K6">
        <v>723.32799999999997</v>
      </c>
    </row>
    <row r="7" spans="1:12" x14ac:dyDescent="0.3">
      <c r="A7">
        <v>6</v>
      </c>
      <c r="B7">
        <v>118.83799999999999</v>
      </c>
      <c r="C7">
        <v>3460.5549999999998</v>
      </c>
      <c r="D7">
        <v>14164.529</v>
      </c>
      <c r="E7">
        <v>12.932</v>
      </c>
      <c r="F7">
        <v>0.78400000000000003</v>
      </c>
      <c r="G7">
        <f t="shared" si="0"/>
        <v>1.6760000000000002</v>
      </c>
      <c r="H7">
        <f t="shared" si="1"/>
        <v>2.7910000000000004</v>
      </c>
      <c r="I7">
        <f t="shared" si="2"/>
        <v>3.5709999999999997</v>
      </c>
      <c r="J7">
        <f t="shared" si="3"/>
        <v>3.9050000000000002</v>
      </c>
      <c r="K7">
        <v>724.74800000000005</v>
      </c>
    </row>
    <row r="8" spans="1:12" x14ac:dyDescent="0.3">
      <c r="A8">
        <v>7</v>
      </c>
      <c r="B8">
        <v>131.76300000000001</v>
      </c>
      <c r="C8">
        <v>3407.6390000000001</v>
      </c>
      <c r="D8">
        <v>14473</v>
      </c>
      <c r="E8">
        <v>13.023999999999999</v>
      </c>
      <c r="F8">
        <v>0.78400000000000003</v>
      </c>
      <c r="G8">
        <f t="shared" si="0"/>
        <v>1.6760000000000002</v>
      </c>
      <c r="H8">
        <f t="shared" si="1"/>
        <v>2.7910000000000004</v>
      </c>
      <c r="I8">
        <f t="shared" si="2"/>
        <v>3.5709999999999997</v>
      </c>
      <c r="J8">
        <f t="shared" si="3"/>
        <v>3.9050000000000002</v>
      </c>
      <c r="K8">
        <v>726.16</v>
      </c>
    </row>
    <row r="9" spans="1:12" x14ac:dyDescent="0.3">
      <c r="A9">
        <v>8</v>
      </c>
      <c r="B9">
        <v>131.76300000000001</v>
      </c>
      <c r="C9">
        <v>3400.7730000000001</v>
      </c>
      <c r="D9">
        <v>14463.655000000001</v>
      </c>
      <c r="E9">
        <v>13.023999999999999</v>
      </c>
      <c r="F9">
        <v>0.78400000000000003</v>
      </c>
      <c r="G9">
        <f t="shared" si="0"/>
        <v>1.6760000000000002</v>
      </c>
      <c r="H9">
        <f t="shared" si="1"/>
        <v>2.7910000000000004</v>
      </c>
      <c r="I9">
        <f t="shared" si="2"/>
        <v>3.5709999999999997</v>
      </c>
      <c r="J9">
        <f t="shared" si="3"/>
        <v>3.9050000000000002</v>
      </c>
      <c r="K9">
        <v>723.17600000000004</v>
      </c>
    </row>
    <row r="10" spans="1:12" x14ac:dyDescent="0.3">
      <c r="A10">
        <v>9</v>
      </c>
      <c r="B10">
        <v>131.76300000000001</v>
      </c>
      <c r="C10">
        <v>3442.319</v>
      </c>
      <c r="D10">
        <v>14512.134</v>
      </c>
      <c r="E10">
        <v>13.023999999999999</v>
      </c>
      <c r="F10">
        <v>0.78400000000000003</v>
      </c>
      <c r="G10">
        <f t="shared" si="0"/>
        <v>1.6760000000000002</v>
      </c>
      <c r="H10">
        <f t="shared" si="1"/>
        <v>2.7910000000000004</v>
      </c>
      <c r="I10">
        <f t="shared" si="2"/>
        <v>3.5709999999999997</v>
      </c>
      <c r="J10">
        <f t="shared" si="3"/>
        <v>3.9050000000000002</v>
      </c>
      <c r="K10">
        <v>729.50400000000002</v>
      </c>
    </row>
    <row r="11" spans="1:12" x14ac:dyDescent="0.3">
      <c r="A11">
        <v>10</v>
      </c>
      <c r="B11">
        <v>131.76300000000001</v>
      </c>
      <c r="C11">
        <v>3473.6640000000002</v>
      </c>
      <c r="D11">
        <v>14545.605</v>
      </c>
      <c r="E11">
        <v>13.023999999999999</v>
      </c>
      <c r="F11">
        <v>0.78400000000000003</v>
      </c>
      <c r="G11">
        <f t="shared" si="0"/>
        <v>1.6760000000000002</v>
      </c>
      <c r="H11">
        <f t="shared" si="1"/>
        <v>2.7910000000000004</v>
      </c>
      <c r="I11">
        <f t="shared" si="2"/>
        <v>3.5709999999999997</v>
      </c>
      <c r="J11">
        <f t="shared" si="3"/>
        <v>3.9050000000000002</v>
      </c>
      <c r="K11">
        <v>729.75599999999997</v>
      </c>
    </row>
    <row r="12" spans="1:12" x14ac:dyDescent="0.3">
      <c r="A12">
        <v>11</v>
      </c>
      <c r="B12">
        <v>131.76300000000001</v>
      </c>
      <c r="C12">
        <v>3475.4029999999998</v>
      </c>
      <c r="D12">
        <v>14549.672</v>
      </c>
      <c r="E12">
        <v>13.023999999999999</v>
      </c>
      <c r="F12">
        <v>0.78400000000000003</v>
      </c>
      <c r="G12">
        <f t="shared" si="0"/>
        <v>1.6760000000000002</v>
      </c>
      <c r="H12">
        <f t="shared" si="1"/>
        <v>2.7910000000000004</v>
      </c>
      <c r="I12">
        <f t="shared" si="2"/>
        <v>3.5709999999999997</v>
      </c>
      <c r="J12">
        <f t="shared" si="3"/>
        <v>3.9050000000000002</v>
      </c>
      <c r="K12">
        <v>732.99199999999996</v>
      </c>
    </row>
    <row r="13" spans="1:12" x14ac:dyDescent="0.3">
      <c r="A13">
        <v>12</v>
      </c>
      <c r="B13">
        <v>131.76300000000001</v>
      </c>
      <c r="C13">
        <v>3464.9830000000002</v>
      </c>
      <c r="D13">
        <v>14538.849</v>
      </c>
      <c r="E13">
        <v>13.023999999999999</v>
      </c>
      <c r="F13">
        <v>0.85499999999999998</v>
      </c>
      <c r="G13">
        <f t="shared" si="0"/>
        <v>1.7469999999999999</v>
      </c>
      <c r="H13">
        <f t="shared" si="1"/>
        <v>2.8620000000000001</v>
      </c>
      <c r="I13">
        <f t="shared" si="2"/>
        <v>3.6419999999999999</v>
      </c>
      <c r="J13">
        <f t="shared" si="3"/>
        <v>3.976</v>
      </c>
      <c r="K13">
        <v>733.35299999999995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workbookViewId="0">
      <selection sqref="A1:P1"/>
    </sheetView>
  </sheetViews>
  <sheetFormatPr baseColWidth="10" defaultColWidth="8.88671875" defaultRowHeight="14.4" x14ac:dyDescent="0.3"/>
  <cols>
    <col min="1" max="1" width="13" customWidth="1"/>
    <col min="2" max="2" width="26" customWidth="1"/>
    <col min="3" max="15" width="13" customWidth="1"/>
  </cols>
  <sheetData>
    <row r="1" spans="1:16" ht="28.05" customHeight="1" x14ac:dyDescent="0.3">
      <c r="A1" s="40" t="s">
        <v>155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3" spans="1:16" ht="22.05" customHeight="1" x14ac:dyDescent="0.3">
      <c r="A3" s="43" t="s">
        <v>156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6" ht="30" customHeight="1" x14ac:dyDescent="0.3">
      <c r="A4" s="1" t="s">
        <v>5</v>
      </c>
      <c r="B4" s="1" t="s">
        <v>7</v>
      </c>
      <c r="C4" s="2" t="s">
        <v>14</v>
      </c>
      <c r="D4" s="2" t="s">
        <v>144</v>
      </c>
      <c r="E4" s="2" t="s">
        <v>145</v>
      </c>
      <c r="F4" s="2" t="s">
        <v>146</v>
      </c>
      <c r="G4" s="2" t="s">
        <v>147</v>
      </c>
      <c r="H4" s="2" t="s">
        <v>148</v>
      </c>
      <c r="I4" s="2" t="s">
        <v>149</v>
      </c>
      <c r="J4" s="2" t="s">
        <v>150</v>
      </c>
      <c r="K4" s="2" t="s">
        <v>151</v>
      </c>
      <c r="L4" s="2" t="s">
        <v>152</v>
      </c>
      <c r="M4" s="2" t="s">
        <v>153</v>
      </c>
      <c r="N4" s="2" t="s">
        <v>154</v>
      </c>
      <c r="O4" s="1" t="s">
        <v>157</v>
      </c>
    </row>
    <row r="5" spans="1:16" x14ac:dyDescent="0.3">
      <c r="A5" s="3" t="s">
        <v>16</v>
      </c>
      <c r="B5" s="4" t="s">
        <v>18</v>
      </c>
      <c r="C5" s="5">
        <v>8017.1630999999998</v>
      </c>
      <c r="D5" s="5">
        <v>6465.9755999999998</v>
      </c>
      <c r="E5" s="5">
        <v>7352.4826000000003</v>
      </c>
      <c r="F5" s="5">
        <v>6277.2563</v>
      </c>
      <c r="G5" s="5">
        <v>7289.6094000000003</v>
      </c>
      <c r="H5" s="5">
        <v>6707.2506000000003</v>
      </c>
      <c r="I5" s="5">
        <v>7142.5402999999997</v>
      </c>
      <c r="J5" s="5">
        <v>7117.8568999999998</v>
      </c>
      <c r="K5" s="5">
        <v>6629.5118000000002</v>
      </c>
      <c r="L5" s="5">
        <v>8014.5571</v>
      </c>
      <c r="M5" s="5">
        <v>7969.7656999999999</v>
      </c>
      <c r="N5" s="5">
        <v>9741.2538000000004</v>
      </c>
      <c r="O5" s="11">
        <v>88725.223200000008</v>
      </c>
    </row>
    <row r="6" spans="1:16" x14ac:dyDescent="0.3">
      <c r="A6" s="7" t="s">
        <v>20</v>
      </c>
      <c r="B6" s="8" t="s">
        <v>22</v>
      </c>
      <c r="C6" s="9">
        <v>4015.0057000000002</v>
      </c>
      <c r="D6" s="9">
        <v>3236.0592999999999</v>
      </c>
      <c r="E6" s="9">
        <v>3669.6460999999999</v>
      </c>
      <c r="F6" s="9">
        <v>3144.1786000000002</v>
      </c>
      <c r="G6" s="9">
        <v>3643.4115999999999</v>
      </c>
      <c r="H6" s="9">
        <v>3344.7624000000001</v>
      </c>
      <c r="I6" s="9">
        <v>3557.3128999999999</v>
      </c>
      <c r="J6" s="9">
        <v>3556.3344000000002</v>
      </c>
      <c r="K6" s="9">
        <v>3304.8404999999998</v>
      </c>
      <c r="L6" s="9">
        <v>4002.8296</v>
      </c>
      <c r="M6" s="9">
        <v>3981.2266</v>
      </c>
      <c r="N6" s="9">
        <v>4861.7174000000005</v>
      </c>
      <c r="O6" s="11">
        <v>44317.325100000002</v>
      </c>
    </row>
    <row r="7" spans="1:16" x14ac:dyDescent="0.3">
      <c r="A7" s="3" t="s">
        <v>23</v>
      </c>
      <c r="B7" s="4" t="s">
        <v>24</v>
      </c>
      <c r="C7" s="5">
        <v>3215.0358999999999</v>
      </c>
      <c r="D7" s="5">
        <v>2581.9852000000001</v>
      </c>
      <c r="E7" s="5">
        <v>2934.9503</v>
      </c>
      <c r="F7" s="5">
        <v>2510.0906</v>
      </c>
      <c r="G7" s="5">
        <v>2910.1338000000001</v>
      </c>
      <c r="H7" s="5">
        <v>2668.2640999999999</v>
      </c>
      <c r="I7" s="5">
        <v>2848.8535000000002</v>
      </c>
      <c r="J7" s="5">
        <v>2850.3975</v>
      </c>
      <c r="K7" s="5">
        <v>2643.8836999999999</v>
      </c>
      <c r="L7" s="5">
        <v>3198.3334</v>
      </c>
      <c r="M7" s="5">
        <v>3187.6496999999999</v>
      </c>
      <c r="N7" s="5">
        <v>3894.9016999999999</v>
      </c>
      <c r="O7" s="11">
        <v>35444.479399999997</v>
      </c>
    </row>
    <row r="8" spans="1:16" x14ac:dyDescent="0.3">
      <c r="A8" s="7" t="s">
        <v>25</v>
      </c>
      <c r="B8" s="8" t="s">
        <v>26</v>
      </c>
      <c r="C8" s="9">
        <v>2672.1547</v>
      </c>
      <c r="D8" s="9">
        <v>2156.4425999999999</v>
      </c>
      <c r="E8" s="9">
        <v>2445.9214000000002</v>
      </c>
      <c r="F8" s="9">
        <v>2098.8312999999998</v>
      </c>
      <c r="G8" s="9">
        <v>2431.0028000000002</v>
      </c>
      <c r="H8" s="9">
        <v>2230.5900999999999</v>
      </c>
      <c r="I8" s="9">
        <v>2376.3532</v>
      </c>
      <c r="J8" s="9">
        <v>2373.7979</v>
      </c>
      <c r="K8" s="9">
        <v>2204.9623000000001</v>
      </c>
      <c r="L8" s="9">
        <v>2673.6725000000001</v>
      </c>
      <c r="M8" s="9">
        <v>2652.2975999999999</v>
      </c>
      <c r="N8" s="9">
        <v>3242.3162000000002</v>
      </c>
      <c r="O8" s="11">
        <v>29558.3426</v>
      </c>
    </row>
    <row r="9" spans="1:16" x14ac:dyDescent="0.3">
      <c r="A9" s="3" t="s">
        <v>27</v>
      </c>
      <c r="B9" s="4" t="s">
        <v>28</v>
      </c>
      <c r="C9" s="5">
        <v>2889.9791</v>
      </c>
      <c r="D9" s="5">
        <v>2328.1444999999999</v>
      </c>
      <c r="E9" s="5">
        <v>2644.0255999999999</v>
      </c>
      <c r="F9" s="5">
        <v>2267.5832999999998</v>
      </c>
      <c r="G9" s="5">
        <v>2631.8265000000001</v>
      </c>
      <c r="H9" s="5">
        <v>2409.9666000000002</v>
      </c>
      <c r="I9" s="5">
        <v>2559.6615000000002</v>
      </c>
      <c r="J9" s="5">
        <v>2560.4535000000001</v>
      </c>
      <c r="K9" s="5">
        <v>2382.2563</v>
      </c>
      <c r="L9" s="5">
        <v>2882.5866000000001</v>
      </c>
      <c r="M9" s="5">
        <v>2862.5131000000001</v>
      </c>
      <c r="N9" s="5">
        <v>3504.7654000000002</v>
      </c>
      <c r="O9" s="11">
        <v>31923.761999999999</v>
      </c>
    </row>
    <row r="10" spans="1:16" x14ac:dyDescent="0.3">
      <c r="A10" s="7" t="s">
        <v>29</v>
      </c>
      <c r="B10" s="8" t="s">
        <v>30</v>
      </c>
      <c r="C10" s="9">
        <v>1922.7836</v>
      </c>
      <c r="D10" s="9">
        <v>1553.1373000000001</v>
      </c>
      <c r="E10" s="9">
        <v>1762.4069</v>
      </c>
      <c r="F10" s="9">
        <v>1507.154</v>
      </c>
      <c r="G10" s="9">
        <v>1753.6941999999999</v>
      </c>
      <c r="H10" s="9">
        <v>1603.5962</v>
      </c>
      <c r="I10" s="9">
        <v>1706.7898</v>
      </c>
      <c r="J10" s="9">
        <v>1704.0758000000001</v>
      </c>
      <c r="K10" s="9">
        <v>1586.4187999999999</v>
      </c>
      <c r="L10" s="9">
        <v>1913.8620000000001</v>
      </c>
      <c r="M10" s="9">
        <v>1915.703</v>
      </c>
      <c r="N10" s="9">
        <v>2338.3078999999998</v>
      </c>
      <c r="O10" s="11">
        <v>21267.929499999998</v>
      </c>
    </row>
    <row r="11" spans="1:16" x14ac:dyDescent="0.3">
      <c r="A11" s="3" t="s">
        <v>31</v>
      </c>
      <c r="B11" s="4" t="s">
        <v>32</v>
      </c>
      <c r="C11" s="5">
        <v>641.88990000000001</v>
      </c>
      <c r="D11" s="5">
        <v>518.88580000000002</v>
      </c>
      <c r="E11" s="5">
        <v>585.91269999999997</v>
      </c>
      <c r="F11" s="5">
        <v>503.33229999999998</v>
      </c>
      <c r="G11" s="5">
        <v>583.80600000000004</v>
      </c>
      <c r="H11" s="5">
        <v>535.48180000000002</v>
      </c>
      <c r="I11" s="5">
        <v>569.51779999999997</v>
      </c>
      <c r="J11" s="5">
        <v>569.28840000000002</v>
      </c>
      <c r="K11" s="5">
        <v>528.71379999999999</v>
      </c>
      <c r="L11" s="5">
        <v>641.57280000000003</v>
      </c>
      <c r="M11" s="5">
        <v>637.34310000000005</v>
      </c>
      <c r="N11" s="5">
        <v>779.9076</v>
      </c>
      <c r="O11" s="11">
        <v>7095.652</v>
      </c>
    </row>
    <row r="12" spans="1:16" x14ac:dyDescent="0.3">
      <c r="A12" s="7" t="s">
        <v>34</v>
      </c>
      <c r="B12" s="8" t="s">
        <v>35</v>
      </c>
      <c r="C12" s="9">
        <v>1931.0001</v>
      </c>
      <c r="D12" s="9">
        <v>1554.6389999999999</v>
      </c>
      <c r="E12" s="9">
        <v>1766.2565</v>
      </c>
      <c r="F12" s="9">
        <v>1510.1639</v>
      </c>
      <c r="G12" s="9">
        <v>1752.6916000000001</v>
      </c>
      <c r="H12" s="9">
        <v>1608.5459000000001</v>
      </c>
      <c r="I12" s="9">
        <v>1705.3074999999999</v>
      </c>
      <c r="J12" s="9">
        <v>1707.1815999999999</v>
      </c>
      <c r="K12" s="9">
        <v>1586.5017</v>
      </c>
      <c r="L12" s="9">
        <v>1919.5386000000001</v>
      </c>
      <c r="M12" s="9">
        <v>1909.8042</v>
      </c>
      <c r="N12" s="9">
        <v>2341.0061999999998</v>
      </c>
      <c r="O12" s="11">
        <v>21292.6368</v>
      </c>
    </row>
    <row r="13" spans="1:16" x14ac:dyDescent="0.3">
      <c r="A13" s="3" t="s">
        <v>36</v>
      </c>
      <c r="B13" s="4" t="s">
        <v>38</v>
      </c>
      <c r="C13" s="5">
        <v>801.95039999999995</v>
      </c>
      <c r="D13" s="5">
        <v>646.84469999999999</v>
      </c>
      <c r="E13" s="5">
        <v>735.58299999999997</v>
      </c>
      <c r="F13" s="5">
        <v>629.12429999999995</v>
      </c>
      <c r="G13" s="5">
        <v>727.37670000000003</v>
      </c>
      <c r="H13" s="5">
        <v>669.25</v>
      </c>
      <c r="I13" s="5">
        <v>710.08770000000004</v>
      </c>
      <c r="J13" s="5">
        <v>711.10659999999996</v>
      </c>
      <c r="K13" s="5">
        <v>659.89170000000001</v>
      </c>
      <c r="L13" s="5">
        <v>800.90620000000001</v>
      </c>
      <c r="M13" s="5">
        <v>796.69590000000005</v>
      </c>
      <c r="N13" s="5">
        <v>975.14729999999997</v>
      </c>
      <c r="O13" s="11">
        <v>8863.9645</v>
      </c>
    </row>
    <row r="14" spans="1:16" x14ac:dyDescent="0.3">
      <c r="A14" s="7" t="s">
        <v>39</v>
      </c>
      <c r="B14" s="8" t="s">
        <v>40</v>
      </c>
      <c r="C14" s="9">
        <v>642.98130000000003</v>
      </c>
      <c r="D14" s="9">
        <v>516.68359999999996</v>
      </c>
      <c r="E14" s="9">
        <v>586.74249999999995</v>
      </c>
      <c r="F14" s="9">
        <v>503.78910000000002</v>
      </c>
      <c r="G14" s="9">
        <v>582.6232</v>
      </c>
      <c r="H14" s="9">
        <v>535.19269999999995</v>
      </c>
      <c r="I14" s="9">
        <v>568.1354</v>
      </c>
      <c r="J14" s="9">
        <v>568.69979999999998</v>
      </c>
      <c r="K14" s="9">
        <v>528.43060000000003</v>
      </c>
      <c r="L14" s="9">
        <v>639.92610000000002</v>
      </c>
      <c r="M14" s="9">
        <v>636.89599999999996</v>
      </c>
      <c r="N14" s="9">
        <v>780.21950000000004</v>
      </c>
      <c r="O14" s="11">
        <v>7090.3197999999993</v>
      </c>
    </row>
    <row r="15" spans="1:16" x14ac:dyDescent="0.3">
      <c r="A15" s="3" t="s">
        <v>41</v>
      </c>
      <c r="B15" s="4" t="s">
        <v>42</v>
      </c>
      <c r="C15" s="5">
        <v>1283.4444000000001</v>
      </c>
      <c r="D15" s="5">
        <v>1033.9082000000001</v>
      </c>
      <c r="E15" s="5">
        <v>1173.8728000000001</v>
      </c>
      <c r="F15" s="5">
        <v>1008.5674</v>
      </c>
      <c r="G15" s="5">
        <v>1168.0826</v>
      </c>
      <c r="H15" s="5">
        <v>1071.2230999999999</v>
      </c>
      <c r="I15" s="5">
        <v>1139.5179000000001</v>
      </c>
      <c r="J15" s="5">
        <v>1137.2723000000001</v>
      </c>
      <c r="K15" s="5">
        <v>1056.3040000000001</v>
      </c>
      <c r="L15" s="5">
        <v>1281.1481000000001</v>
      </c>
      <c r="M15" s="5">
        <v>1275.2282</v>
      </c>
      <c r="N15" s="5">
        <v>1557.9811999999999</v>
      </c>
      <c r="O15" s="11">
        <v>14186.5502</v>
      </c>
    </row>
    <row r="16" spans="1:16" x14ac:dyDescent="0.3">
      <c r="A16" s="7" t="s">
        <v>43</v>
      </c>
      <c r="B16" s="8" t="s">
        <v>44</v>
      </c>
      <c r="C16" s="9">
        <v>483.16840000000002</v>
      </c>
      <c r="D16" s="9">
        <v>388.56959999999998</v>
      </c>
      <c r="E16" s="9">
        <v>439.88979999999998</v>
      </c>
      <c r="F16" s="9">
        <v>376.65559999999999</v>
      </c>
      <c r="G16" s="9">
        <v>437.94110000000001</v>
      </c>
      <c r="H16" s="9">
        <v>401.36200000000002</v>
      </c>
      <c r="I16" s="9">
        <v>426.77359999999999</v>
      </c>
      <c r="J16" s="9">
        <v>427.38810000000001</v>
      </c>
      <c r="K16" s="9">
        <v>396.98050000000001</v>
      </c>
      <c r="L16" s="9">
        <v>481.2525</v>
      </c>
      <c r="M16" s="9">
        <v>478.041</v>
      </c>
      <c r="N16" s="9">
        <v>584.21849999999995</v>
      </c>
      <c r="O16" s="11">
        <v>5322.2407000000003</v>
      </c>
    </row>
    <row r="17" spans="1:15" x14ac:dyDescent="0.3">
      <c r="A17" s="3" t="s">
        <v>45</v>
      </c>
      <c r="B17" s="4" t="s">
        <v>46</v>
      </c>
      <c r="C17" s="5">
        <v>481.6191</v>
      </c>
      <c r="D17" s="5">
        <v>387.9504</v>
      </c>
      <c r="E17" s="5">
        <v>440.37290000000002</v>
      </c>
      <c r="F17" s="5">
        <v>376.38010000000003</v>
      </c>
      <c r="G17" s="5">
        <v>437.358</v>
      </c>
      <c r="H17" s="5">
        <v>402.45870000000002</v>
      </c>
      <c r="I17" s="5">
        <v>425.964</v>
      </c>
      <c r="J17" s="5">
        <v>427.57429999999999</v>
      </c>
      <c r="K17" s="5">
        <v>396.91</v>
      </c>
      <c r="L17" s="5">
        <v>481.19819999999999</v>
      </c>
      <c r="M17" s="5">
        <v>477.86200000000002</v>
      </c>
      <c r="N17" s="5">
        <v>584.94039999999995</v>
      </c>
      <c r="O17" s="11">
        <v>5320.5881000000008</v>
      </c>
    </row>
    <row r="18" spans="1:15" x14ac:dyDescent="0.3">
      <c r="A18" s="7" t="s">
        <v>47</v>
      </c>
      <c r="B18" s="8" t="s">
        <v>48</v>
      </c>
      <c r="C18" s="9">
        <v>963.471</v>
      </c>
      <c r="D18" s="9">
        <v>775.36270000000002</v>
      </c>
      <c r="E18" s="9">
        <v>882.62879999999996</v>
      </c>
      <c r="F18" s="9">
        <v>753.38660000000004</v>
      </c>
      <c r="G18" s="9">
        <v>871.54039999999998</v>
      </c>
      <c r="H18" s="9">
        <v>804.90279999999996</v>
      </c>
      <c r="I18" s="9">
        <v>853.66039999999998</v>
      </c>
      <c r="J18" s="9">
        <v>851.35929999999996</v>
      </c>
      <c r="K18" s="9">
        <v>794.11360000000002</v>
      </c>
      <c r="L18" s="9">
        <v>963.85839999999996</v>
      </c>
      <c r="M18" s="9">
        <v>955.34029999999996</v>
      </c>
      <c r="N18" s="9">
        <v>1170.3758</v>
      </c>
      <c r="O18" s="11">
        <v>10640.000099999999</v>
      </c>
    </row>
    <row r="19" spans="1:15" x14ac:dyDescent="0.3">
      <c r="A19" s="3" t="s">
        <v>49</v>
      </c>
      <c r="B19" s="4" t="s">
        <v>51</v>
      </c>
      <c r="C19" s="5">
        <v>962.08690000000001</v>
      </c>
      <c r="D19" s="5">
        <v>776.52149999999995</v>
      </c>
      <c r="E19" s="5">
        <v>880.67909999999995</v>
      </c>
      <c r="F19" s="5">
        <v>755.74929999999995</v>
      </c>
      <c r="G19" s="5">
        <v>874.66589999999997</v>
      </c>
      <c r="H19" s="5">
        <v>804.71680000000003</v>
      </c>
      <c r="I19" s="5">
        <v>853.18439999999998</v>
      </c>
      <c r="J19" s="5">
        <v>854.5797</v>
      </c>
      <c r="K19" s="5">
        <v>793.37860000000001</v>
      </c>
      <c r="L19" s="5">
        <v>962.54740000000004</v>
      </c>
      <c r="M19" s="5">
        <v>955.14490000000001</v>
      </c>
      <c r="N19" s="5">
        <v>1168.3665000000001</v>
      </c>
      <c r="O19" s="11">
        <v>10641.620999999999</v>
      </c>
    </row>
    <row r="20" spans="1:15" x14ac:dyDescent="0.3">
      <c r="A20" s="7" t="s">
        <v>52</v>
      </c>
      <c r="B20" s="8" t="s">
        <v>53</v>
      </c>
      <c r="C20" s="9">
        <v>967.30179999999996</v>
      </c>
      <c r="D20" s="9">
        <v>775.15779999999995</v>
      </c>
      <c r="E20" s="9">
        <v>881.26319999999998</v>
      </c>
      <c r="F20" s="9">
        <v>757.22349999999994</v>
      </c>
      <c r="G20" s="9">
        <v>875.8107</v>
      </c>
      <c r="H20" s="9">
        <v>805.01760000000002</v>
      </c>
      <c r="I20" s="9">
        <v>849.8066</v>
      </c>
      <c r="J20" s="9">
        <v>854.84630000000004</v>
      </c>
      <c r="K20" s="9">
        <v>795.75</v>
      </c>
      <c r="L20" s="9">
        <v>962.9769</v>
      </c>
      <c r="M20" s="9">
        <v>958.52639999999997</v>
      </c>
      <c r="N20" s="9">
        <v>1170.2539999999999</v>
      </c>
      <c r="O20" s="11">
        <v>10653.934800000001</v>
      </c>
    </row>
    <row r="21" spans="1:15" x14ac:dyDescent="0.3">
      <c r="A21" s="3" t="s">
        <v>54</v>
      </c>
      <c r="B21" s="4" t="s">
        <v>56</v>
      </c>
      <c r="C21" s="5">
        <v>482.53980000000001</v>
      </c>
      <c r="D21" s="5">
        <v>386.13580000000002</v>
      </c>
      <c r="E21" s="5">
        <v>441.11720000000003</v>
      </c>
      <c r="F21" s="5">
        <v>377.69409999999999</v>
      </c>
      <c r="G21" s="5">
        <v>438.6035</v>
      </c>
      <c r="H21" s="5">
        <v>401.18799999999999</v>
      </c>
      <c r="I21" s="5">
        <v>426.2414</v>
      </c>
      <c r="J21" s="5">
        <v>427.12009999999998</v>
      </c>
      <c r="K21" s="5">
        <v>394.28429999999997</v>
      </c>
      <c r="L21" s="5">
        <v>480.79259999999999</v>
      </c>
      <c r="M21" s="5">
        <v>478.2432</v>
      </c>
      <c r="N21" s="5">
        <v>583.75720000000001</v>
      </c>
      <c r="O21" s="11">
        <v>5317.7172</v>
      </c>
    </row>
    <row r="22" spans="1:15" x14ac:dyDescent="0.3">
      <c r="A22" s="7" t="s">
        <v>57</v>
      </c>
      <c r="B22" s="8" t="s">
        <v>59</v>
      </c>
      <c r="C22" s="9">
        <v>320.91969999999998</v>
      </c>
      <c r="D22" s="9">
        <v>258.67950000000002</v>
      </c>
      <c r="E22" s="9">
        <v>293.8032</v>
      </c>
      <c r="F22" s="9">
        <v>251.345</v>
      </c>
      <c r="G22" s="9">
        <v>292.27640000000002</v>
      </c>
      <c r="H22" s="9">
        <v>267.71679999999998</v>
      </c>
      <c r="I22" s="9">
        <v>283.86439999999999</v>
      </c>
      <c r="J22" s="9">
        <v>284.7457</v>
      </c>
      <c r="K22" s="9">
        <v>264.8526</v>
      </c>
      <c r="L22" s="9">
        <v>320.21850000000001</v>
      </c>
      <c r="M22" s="9">
        <v>319.30770000000001</v>
      </c>
      <c r="N22" s="9">
        <v>389.71969999999999</v>
      </c>
      <c r="O22" s="11">
        <v>3547.4492</v>
      </c>
    </row>
    <row r="23" spans="1:15" x14ac:dyDescent="0.3">
      <c r="A23" s="3" t="s">
        <v>60</v>
      </c>
      <c r="B23" s="4" t="s">
        <v>62</v>
      </c>
      <c r="C23" s="5">
        <v>322.00689999999997</v>
      </c>
      <c r="D23" s="5">
        <v>258.58960000000002</v>
      </c>
      <c r="E23" s="5">
        <v>292.9461</v>
      </c>
      <c r="F23" s="5">
        <v>252.03210000000001</v>
      </c>
      <c r="G23" s="5">
        <v>291.495</v>
      </c>
      <c r="H23" s="5">
        <v>267.0419</v>
      </c>
      <c r="I23" s="5">
        <v>283.91359999999997</v>
      </c>
      <c r="J23" s="5">
        <v>284.58199999999999</v>
      </c>
      <c r="K23" s="5">
        <v>264.68740000000003</v>
      </c>
      <c r="L23" s="5">
        <v>320.00740000000002</v>
      </c>
      <c r="M23" s="5">
        <v>319.37209999999999</v>
      </c>
      <c r="N23" s="5">
        <v>390.29950000000002</v>
      </c>
      <c r="O23" s="11">
        <v>3546.9735999999998</v>
      </c>
    </row>
    <row r="24" spans="1:15" x14ac:dyDescent="0.3">
      <c r="A24" s="7" t="s">
        <v>63</v>
      </c>
      <c r="B24" s="8" t="s">
        <v>65</v>
      </c>
      <c r="C24" s="9">
        <v>321.2491</v>
      </c>
      <c r="D24" s="9">
        <v>259.24759999999998</v>
      </c>
      <c r="E24" s="9">
        <v>294.1456</v>
      </c>
      <c r="F24" s="9">
        <v>251.66749999999999</v>
      </c>
      <c r="G24" s="9">
        <v>291.69150000000002</v>
      </c>
      <c r="H24" s="9">
        <v>268.0428</v>
      </c>
      <c r="I24" s="9">
        <v>284.36689999999999</v>
      </c>
      <c r="J24" s="9">
        <v>284.78620000000001</v>
      </c>
      <c r="K24" s="9">
        <v>263.5634</v>
      </c>
      <c r="L24" s="9">
        <v>320.51549999999997</v>
      </c>
      <c r="M24" s="9">
        <v>319.13299999999998</v>
      </c>
      <c r="N24" s="9">
        <v>389.94439999999997</v>
      </c>
      <c r="O24" s="11">
        <v>3548.3534999999988</v>
      </c>
    </row>
    <row r="25" spans="1:15" x14ac:dyDescent="0.3">
      <c r="A25" s="3" t="s">
        <v>66</v>
      </c>
      <c r="B25" s="4" t="s">
        <v>67</v>
      </c>
      <c r="C25" s="5">
        <v>640.71720000000005</v>
      </c>
      <c r="D25" s="5">
        <v>516.65520000000004</v>
      </c>
      <c r="E25" s="5">
        <v>585.9778</v>
      </c>
      <c r="F25" s="5">
        <v>502.86500000000001</v>
      </c>
      <c r="G25" s="5">
        <v>583.42550000000006</v>
      </c>
      <c r="H25" s="5">
        <v>534.24929999999995</v>
      </c>
      <c r="I25" s="5">
        <v>567.99969999999996</v>
      </c>
      <c r="J25" s="5">
        <v>569.72940000000006</v>
      </c>
      <c r="K25" s="5">
        <v>529.65830000000005</v>
      </c>
      <c r="L25" s="5">
        <v>640.03210000000001</v>
      </c>
      <c r="M25" s="5">
        <v>636.70770000000005</v>
      </c>
      <c r="N25" s="5">
        <v>779.60599999999999</v>
      </c>
      <c r="O25" s="11">
        <v>7087.6232000000009</v>
      </c>
    </row>
    <row r="26" spans="1:15" x14ac:dyDescent="0.3">
      <c r="A26" s="7" t="s">
        <v>68</v>
      </c>
      <c r="B26" s="8" t="s">
        <v>69</v>
      </c>
      <c r="C26" s="9">
        <v>641.2296</v>
      </c>
      <c r="D26" s="9">
        <v>517.78279999999995</v>
      </c>
      <c r="E26" s="9">
        <v>587.83730000000003</v>
      </c>
      <c r="F26" s="9">
        <v>503.97500000000002</v>
      </c>
      <c r="G26" s="9">
        <v>584.85400000000004</v>
      </c>
      <c r="H26" s="9">
        <v>536.10900000000004</v>
      </c>
      <c r="I26" s="9">
        <v>568.08280000000002</v>
      </c>
      <c r="J26" s="9">
        <v>568.9212</v>
      </c>
      <c r="K26" s="9">
        <v>529.02430000000004</v>
      </c>
      <c r="L26" s="9">
        <v>640.21559999999999</v>
      </c>
      <c r="M26" s="9">
        <v>638.04020000000003</v>
      </c>
      <c r="N26" s="9">
        <v>780.17020000000002</v>
      </c>
      <c r="O26" s="11">
        <v>7096.2420000000002</v>
      </c>
    </row>
    <row r="27" spans="1:15" x14ac:dyDescent="0.3">
      <c r="A27" s="3" t="s">
        <v>70</v>
      </c>
      <c r="B27" s="4" t="s">
        <v>71</v>
      </c>
      <c r="C27" s="5">
        <v>642.28179999999998</v>
      </c>
      <c r="D27" s="5">
        <v>517.48099999999999</v>
      </c>
      <c r="E27" s="5">
        <v>588.04330000000004</v>
      </c>
      <c r="F27" s="5">
        <v>503.17599999999999</v>
      </c>
      <c r="G27" s="5">
        <v>584.05650000000003</v>
      </c>
      <c r="H27" s="5">
        <v>535.89340000000004</v>
      </c>
      <c r="I27" s="5">
        <v>569.07830000000001</v>
      </c>
      <c r="J27" s="5">
        <v>570.29129999999998</v>
      </c>
      <c r="K27" s="5">
        <v>528.96720000000005</v>
      </c>
      <c r="L27" s="5">
        <v>641.15589999999997</v>
      </c>
      <c r="M27" s="5">
        <v>636.36710000000005</v>
      </c>
      <c r="N27" s="5">
        <v>778.38279999999997</v>
      </c>
      <c r="O27" s="11">
        <v>7095.1746000000012</v>
      </c>
    </row>
    <row r="28" spans="1:15" x14ac:dyDescent="0.3">
      <c r="A28" s="7" t="s">
        <v>72</v>
      </c>
      <c r="B28" s="8" t="s">
        <v>74</v>
      </c>
      <c r="C28" s="9">
        <v>802.9049</v>
      </c>
      <c r="D28" s="9">
        <v>645.46079999999995</v>
      </c>
      <c r="E28" s="9">
        <v>735.38800000000003</v>
      </c>
      <c r="F28" s="9">
        <v>628.98760000000004</v>
      </c>
      <c r="G28" s="9">
        <v>730.10950000000003</v>
      </c>
      <c r="H28" s="9">
        <v>668.52800000000002</v>
      </c>
      <c r="I28" s="9">
        <v>711.14419999999996</v>
      </c>
      <c r="J28" s="9">
        <v>713.27880000000005</v>
      </c>
      <c r="K28" s="9">
        <v>660.57169999999996</v>
      </c>
      <c r="L28" s="9">
        <v>799.90250000000003</v>
      </c>
      <c r="M28" s="9">
        <v>796.32690000000002</v>
      </c>
      <c r="N28" s="9">
        <v>971.1644</v>
      </c>
      <c r="O28" s="11">
        <v>8863.7672999999995</v>
      </c>
    </row>
    <row r="29" spans="1:15" x14ac:dyDescent="0.3">
      <c r="A29" s="3" t="s">
        <v>75</v>
      </c>
      <c r="B29" s="4" t="s">
        <v>77</v>
      </c>
      <c r="C29" s="5">
        <v>1286.4562000000001</v>
      </c>
      <c r="D29" s="5">
        <v>1035.6844000000001</v>
      </c>
      <c r="E29" s="5">
        <v>1176.2412999999999</v>
      </c>
      <c r="F29" s="5">
        <v>1008.4435</v>
      </c>
      <c r="G29" s="5">
        <v>1163.2</v>
      </c>
      <c r="H29" s="5">
        <v>1070.0467000000001</v>
      </c>
      <c r="I29" s="5">
        <v>1139.8433</v>
      </c>
      <c r="J29" s="5">
        <v>1138.1964</v>
      </c>
      <c r="K29" s="5">
        <v>1055.0934</v>
      </c>
      <c r="L29" s="5">
        <v>1281.7106000000001</v>
      </c>
      <c r="M29" s="5">
        <v>1275.1470999999999</v>
      </c>
      <c r="N29" s="5">
        <v>1559.6089999999999</v>
      </c>
      <c r="O29" s="11">
        <v>14189.671899999999</v>
      </c>
    </row>
    <row r="30" spans="1:15" x14ac:dyDescent="0.3">
      <c r="A30" s="7" t="s">
        <v>78</v>
      </c>
      <c r="B30" s="8" t="s">
        <v>79</v>
      </c>
      <c r="C30" s="9">
        <v>966.94140000000004</v>
      </c>
      <c r="D30" s="9">
        <v>774.81790000000001</v>
      </c>
      <c r="E30" s="9">
        <v>881.63440000000003</v>
      </c>
      <c r="F30" s="9">
        <v>757.28980000000001</v>
      </c>
      <c r="G30" s="9">
        <v>871.85379999999998</v>
      </c>
      <c r="H30" s="9">
        <v>804.19529999999997</v>
      </c>
      <c r="I30" s="9">
        <v>852.97559999999999</v>
      </c>
      <c r="J30" s="9">
        <v>853.42439999999999</v>
      </c>
      <c r="K30" s="9">
        <v>793.19389999999999</v>
      </c>
      <c r="L30" s="9">
        <v>960.22299999999996</v>
      </c>
      <c r="M30" s="9">
        <v>957.49369999999999</v>
      </c>
      <c r="N30" s="9">
        <v>1169.1402</v>
      </c>
      <c r="O30" s="11">
        <v>10643.1834</v>
      </c>
    </row>
    <row r="31" spans="1:15" x14ac:dyDescent="0.3">
      <c r="A31" s="3" t="s">
        <v>80</v>
      </c>
      <c r="B31" s="4" t="s">
        <v>82</v>
      </c>
      <c r="C31" s="5">
        <v>802.60640000000001</v>
      </c>
      <c r="D31" s="5">
        <v>646.8306</v>
      </c>
      <c r="E31" s="5">
        <v>735.245</v>
      </c>
      <c r="F31" s="5">
        <v>627.96209999999996</v>
      </c>
      <c r="G31" s="5">
        <v>730.37530000000004</v>
      </c>
      <c r="H31" s="5">
        <v>669.50419999999997</v>
      </c>
      <c r="I31" s="5">
        <v>711.7047</v>
      </c>
      <c r="J31" s="5">
        <v>710.79859999999996</v>
      </c>
      <c r="K31" s="5">
        <v>663.02149999999995</v>
      </c>
      <c r="L31" s="5">
        <v>800.56140000000005</v>
      </c>
      <c r="M31" s="5">
        <v>796.05349999999999</v>
      </c>
      <c r="N31" s="5">
        <v>972.47760000000005</v>
      </c>
      <c r="O31" s="11">
        <v>8867.1409000000003</v>
      </c>
    </row>
    <row r="32" spans="1:15" x14ac:dyDescent="0.3">
      <c r="A32" s="7" t="s">
        <v>83</v>
      </c>
      <c r="B32" s="8" t="s">
        <v>84</v>
      </c>
      <c r="C32" s="9">
        <v>534.32380000000001</v>
      </c>
      <c r="D32" s="9">
        <v>430.93959999999998</v>
      </c>
      <c r="E32" s="9">
        <v>489.61009999999999</v>
      </c>
      <c r="F32" s="9">
        <v>420.50540000000001</v>
      </c>
      <c r="G32" s="9">
        <v>486.22930000000002</v>
      </c>
      <c r="H32" s="9">
        <v>446.67840000000001</v>
      </c>
      <c r="I32" s="9">
        <v>474.0761</v>
      </c>
      <c r="J32" s="9">
        <v>473.46460000000002</v>
      </c>
      <c r="K32" s="9">
        <v>439.94159999999999</v>
      </c>
      <c r="L32" s="9">
        <v>533.97910000000002</v>
      </c>
      <c r="M32" s="9">
        <v>530.69910000000004</v>
      </c>
      <c r="N32" s="9">
        <v>649.76350000000002</v>
      </c>
      <c r="O32" s="11">
        <v>5910.2106000000013</v>
      </c>
    </row>
    <row r="33" spans="1:15" x14ac:dyDescent="0.3">
      <c r="A33" s="3" t="s">
        <v>85</v>
      </c>
      <c r="B33" s="4" t="s">
        <v>86</v>
      </c>
      <c r="C33" s="5">
        <v>642.42960000000005</v>
      </c>
      <c r="D33" s="5">
        <v>516.31449999999995</v>
      </c>
      <c r="E33" s="5">
        <v>586.34130000000005</v>
      </c>
      <c r="F33" s="5">
        <v>503.74489999999997</v>
      </c>
      <c r="G33" s="5">
        <v>583.20039999999995</v>
      </c>
      <c r="H33" s="5">
        <v>535.91409999999996</v>
      </c>
      <c r="I33" s="5">
        <v>568.95230000000004</v>
      </c>
      <c r="J33" s="5">
        <v>569.42259999999999</v>
      </c>
      <c r="K33" s="5">
        <v>529.97789999999998</v>
      </c>
      <c r="L33" s="5">
        <v>640.7903</v>
      </c>
      <c r="M33" s="5">
        <v>637.62120000000004</v>
      </c>
      <c r="N33" s="5">
        <v>780.57560000000001</v>
      </c>
      <c r="O33" s="11">
        <v>7095.2847000000002</v>
      </c>
    </row>
    <row r="34" spans="1:15" x14ac:dyDescent="0.3">
      <c r="A34" s="7" t="s">
        <v>87</v>
      </c>
      <c r="B34" s="8" t="s">
        <v>88</v>
      </c>
      <c r="C34" s="9">
        <v>642.16179999999997</v>
      </c>
      <c r="D34" s="9">
        <v>516.93219999999997</v>
      </c>
      <c r="E34" s="9">
        <v>587.03629999999998</v>
      </c>
      <c r="F34" s="9">
        <v>503.40460000000002</v>
      </c>
      <c r="G34" s="9">
        <v>583.90440000000001</v>
      </c>
      <c r="H34" s="9">
        <v>535.20240000000001</v>
      </c>
      <c r="I34" s="9">
        <v>569.22339999999997</v>
      </c>
      <c r="J34" s="9">
        <v>569.29409999999996</v>
      </c>
      <c r="K34" s="9">
        <v>528.00689999999997</v>
      </c>
      <c r="L34" s="9">
        <v>640.73919999999998</v>
      </c>
      <c r="M34" s="9">
        <v>637.10839999999996</v>
      </c>
      <c r="N34" s="9">
        <v>780.03779999999995</v>
      </c>
      <c r="O34" s="11">
        <v>7093.0514999999996</v>
      </c>
    </row>
    <row r="35" spans="1:15" x14ac:dyDescent="0.3">
      <c r="A35" s="3" t="s">
        <v>89</v>
      </c>
      <c r="B35" s="4" t="s">
        <v>90</v>
      </c>
      <c r="C35" s="5">
        <v>643.97059999999999</v>
      </c>
      <c r="D35" s="5">
        <v>516.53750000000002</v>
      </c>
      <c r="E35" s="5">
        <v>588.00429999999994</v>
      </c>
      <c r="F35" s="5">
        <v>503.32619999999997</v>
      </c>
      <c r="G35" s="5">
        <v>581.82150000000001</v>
      </c>
      <c r="H35" s="5">
        <v>535.53250000000003</v>
      </c>
      <c r="I35" s="5">
        <v>569.24599999999998</v>
      </c>
      <c r="J35" s="5">
        <v>569.98760000000004</v>
      </c>
      <c r="K35" s="5">
        <v>528.91359999999997</v>
      </c>
      <c r="L35" s="5">
        <v>642.24890000000005</v>
      </c>
      <c r="M35" s="5">
        <v>636.84799999999996</v>
      </c>
      <c r="N35" s="5">
        <v>778.68790000000001</v>
      </c>
      <c r="O35" s="11">
        <v>7095.1246000000001</v>
      </c>
    </row>
    <row r="36" spans="1:15" x14ac:dyDescent="0.3">
      <c r="A36" s="7" t="s">
        <v>91</v>
      </c>
      <c r="B36" s="8" t="s">
        <v>92</v>
      </c>
      <c r="C36" s="9">
        <v>801.79939999999999</v>
      </c>
      <c r="D36" s="9">
        <v>643.81209999999999</v>
      </c>
      <c r="E36" s="9">
        <v>734.43870000000004</v>
      </c>
      <c r="F36" s="9">
        <v>630.51890000000003</v>
      </c>
      <c r="G36" s="9">
        <v>728.82550000000003</v>
      </c>
      <c r="H36" s="9">
        <v>668.53269999999998</v>
      </c>
      <c r="I36" s="9">
        <v>712.24710000000005</v>
      </c>
      <c r="J36" s="9">
        <v>710.46600000000001</v>
      </c>
      <c r="K36" s="9">
        <v>661.47919999999999</v>
      </c>
      <c r="L36" s="9">
        <v>798.95429999999999</v>
      </c>
      <c r="M36" s="9">
        <v>797.09320000000002</v>
      </c>
      <c r="N36" s="9">
        <v>973.78359999999998</v>
      </c>
      <c r="O36" s="11">
        <v>8861.9507000000012</v>
      </c>
    </row>
    <row r="37" spans="1:15" x14ac:dyDescent="0.3">
      <c r="A37" s="3" t="s">
        <v>93</v>
      </c>
      <c r="B37" s="4" t="s">
        <v>95</v>
      </c>
      <c r="C37" s="5">
        <v>642.64099999999996</v>
      </c>
      <c r="D37" s="5">
        <v>515.39880000000005</v>
      </c>
      <c r="E37" s="5">
        <v>586.52809999999999</v>
      </c>
      <c r="F37" s="5">
        <v>502.38720000000001</v>
      </c>
      <c r="G37" s="5">
        <v>583.35609999999997</v>
      </c>
      <c r="H37" s="5">
        <v>533.44359999999995</v>
      </c>
      <c r="I37" s="5">
        <v>568.47559999999999</v>
      </c>
      <c r="J37" s="5">
        <v>568.90409999999997</v>
      </c>
      <c r="K37" s="5">
        <v>529.06709999999998</v>
      </c>
      <c r="L37" s="5">
        <v>640.55600000000004</v>
      </c>
      <c r="M37" s="5">
        <v>638.77409999999998</v>
      </c>
      <c r="N37" s="5">
        <v>780.18629999999996</v>
      </c>
      <c r="O37" s="11">
        <v>7089.7180000000008</v>
      </c>
    </row>
    <row r="38" spans="1:15" x14ac:dyDescent="0.3">
      <c r="A38" s="7" t="s">
        <v>96</v>
      </c>
      <c r="B38" s="8" t="s">
        <v>98</v>
      </c>
      <c r="C38" s="9">
        <v>963.63670000000002</v>
      </c>
      <c r="D38" s="9">
        <v>776.98919999999998</v>
      </c>
      <c r="E38" s="9">
        <v>880.60419999999999</v>
      </c>
      <c r="F38" s="9">
        <v>753.77670000000001</v>
      </c>
      <c r="G38" s="9">
        <v>874.84280000000001</v>
      </c>
      <c r="H38" s="9">
        <v>803.68880000000001</v>
      </c>
      <c r="I38" s="9">
        <v>853.51310000000001</v>
      </c>
      <c r="J38" s="9">
        <v>854.02560000000005</v>
      </c>
      <c r="K38" s="9">
        <v>794.66600000000005</v>
      </c>
      <c r="L38" s="9">
        <v>961.30079999999998</v>
      </c>
      <c r="M38" s="9">
        <v>956.94669999999996</v>
      </c>
      <c r="N38" s="9">
        <v>1170.1777</v>
      </c>
      <c r="O38" s="11">
        <v>10644.168299999999</v>
      </c>
    </row>
    <row r="39" spans="1:15" x14ac:dyDescent="0.3">
      <c r="A39" s="3" t="s">
        <v>99</v>
      </c>
      <c r="B39" s="4" t="s">
        <v>100</v>
      </c>
      <c r="C39" s="5">
        <v>962.79859999999996</v>
      </c>
      <c r="D39" s="5">
        <v>777.72249999999997</v>
      </c>
      <c r="E39" s="5">
        <v>879.78459999999995</v>
      </c>
      <c r="F39" s="5">
        <v>756.0634</v>
      </c>
      <c r="G39" s="5">
        <v>874.99159999999995</v>
      </c>
      <c r="H39" s="5">
        <v>802.47339999999997</v>
      </c>
      <c r="I39" s="5">
        <v>852.62289999999996</v>
      </c>
      <c r="J39" s="5">
        <v>853.00549999999998</v>
      </c>
      <c r="K39" s="5">
        <v>792.43510000000003</v>
      </c>
      <c r="L39" s="5">
        <v>961.67740000000003</v>
      </c>
      <c r="M39" s="5">
        <v>953.42020000000002</v>
      </c>
      <c r="N39" s="5">
        <v>1167.7661000000001</v>
      </c>
      <c r="O39" s="11">
        <v>10634.7613</v>
      </c>
    </row>
    <row r="40" spans="1:15" x14ac:dyDescent="0.3">
      <c r="A40" s="7" t="s">
        <v>101</v>
      </c>
      <c r="B40" s="8" t="s">
        <v>103</v>
      </c>
      <c r="C40" s="9">
        <v>2567.8575999999998</v>
      </c>
      <c r="D40" s="9">
        <v>2068.5655000000002</v>
      </c>
      <c r="E40" s="9">
        <v>2357.2244999999998</v>
      </c>
      <c r="F40" s="9">
        <v>2015.9532999999999</v>
      </c>
      <c r="G40" s="9">
        <v>2327.5088999999998</v>
      </c>
      <c r="H40" s="9">
        <v>2141.0356000000002</v>
      </c>
      <c r="I40" s="9">
        <v>2275.047</v>
      </c>
      <c r="J40" s="9">
        <v>2279.3400999999999</v>
      </c>
      <c r="K40" s="9">
        <v>2112.8442</v>
      </c>
      <c r="L40" s="9">
        <v>2563.6655999999998</v>
      </c>
      <c r="M40" s="9">
        <v>2547.4762000000001</v>
      </c>
      <c r="N40" s="9">
        <v>3122.3528999999999</v>
      </c>
      <c r="O40" s="11">
        <v>28378.8714</v>
      </c>
    </row>
    <row r="41" spans="1:15" x14ac:dyDescent="0.3">
      <c r="A41" s="3" t="s">
        <v>104</v>
      </c>
      <c r="B41" s="4" t="s">
        <v>106</v>
      </c>
      <c r="C41" s="5">
        <v>1931.2520999999999</v>
      </c>
      <c r="D41" s="5">
        <v>1551.4268</v>
      </c>
      <c r="E41" s="5">
        <v>1759.9339</v>
      </c>
      <c r="F41" s="5">
        <v>1506.3081999999999</v>
      </c>
      <c r="G41" s="5">
        <v>1750.0835</v>
      </c>
      <c r="H41" s="5">
        <v>1606.1112000000001</v>
      </c>
      <c r="I41" s="5">
        <v>1709.5368000000001</v>
      </c>
      <c r="J41" s="5">
        <v>1705.2462</v>
      </c>
      <c r="K41" s="5">
        <v>1582.6164000000001</v>
      </c>
      <c r="L41" s="5">
        <v>1921.6626000000001</v>
      </c>
      <c r="M41" s="5">
        <v>1911.5151000000001</v>
      </c>
      <c r="N41" s="5">
        <v>2341.0762</v>
      </c>
      <c r="O41" s="11">
        <v>21276.769</v>
      </c>
    </row>
    <row r="42" spans="1:15" x14ac:dyDescent="0.3">
      <c r="A42" s="7" t="s">
        <v>107</v>
      </c>
      <c r="B42" s="8" t="s">
        <v>109</v>
      </c>
      <c r="C42" s="9">
        <v>641.25379999999996</v>
      </c>
      <c r="D42" s="9">
        <v>515.71680000000003</v>
      </c>
      <c r="E42" s="9">
        <v>586.38829999999996</v>
      </c>
      <c r="F42" s="9">
        <v>503.02940000000001</v>
      </c>
      <c r="G42" s="9">
        <v>582.99369999999999</v>
      </c>
      <c r="H42" s="9">
        <v>534.88459999999998</v>
      </c>
      <c r="I42" s="9">
        <v>568.77660000000003</v>
      </c>
      <c r="J42" s="9">
        <v>569.83420000000001</v>
      </c>
      <c r="K42" s="9">
        <v>528.71479999999997</v>
      </c>
      <c r="L42" s="9">
        <v>640.60619999999994</v>
      </c>
      <c r="M42" s="9">
        <v>636.98140000000001</v>
      </c>
      <c r="N42" s="9">
        <v>779.09339999999997</v>
      </c>
      <c r="O42" s="11">
        <v>7088.2731999999996</v>
      </c>
    </row>
    <row r="43" spans="1:15" x14ac:dyDescent="0.3">
      <c r="A43" s="3" t="s">
        <v>110</v>
      </c>
      <c r="B43" s="4" t="s">
        <v>111</v>
      </c>
      <c r="C43" s="5">
        <v>1175.0531000000001</v>
      </c>
      <c r="D43" s="5">
        <v>950.15260000000001</v>
      </c>
      <c r="E43" s="5">
        <v>1077.5197000000001</v>
      </c>
      <c r="F43" s="5">
        <v>925.7722</v>
      </c>
      <c r="G43" s="5">
        <v>1069.6557</v>
      </c>
      <c r="H43" s="5">
        <v>980.11260000000004</v>
      </c>
      <c r="I43" s="5">
        <v>1043.6210000000001</v>
      </c>
      <c r="J43" s="5">
        <v>1044.655</v>
      </c>
      <c r="K43" s="5">
        <v>967.7047</v>
      </c>
      <c r="L43" s="5">
        <v>1175.3620000000001</v>
      </c>
      <c r="M43" s="5">
        <v>1167.4897000000001</v>
      </c>
      <c r="N43" s="5">
        <v>1429.2231999999999</v>
      </c>
      <c r="O43" s="11">
        <v>13006.3215</v>
      </c>
    </row>
    <row r="44" spans="1:15" x14ac:dyDescent="0.3">
      <c r="A44" s="7" t="s">
        <v>112</v>
      </c>
      <c r="B44" s="8" t="s">
        <v>114</v>
      </c>
      <c r="C44" s="9">
        <v>428.2022</v>
      </c>
      <c r="D44" s="9">
        <v>344.81229999999999</v>
      </c>
      <c r="E44" s="9">
        <v>390.92020000000002</v>
      </c>
      <c r="F44" s="9">
        <v>335.57679999999999</v>
      </c>
      <c r="G44" s="9">
        <v>389.46140000000003</v>
      </c>
      <c r="H44" s="9">
        <v>356.61009999999999</v>
      </c>
      <c r="I44" s="9">
        <v>378.95119999999997</v>
      </c>
      <c r="J44" s="9">
        <v>379.50470000000001</v>
      </c>
      <c r="K44" s="9">
        <v>351.95929999999998</v>
      </c>
      <c r="L44" s="9">
        <v>426.5976</v>
      </c>
      <c r="M44" s="9">
        <v>425.41969999999998</v>
      </c>
      <c r="N44" s="9">
        <v>519.92819999999995</v>
      </c>
      <c r="O44" s="11">
        <v>4727.9437000000007</v>
      </c>
    </row>
    <row r="45" spans="1:15" x14ac:dyDescent="0.3">
      <c r="A45" s="3" t="s">
        <v>115</v>
      </c>
      <c r="B45" s="4" t="s">
        <v>117</v>
      </c>
      <c r="C45" s="5">
        <v>482.56020000000001</v>
      </c>
      <c r="D45" s="5">
        <v>387.74849999999998</v>
      </c>
      <c r="E45" s="5">
        <v>441.42520000000002</v>
      </c>
      <c r="F45" s="5">
        <v>377.40069999999997</v>
      </c>
      <c r="G45" s="5">
        <v>438.33019999999999</v>
      </c>
      <c r="H45" s="5">
        <v>400.5564</v>
      </c>
      <c r="I45" s="5">
        <v>427.0034</v>
      </c>
      <c r="J45" s="5">
        <v>427.48590000000002</v>
      </c>
      <c r="K45" s="5">
        <v>397.12990000000002</v>
      </c>
      <c r="L45" s="5">
        <v>481.0872</v>
      </c>
      <c r="M45" s="5">
        <v>477.84539999999998</v>
      </c>
      <c r="N45" s="5">
        <v>583.9502</v>
      </c>
      <c r="O45" s="11">
        <v>5322.5232000000015</v>
      </c>
    </row>
    <row r="46" spans="1:15" x14ac:dyDescent="0.3">
      <c r="A46" s="7" t="s">
        <v>118</v>
      </c>
      <c r="B46" s="8" t="s">
        <v>120</v>
      </c>
      <c r="C46" s="9">
        <v>80.326999999999998</v>
      </c>
      <c r="D46" s="9">
        <v>64.589799999999997</v>
      </c>
      <c r="E46" s="9">
        <v>73.494699999999995</v>
      </c>
      <c r="F46" s="9">
        <v>62.880200000000002</v>
      </c>
      <c r="G46" s="9">
        <v>72.769900000000007</v>
      </c>
      <c r="H46" s="9">
        <v>66.793599999999998</v>
      </c>
      <c r="I46" s="9">
        <v>71.145499999999998</v>
      </c>
      <c r="J46" s="9">
        <v>71.123900000000006</v>
      </c>
      <c r="K46" s="9">
        <v>66.1678</v>
      </c>
      <c r="L46" s="9">
        <v>79.947400000000002</v>
      </c>
      <c r="M46" s="9">
        <v>79.630600000000001</v>
      </c>
      <c r="N46" s="9">
        <v>97.3566</v>
      </c>
      <c r="O46" s="11">
        <v>886.22699999999998</v>
      </c>
    </row>
    <row r="47" spans="1:15" x14ac:dyDescent="0.3">
      <c r="A47" s="3" t="s">
        <v>121</v>
      </c>
      <c r="B47" s="4" t="s">
        <v>122</v>
      </c>
      <c r="C47" s="5">
        <v>80.150599999999997</v>
      </c>
      <c r="D47" s="5">
        <v>64.689499999999995</v>
      </c>
      <c r="E47" s="5">
        <v>73.376800000000003</v>
      </c>
      <c r="F47" s="5">
        <v>62.907400000000003</v>
      </c>
      <c r="G47" s="5">
        <v>72.766300000000001</v>
      </c>
      <c r="H47" s="5">
        <v>66.832899999999995</v>
      </c>
      <c r="I47" s="5">
        <v>71.046000000000006</v>
      </c>
      <c r="J47" s="5">
        <v>71.162899999999993</v>
      </c>
      <c r="K47" s="5">
        <v>66.068399999999997</v>
      </c>
      <c r="L47" s="5">
        <v>80.147800000000004</v>
      </c>
      <c r="M47" s="5">
        <v>79.511200000000002</v>
      </c>
      <c r="N47" s="5">
        <v>97.346599999999995</v>
      </c>
      <c r="O47" s="11">
        <v>886.00639999999999</v>
      </c>
    </row>
    <row r="48" spans="1:15" x14ac:dyDescent="0.3">
      <c r="A48" s="7" t="s">
        <v>123</v>
      </c>
      <c r="B48" s="8" t="s">
        <v>125</v>
      </c>
      <c r="C48" s="9">
        <v>80.507300000000001</v>
      </c>
      <c r="D48" s="9">
        <v>64.838899999999995</v>
      </c>
      <c r="E48" s="9">
        <v>73.550399999999996</v>
      </c>
      <c r="F48" s="9">
        <v>62.920099999999998</v>
      </c>
      <c r="G48" s="9">
        <v>72.980699999999999</v>
      </c>
      <c r="H48" s="9">
        <v>66.874200000000002</v>
      </c>
      <c r="I48" s="9">
        <v>71.043300000000002</v>
      </c>
      <c r="J48" s="9">
        <v>70.944500000000005</v>
      </c>
      <c r="K48" s="9">
        <v>66.168599999999998</v>
      </c>
      <c r="L48" s="9">
        <v>80.231999999999999</v>
      </c>
      <c r="M48" s="9">
        <v>79.775499999999994</v>
      </c>
      <c r="N48" s="9">
        <v>97.411799999999999</v>
      </c>
      <c r="O48" s="11">
        <v>887.24729999999988</v>
      </c>
    </row>
    <row r="49" spans="1:15" x14ac:dyDescent="0.3">
      <c r="A49" s="3" t="s">
        <v>126</v>
      </c>
      <c r="B49" s="4" t="s">
        <v>127</v>
      </c>
      <c r="C49" s="5">
        <v>133.99029999999999</v>
      </c>
      <c r="D49" s="5">
        <v>107.69710000000001</v>
      </c>
      <c r="E49" s="5">
        <v>122.3125</v>
      </c>
      <c r="F49" s="5">
        <v>104.93819999999999</v>
      </c>
      <c r="G49" s="5">
        <v>121.5652</v>
      </c>
      <c r="H49" s="5">
        <v>111.3823</v>
      </c>
      <c r="I49" s="5">
        <v>118.45099999999999</v>
      </c>
      <c r="J49" s="5">
        <v>118.7649</v>
      </c>
      <c r="K49" s="5">
        <v>110.0724</v>
      </c>
      <c r="L49" s="5">
        <v>133.32069999999999</v>
      </c>
      <c r="M49" s="5">
        <v>132.55699999999999</v>
      </c>
      <c r="N49" s="5">
        <v>162.59119999999999</v>
      </c>
      <c r="O49" s="11">
        <v>1477.6428000000001</v>
      </c>
    </row>
    <row r="50" spans="1:15" x14ac:dyDescent="0.3">
      <c r="A50" s="7" t="s">
        <v>128</v>
      </c>
      <c r="B50" s="8" t="s">
        <v>129</v>
      </c>
      <c r="C50" s="9">
        <v>80.275700000000001</v>
      </c>
      <c r="D50" s="9">
        <v>64.782799999999995</v>
      </c>
      <c r="E50" s="9">
        <v>73.632400000000004</v>
      </c>
      <c r="F50" s="9">
        <v>62.963900000000002</v>
      </c>
      <c r="G50" s="9">
        <v>72.882300000000001</v>
      </c>
      <c r="H50" s="9">
        <v>66.9375</v>
      </c>
      <c r="I50" s="9">
        <v>71.291499999999999</v>
      </c>
      <c r="J50" s="9">
        <v>71.226799999999997</v>
      </c>
      <c r="K50" s="9">
        <v>66.167299999999997</v>
      </c>
      <c r="L50" s="9">
        <v>80.029899999999998</v>
      </c>
      <c r="M50" s="9">
        <v>79.450900000000004</v>
      </c>
      <c r="N50" s="9">
        <v>97.616799999999998</v>
      </c>
      <c r="O50" s="11">
        <v>887.25779999999997</v>
      </c>
    </row>
    <row r="51" spans="1:15" x14ac:dyDescent="0.3">
      <c r="A51" s="3" t="s">
        <v>130</v>
      </c>
      <c r="B51" s="4" t="s">
        <v>131</v>
      </c>
      <c r="C51" s="5">
        <v>80.260999999999996</v>
      </c>
      <c r="D51" s="5">
        <v>64.7637</v>
      </c>
      <c r="E51" s="5">
        <v>73.397599999999997</v>
      </c>
      <c r="F51" s="5">
        <v>63.029600000000002</v>
      </c>
      <c r="G51" s="5">
        <v>72.8733</v>
      </c>
      <c r="H51" s="5">
        <v>67.030299999999997</v>
      </c>
      <c r="I51" s="5">
        <v>71.101799999999997</v>
      </c>
      <c r="J51" s="5">
        <v>71.216399999999993</v>
      </c>
      <c r="K51" s="5">
        <v>66.032499999999999</v>
      </c>
      <c r="L51" s="5">
        <v>80.202500000000001</v>
      </c>
      <c r="M51" s="5">
        <v>79.861599999999996</v>
      </c>
      <c r="N51" s="5">
        <v>97.296599999999998</v>
      </c>
      <c r="O51" s="11">
        <v>887.06690000000003</v>
      </c>
    </row>
    <row r="52" spans="1:15" x14ac:dyDescent="0.3">
      <c r="A52" s="7" t="s">
        <v>132</v>
      </c>
      <c r="B52" s="8" t="s">
        <v>133</v>
      </c>
      <c r="C52" s="9">
        <v>80.273799999999994</v>
      </c>
      <c r="D52" s="9">
        <v>64.7</v>
      </c>
      <c r="E52" s="9">
        <v>73.540599999999998</v>
      </c>
      <c r="F52" s="9">
        <v>62.942900000000002</v>
      </c>
      <c r="G52" s="9">
        <v>72.912199999999999</v>
      </c>
      <c r="H52" s="9">
        <v>66.907600000000002</v>
      </c>
      <c r="I52" s="9">
        <v>71.155000000000001</v>
      </c>
      <c r="J52" s="9">
        <v>71.125399999999999</v>
      </c>
      <c r="K52" s="9">
        <v>66.138499999999993</v>
      </c>
      <c r="L52" s="9">
        <v>80.102500000000006</v>
      </c>
      <c r="M52" s="9">
        <v>79.5702</v>
      </c>
      <c r="N52" s="9">
        <v>97.504199999999997</v>
      </c>
      <c r="O52" s="11">
        <v>886.87289999999996</v>
      </c>
    </row>
    <row r="53" spans="1:15" x14ac:dyDescent="0.3">
      <c r="A53" s="3" t="s">
        <v>134</v>
      </c>
      <c r="B53" s="4" t="s">
        <v>135</v>
      </c>
      <c r="C53" s="5">
        <v>160.8288</v>
      </c>
      <c r="D53" s="5">
        <v>129.26419999999999</v>
      </c>
      <c r="E53" s="5">
        <v>146.60849999999999</v>
      </c>
      <c r="F53" s="5">
        <v>125.90560000000001</v>
      </c>
      <c r="G53" s="5">
        <v>145.62790000000001</v>
      </c>
      <c r="H53" s="5">
        <v>133.77780000000001</v>
      </c>
      <c r="I53" s="5">
        <v>141.79759999999999</v>
      </c>
      <c r="J53" s="5">
        <v>142.21539999999999</v>
      </c>
      <c r="K53" s="5">
        <v>132.26</v>
      </c>
      <c r="L53" s="5">
        <v>160.35249999999999</v>
      </c>
      <c r="M53" s="5">
        <v>159.45480000000001</v>
      </c>
      <c r="N53" s="5">
        <v>194.54499999999999</v>
      </c>
      <c r="O53" s="11">
        <v>1772.6380999999999</v>
      </c>
    </row>
    <row r="54" spans="1:15" x14ac:dyDescent="0.3">
      <c r="A54" s="7" t="s">
        <v>136</v>
      </c>
      <c r="B54" s="8" t="s">
        <v>137</v>
      </c>
      <c r="C54" s="9">
        <v>160.67400000000001</v>
      </c>
      <c r="D54" s="9">
        <v>129.38030000000001</v>
      </c>
      <c r="E54" s="9">
        <v>147.0729</v>
      </c>
      <c r="F54" s="9">
        <v>125.6994</v>
      </c>
      <c r="G54" s="9">
        <v>145.75370000000001</v>
      </c>
      <c r="H54" s="9">
        <v>133.4641</v>
      </c>
      <c r="I54" s="9">
        <v>141.92009999999999</v>
      </c>
      <c r="J54" s="9">
        <v>142.55680000000001</v>
      </c>
      <c r="K54" s="9">
        <v>132.15690000000001</v>
      </c>
      <c r="L54" s="9">
        <v>160.322</v>
      </c>
      <c r="M54" s="9">
        <v>159.46350000000001</v>
      </c>
      <c r="N54" s="9">
        <v>195.0531</v>
      </c>
      <c r="O54" s="11">
        <v>1773.5168000000001</v>
      </c>
    </row>
    <row r="55" spans="1:15" x14ac:dyDescent="0.3">
      <c r="A55" s="3" t="s">
        <v>138</v>
      </c>
      <c r="B55" s="4" t="s">
        <v>139</v>
      </c>
      <c r="C55" s="5">
        <v>160.3289</v>
      </c>
      <c r="D55" s="5">
        <v>129.5419</v>
      </c>
      <c r="E55" s="5">
        <v>147.02809999999999</v>
      </c>
      <c r="F55" s="5">
        <v>126.0749</v>
      </c>
      <c r="G55" s="5">
        <v>145.75720000000001</v>
      </c>
      <c r="H55" s="5">
        <v>133.7313</v>
      </c>
      <c r="I55" s="5">
        <v>141.946</v>
      </c>
      <c r="J55" s="5">
        <v>142.4726</v>
      </c>
      <c r="K55" s="5">
        <v>132.02090000000001</v>
      </c>
      <c r="L55" s="5">
        <v>160.6541</v>
      </c>
      <c r="M55" s="5">
        <v>159.262</v>
      </c>
      <c r="N55" s="5">
        <v>195.1437</v>
      </c>
      <c r="O55" s="11">
        <v>1773.9616000000001</v>
      </c>
    </row>
    <row r="56" spans="1:15" x14ac:dyDescent="0.3">
      <c r="A56" s="7" t="s">
        <v>140</v>
      </c>
      <c r="B56" s="8" t="s">
        <v>141</v>
      </c>
      <c r="C56" s="9">
        <v>80.274100000000004</v>
      </c>
      <c r="D56" s="9">
        <v>64.648499999999999</v>
      </c>
      <c r="E56" s="9">
        <v>73.314499999999995</v>
      </c>
      <c r="F56" s="9">
        <v>62.700299999999999</v>
      </c>
      <c r="G56" s="9">
        <v>72.953199999999995</v>
      </c>
      <c r="H56" s="9">
        <v>66.881699999999995</v>
      </c>
      <c r="I56" s="9">
        <v>71.000900000000001</v>
      </c>
      <c r="J56" s="9">
        <v>71.191000000000003</v>
      </c>
      <c r="K56" s="9">
        <v>66.211799999999997</v>
      </c>
      <c r="L56" s="9">
        <v>80.039500000000004</v>
      </c>
      <c r="M56" s="9">
        <v>79.731999999999999</v>
      </c>
      <c r="N56" s="9">
        <v>97.336699999999993</v>
      </c>
      <c r="O56" s="11">
        <v>886.28419999999994</v>
      </c>
    </row>
    <row r="57" spans="1:15" x14ac:dyDescent="0.3">
      <c r="A57" s="3" t="s">
        <v>142</v>
      </c>
      <c r="B57" s="4" t="s">
        <v>143</v>
      </c>
      <c r="C57" s="5">
        <v>160.7526</v>
      </c>
      <c r="D57" s="5">
        <v>129.61070000000001</v>
      </c>
      <c r="E57" s="5">
        <v>146.6687</v>
      </c>
      <c r="F57" s="5">
        <v>125.94759999999999</v>
      </c>
      <c r="G57" s="5">
        <v>145.80189999999999</v>
      </c>
      <c r="H57" s="5">
        <v>133.89500000000001</v>
      </c>
      <c r="I57" s="5">
        <v>141.85</v>
      </c>
      <c r="J57" s="5">
        <v>142.5367</v>
      </c>
      <c r="K57" s="5">
        <v>132.11709999999999</v>
      </c>
      <c r="L57" s="5">
        <v>159.88040000000001</v>
      </c>
      <c r="M57" s="5">
        <v>159.47659999999999</v>
      </c>
      <c r="N57" s="5">
        <v>195.19370000000001</v>
      </c>
      <c r="O57" s="11">
        <v>1773.731</v>
      </c>
    </row>
    <row r="58" spans="1:15" ht="18" customHeight="1" x14ac:dyDescent="0.3">
      <c r="A58" s="12" t="s">
        <v>158</v>
      </c>
      <c r="B58" s="12" t="s">
        <v>159</v>
      </c>
      <c r="C58" s="13">
        <v>53519.472999999998</v>
      </c>
      <c r="D58" s="13">
        <v>43105.20930000001</v>
      </c>
      <c r="E58" s="13">
        <v>48964.770500000013</v>
      </c>
      <c r="F58" s="13">
        <v>41931.581899999997</v>
      </c>
      <c r="G58" s="13">
        <v>48603.364299999987</v>
      </c>
      <c r="H58" s="13">
        <v>44620.381499999989</v>
      </c>
      <c r="I58" s="13">
        <v>47447.722599999986</v>
      </c>
      <c r="J58" s="13">
        <v>47439.259999999987</v>
      </c>
      <c r="K58" s="13">
        <v>44082.804800000013</v>
      </c>
      <c r="L58" s="13">
        <v>53390.55999999999</v>
      </c>
      <c r="M58" s="13">
        <v>53105.214200000009</v>
      </c>
      <c r="N58" s="13">
        <v>64940.949000000022</v>
      </c>
      <c r="O58" s="13">
        <v>591151.29110000038</v>
      </c>
    </row>
    <row r="60" spans="1:15" ht="22.05" customHeight="1" x14ac:dyDescent="0.3">
      <c r="A60" s="42" t="s">
        <v>160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</row>
    <row r="61" spans="1:15" ht="30" customHeight="1" x14ac:dyDescent="0.3">
      <c r="A61" s="1" t="s">
        <v>5</v>
      </c>
      <c r="B61" s="1" t="s">
        <v>7</v>
      </c>
      <c r="C61" s="2" t="s">
        <v>14</v>
      </c>
      <c r="D61" s="2" t="s">
        <v>144</v>
      </c>
      <c r="E61" s="2" t="s">
        <v>145</v>
      </c>
      <c r="F61" s="2" t="s">
        <v>146</v>
      </c>
      <c r="G61" s="2" t="s">
        <v>147</v>
      </c>
      <c r="H61" s="2" t="s">
        <v>148</v>
      </c>
      <c r="I61" s="2" t="s">
        <v>149</v>
      </c>
      <c r="J61" s="2" t="s">
        <v>150</v>
      </c>
      <c r="K61" s="2" t="s">
        <v>151</v>
      </c>
      <c r="L61" s="2" t="s">
        <v>152</v>
      </c>
      <c r="M61" s="2" t="s">
        <v>153</v>
      </c>
      <c r="N61" s="2" t="s">
        <v>154</v>
      </c>
      <c r="O61" s="1" t="s">
        <v>157</v>
      </c>
    </row>
    <row r="62" spans="1:15" x14ac:dyDescent="0.3">
      <c r="A62" s="3" t="s">
        <v>16</v>
      </c>
      <c r="B62" s="4" t="s">
        <v>18</v>
      </c>
      <c r="C62" s="5">
        <v>21.105799999999999</v>
      </c>
      <c r="D62" s="5">
        <v>19.523099999999999</v>
      </c>
      <c r="E62" s="5">
        <v>19.650099999999998</v>
      </c>
      <c r="F62" s="5">
        <v>17.8659</v>
      </c>
      <c r="G62" s="5">
        <v>20.498699999999999</v>
      </c>
      <c r="H62" s="5">
        <v>18.6494</v>
      </c>
      <c r="I62" s="5">
        <v>18.965399999999999</v>
      </c>
      <c r="J62" s="5">
        <v>19.185400000000001</v>
      </c>
      <c r="K62" s="5">
        <v>18.707999999999998</v>
      </c>
      <c r="L62" s="5">
        <v>21.306899999999999</v>
      </c>
      <c r="M62" s="5">
        <v>21.9115</v>
      </c>
      <c r="N62" s="5">
        <v>25.667400000000001</v>
      </c>
      <c r="O62" s="11">
        <v>25.667400000000001</v>
      </c>
    </row>
    <row r="63" spans="1:15" x14ac:dyDescent="0.3">
      <c r="A63" s="7" t="s">
        <v>20</v>
      </c>
      <c r="B63" s="8" t="s">
        <v>22</v>
      </c>
      <c r="C63" s="9">
        <v>10.691800000000001</v>
      </c>
      <c r="D63" s="9">
        <v>9.5942000000000007</v>
      </c>
      <c r="E63" s="9">
        <v>9.7745999999999995</v>
      </c>
      <c r="F63" s="9">
        <v>8.8559999999999999</v>
      </c>
      <c r="G63" s="9">
        <v>9.6661999999999999</v>
      </c>
      <c r="H63" s="9">
        <v>9.3635999999999999</v>
      </c>
      <c r="I63" s="9">
        <v>9.6600999999999999</v>
      </c>
      <c r="J63" s="9">
        <v>9.6690000000000005</v>
      </c>
      <c r="K63" s="9">
        <v>9.3696000000000002</v>
      </c>
      <c r="L63" s="9">
        <v>10.6927</v>
      </c>
      <c r="M63" s="9">
        <v>11.1501</v>
      </c>
      <c r="N63" s="9">
        <v>12.686500000000001</v>
      </c>
      <c r="O63" s="11">
        <v>12.686500000000001</v>
      </c>
    </row>
    <row r="64" spans="1:15" x14ac:dyDescent="0.3">
      <c r="A64" s="3" t="s">
        <v>23</v>
      </c>
      <c r="B64" s="4" t="s">
        <v>24</v>
      </c>
      <c r="C64" s="5">
        <v>8.6385000000000005</v>
      </c>
      <c r="D64" s="5">
        <v>7.8562000000000003</v>
      </c>
      <c r="E64" s="5">
        <v>7.8753000000000002</v>
      </c>
      <c r="F64" s="5">
        <v>7.0696000000000003</v>
      </c>
      <c r="G64" s="5">
        <v>7.9131999999999998</v>
      </c>
      <c r="H64" s="5">
        <v>7.6387</v>
      </c>
      <c r="I64" s="5">
        <v>7.5270999999999999</v>
      </c>
      <c r="J64" s="5">
        <v>7.7587999999999999</v>
      </c>
      <c r="K64" s="5">
        <v>7.4215999999999998</v>
      </c>
      <c r="L64" s="5">
        <v>8.5965000000000007</v>
      </c>
      <c r="M64" s="5">
        <v>8.8093000000000004</v>
      </c>
      <c r="N64" s="5">
        <v>10.105700000000001</v>
      </c>
      <c r="O64" s="11">
        <v>10.105700000000001</v>
      </c>
    </row>
    <row r="65" spans="1:15" x14ac:dyDescent="0.3">
      <c r="A65" s="7" t="s">
        <v>25</v>
      </c>
      <c r="B65" s="8" t="s">
        <v>26</v>
      </c>
      <c r="C65" s="9">
        <v>7.1231</v>
      </c>
      <c r="D65" s="9">
        <v>6.57</v>
      </c>
      <c r="E65" s="9">
        <v>6.5820999999999996</v>
      </c>
      <c r="F65" s="9">
        <v>5.9537000000000004</v>
      </c>
      <c r="G65" s="9">
        <v>6.6493000000000002</v>
      </c>
      <c r="H65" s="9">
        <v>6.1505000000000001</v>
      </c>
      <c r="I65" s="9">
        <v>6.3945999999999996</v>
      </c>
      <c r="J65" s="9">
        <v>6.4122000000000003</v>
      </c>
      <c r="K65" s="9">
        <v>6.1261000000000001</v>
      </c>
      <c r="L65" s="9">
        <v>7.2302999999999997</v>
      </c>
      <c r="M65" s="9">
        <v>7.3166000000000002</v>
      </c>
      <c r="N65" s="9">
        <v>8.516</v>
      </c>
      <c r="O65" s="11">
        <v>8.516</v>
      </c>
    </row>
    <row r="66" spans="1:15" x14ac:dyDescent="0.3">
      <c r="A66" s="3" t="s">
        <v>27</v>
      </c>
      <c r="B66" s="4" t="s">
        <v>28</v>
      </c>
      <c r="C66" s="5">
        <v>7.8140000000000001</v>
      </c>
      <c r="D66" s="5">
        <v>7.0090000000000003</v>
      </c>
      <c r="E66" s="5">
        <v>7.1471999999999998</v>
      </c>
      <c r="F66" s="5">
        <v>6.4101999999999997</v>
      </c>
      <c r="G66" s="5">
        <v>7.0965999999999996</v>
      </c>
      <c r="H66" s="5">
        <v>6.7039999999999997</v>
      </c>
      <c r="I66" s="5">
        <v>6.9646999999999997</v>
      </c>
      <c r="J66" s="5">
        <v>6.8747999999999996</v>
      </c>
      <c r="K66" s="5">
        <v>6.5951000000000004</v>
      </c>
      <c r="L66" s="5">
        <v>7.5819999999999999</v>
      </c>
      <c r="M66" s="5">
        <v>7.7991000000000001</v>
      </c>
      <c r="N66" s="5">
        <v>9.2680000000000007</v>
      </c>
      <c r="O66" s="11">
        <v>9.2680000000000007</v>
      </c>
    </row>
    <row r="67" spans="1:15" x14ac:dyDescent="0.3">
      <c r="A67" s="7" t="s">
        <v>29</v>
      </c>
      <c r="B67" s="8" t="s">
        <v>30</v>
      </c>
      <c r="C67" s="9">
        <v>5.0949999999999998</v>
      </c>
      <c r="D67" s="9">
        <v>4.6856999999999998</v>
      </c>
      <c r="E67" s="9">
        <v>4.7244999999999999</v>
      </c>
      <c r="F67" s="9">
        <v>4.1459000000000001</v>
      </c>
      <c r="G67" s="9">
        <v>4.7404999999999999</v>
      </c>
      <c r="H67" s="9">
        <v>4.5894000000000004</v>
      </c>
      <c r="I67" s="9">
        <v>4.5766</v>
      </c>
      <c r="J67" s="9">
        <v>4.5605000000000002</v>
      </c>
      <c r="K67" s="9">
        <v>4.4405000000000001</v>
      </c>
      <c r="L67" s="9">
        <v>5.1764999999999999</v>
      </c>
      <c r="M67" s="9">
        <v>5.4124999999999996</v>
      </c>
      <c r="N67" s="9">
        <v>6.1382000000000003</v>
      </c>
      <c r="O67" s="11">
        <v>6.1382000000000003</v>
      </c>
    </row>
    <row r="68" spans="1:15" x14ac:dyDescent="0.3">
      <c r="A68" s="3" t="s">
        <v>31</v>
      </c>
      <c r="B68" s="4" t="s">
        <v>32</v>
      </c>
      <c r="C68" s="5">
        <v>1.7222999999999999</v>
      </c>
      <c r="D68" s="5">
        <v>1.5326</v>
      </c>
      <c r="E68" s="5">
        <v>1.6011</v>
      </c>
      <c r="F68" s="5">
        <v>1.4196</v>
      </c>
      <c r="G68" s="5">
        <v>1.5532999999999999</v>
      </c>
      <c r="H68" s="5">
        <v>1.49</v>
      </c>
      <c r="I68" s="5">
        <v>1.5522</v>
      </c>
      <c r="J68" s="5">
        <v>1.5323</v>
      </c>
      <c r="K68" s="5">
        <v>1.5197000000000001</v>
      </c>
      <c r="L68" s="5">
        <v>1.7138</v>
      </c>
      <c r="M68" s="5">
        <v>1.7282</v>
      </c>
      <c r="N68" s="5">
        <v>2.0848</v>
      </c>
      <c r="O68" s="11">
        <v>2.0848</v>
      </c>
    </row>
    <row r="69" spans="1:15" x14ac:dyDescent="0.3">
      <c r="A69" s="7" t="s">
        <v>34</v>
      </c>
      <c r="B69" s="8" t="s">
        <v>35</v>
      </c>
      <c r="C69" s="9">
        <v>5.2554999999999996</v>
      </c>
      <c r="D69" s="9">
        <v>4.6946000000000003</v>
      </c>
      <c r="E69" s="9">
        <v>4.6966000000000001</v>
      </c>
      <c r="F69" s="9">
        <v>4.2018000000000004</v>
      </c>
      <c r="G69" s="9">
        <v>4.6795999999999998</v>
      </c>
      <c r="H69" s="9">
        <v>4.5214999999999996</v>
      </c>
      <c r="I69" s="9">
        <v>4.7152000000000003</v>
      </c>
      <c r="J69" s="9">
        <v>4.6120999999999999</v>
      </c>
      <c r="K69" s="9">
        <v>4.4615</v>
      </c>
      <c r="L69" s="9">
        <v>5.0572999999999997</v>
      </c>
      <c r="M69" s="9">
        <v>5.1936</v>
      </c>
      <c r="N69" s="9">
        <v>6.1467999999999998</v>
      </c>
      <c r="O69" s="11">
        <v>6.1467999999999998</v>
      </c>
    </row>
    <row r="70" spans="1:15" x14ac:dyDescent="0.3">
      <c r="A70" s="3" t="s">
        <v>36</v>
      </c>
      <c r="B70" s="4" t="s">
        <v>38</v>
      </c>
      <c r="C70" s="5">
        <v>2.1337999999999999</v>
      </c>
      <c r="D70" s="5">
        <v>1.9398</v>
      </c>
      <c r="E70" s="5">
        <v>1.9637</v>
      </c>
      <c r="F70" s="5">
        <v>1.8393999999999999</v>
      </c>
      <c r="G70" s="5">
        <v>1.9559</v>
      </c>
      <c r="H70" s="5">
        <v>1.8755999999999999</v>
      </c>
      <c r="I70" s="5">
        <v>1.9439</v>
      </c>
      <c r="J70" s="5">
        <v>1.9525999999999999</v>
      </c>
      <c r="K70" s="5">
        <v>1.895</v>
      </c>
      <c r="L70" s="5">
        <v>2.1213000000000002</v>
      </c>
      <c r="M70" s="5">
        <v>2.2132999999999998</v>
      </c>
      <c r="N70" s="5">
        <v>2.5485000000000002</v>
      </c>
      <c r="O70" s="11">
        <v>2.5485000000000002</v>
      </c>
    </row>
    <row r="71" spans="1:15" x14ac:dyDescent="0.3">
      <c r="A71" s="7" t="s">
        <v>39</v>
      </c>
      <c r="B71" s="8" t="s">
        <v>40</v>
      </c>
      <c r="C71" s="9">
        <v>1.6820999999999999</v>
      </c>
      <c r="D71" s="9">
        <v>1.5550999999999999</v>
      </c>
      <c r="E71" s="9">
        <v>1.5771999999999999</v>
      </c>
      <c r="F71" s="9">
        <v>1.4038999999999999</v>
      </c>
      <c r="G71" s="9">
        <v>1.6044</v>
      </c>
      <c r="H71" s="9">
        <v>1.4935</v>
      </c>
      <c r="I71" s="9">
        <v>1.5589999999999999</v>
      </c>
      <c r="J71" s="9">
        <v>1.5384</v>
      </c>
      <c r="K71" s="9">
        <v>1.5055000000000001</v>
      </c>
      <c r="L71" s="9">
        <v>1.7366999999999999</v>
      </c>
      <c r="M71" s="9">
        <v>1.7531000000000001</v>
      </c>
      <c r="N71" s="9">
        <v>2.125</v>
      </c>
      <c r="O71" s="11">
        <v>2.125</v>
      </c>
    </row>
    <row r="72" spans="1:15" x14ac:dyDescent="0.3">
      <c r="A72" s="3" t="s">
        <v>41</v>
      </c>
      <c r="B72" s="4" t="s">
        <v>42</v>
      </c>
      <c r="C72" s="5">
        <v>3.4658000000000002</v>
      </c>
      <c r="D72" s="5">
        <v>3.0638999999999998</v>
      </c>
      <c r="E72" s="5">
        <v>3.1507999999999998</v>
      </c>
      <c r="F72" s="5">
        <v>2.8216000000000001</v>
      </c>
      <c r="G72" s="5">
        <v>3.2317999999999998</v>
      </c>
      <c r="H72" s="5">
        <v>2.9226999999999999</v>
      </c>
      <c r="I72" s="5">
        <v>3.1823000000000001</v>
      </c>
      <c r="J72" s="5">
        <v>3.0049000000000001</v>
      </c>
      <c r="K72" s="5">
        <v>2.9781</v>
      </c>
      <c r="L72" s="5">
        <v>3.4140000000000001</v>
      </c>
      <c r="M72" s="5">
        <v>3.4662999999999999</v>
      </c>
      <c r="N72" s="5">
        <v>4.0781000000000001</v>
      </c>
      <c r="O72" s="11">
        <v>4.0781000000000001</v>
      </c>
    </row>
    <row r="73" spans="1:15" x14ac:dyDescent="0.3">
      <c r="A73" s="7" t="s">
        <v>43</v>
      </c>
      <c r="B73" s="8" t="s">
        <v>44</v>
      </c>
      <c r="C73" s="9">
        <v>1.2697000000000001</v>
      </c>
      <c r="D73" s="9">
        <v>1.1813</v>
      </c>
      <c r="E73" s="9">
        <v>1.1751</v>
      </c>
      <c r="F73" s="9">
        <v>1.0567</v>
      </c>
      <c r="G73" s="9">
        <v>1.1826000000000001</v>
      </c>
      <c r="H73" s="9">
        <v>1.1298999999999999</v>
      </c>
      <c r="I73" s="9">
        <v>1.1955</v>
      </c>
      <c r="J73" s="9">
        <v>1.1348</v>
      </c>
      <c r="K73" s="9">
        <v>1.1592</v>
      </c>
      <c r="L73" s="9">
        <v>1.3059000000000001</v>
      </c>
      <c r="M73" s="9">
        <v>1.3192999999999999</v>
      </c>
      <c r="N73" s="9">
        <v>1.5330999999999999</v>
      </c>
      <c r="O73" s="11">
        <v>1.5330999999999999</v>
      </c>
    </row>
    <row r="74" spans="1:15" x14ac:dyDescent="0.3">
      <c r="A74" s="3" t="s">
        <v>45</v>
      </c>
      <c r="B74" s="4" t="s">
        <v>46</v>
      </c>
      <c r="C74" s="5">
        <v>1.2793000000000001</v>
      </c>
      <c r="D74" s="5">
        <v>1.1477999999999999</v>
      </c>
      <c r="E74" s="5">
        <v>1.2148000000000001</v>
      </c>
      <c r="F74" s="5">
        <v>1.0963000000000001</v>
      </c>
      <c r="G74" s="5">
        <v>1.1733</v>
      </c>
      <c r="H74" s="5">
        <v>1.1322000000000001</v>
      </c>
      <c r="I74" s="5">
        <v>1.1608000000000001</v>
      </c>
      <c r="J74" s="5">
        <v>1.1451</v>
      </c>
      <c r="K74" s="5">
        <v>1.0949</v>
      </c>
      <c r="L74" s="5">
        <v>1.2824</v>
      </c>
      <c r="M74" s="5">
        <v>1.3213999999999999</v>
      </c>
      <c r="N74" s="5">
        <v>1.5266</v>
      </c>
      <c r="O74" s="11">
        <v>1.5266</v>
      </c>
    </row>
    <row r="75" spans="1:15" x14ac:dyDescent="0.3">
      <c r="A75" s="7" t="s">
        <v>47</v>
      </c>
      <c r="B75" s="8" t="s">
        <v>48</v>
      </c>
      <c r="C75" s="9">
        <v>2.5417000000000001</v>
      </c>
      <c r="D75" s="9">
        <v>2.3142999999999998</v>
      </c>
      <c r="E75" s="9">
        <v>2.3864999999999998</v>
      </c>
      <c r="F75" s="9">
        <v>2.1587000000000001</v>
      </c>
      <c r="G75" s="9">
        <v>2.3552</v>
      </c>
      <c r="H75" s="9">
        <v>2.2736000000000001</v>
      </c>
      <c r="I75" s="9">
        <v>2.2814000000000001</v>
      </c>
      <c r="J75" s="9">
        <v>2.3089</v>
      </c>
      <c r="K75" s="9">
        <v>2.2515999999999998</v>
      </c>
      <c r="L75" s="9">
        <v>2.5718000000000001</v>
      </c>
      <c r="M75" s="9">
        <v>2.6314000000000002</v>
      </c>
      <c r="N75" s="9">
        <v>3.0491000000000001</v>
      </c>
      <c r="O75" s="11">
        <v>3.0491000000000001</v>
      </c>
    </row>
    <row r="76" spans="1:15" x14ac:dyDescent="0.3">
      <c r="A76" s="3" t="s">
        <v>49</v>
      </c>
      <c r="B76" s="4" t="s">
        <v>51</v>
      </c>
      <c r="C76" s="5">
        <v>2.5920999999999998</v>
      </c>
      <c r="D76" s="5">
        <v>2.4136000000000002</v>
      </c>
      <c r="E76" s="5">
        <v>2.4346999999999999</v>
      </c>
      <c r="F76" s="5">
        <v>2.1143999999999998</v>
      </c>
      <c r="G76" s="5">
        <v>2.3488000000000002</v>
      </c>
      <c r="H76" s="5">
        <v>2.2366999999999999</v>
      </c>
      <c r="I76" s="5">
        <v>2.3079000000000001</v>
      </c>
      <c r="J76" s="5">
        <v>2.2677</v>
      </c>
      <c r="K76" s="5">
        <v>2.2305999999999999</v>
      </c>
      <c r="L76" s="5">
        <v>2.5304000000000002</v>
      </c>
      <c r="M76" s="5">
        <v>2.6356999999999999</v>
      </c>
      <c r="N76" s="5">
        <v>3.1227</v>
      </c>
      <c r="O76" s="11">
        <v>3.1227</v>
      </c>
    </row>
    <row r="77" spans="1:15" x14ac:dyDescent="0.3">
      <c r="A77" s="7" t="s">
        <v>52</v>
      </c>
      <c r="B77" s="8" t="s">
        <v>53</v>
      </c>
      <c r="C77" s="9">
        <v>2.6652</v>
      </c>
      <c r="D77" s="9">
        <v>2.3246000000000002</v>
      </c>
      <c r="E77" s="9">
        <v>2.4110999999999998</v>
      </c>
      <c r="F77" s="9">
        <v>2.1922999999999999</v>
      </c>
      <c r="G77" s="9">
        <v>2.3353000000000002</v>
      </c>
      <c r="H77" s="9">
        <v>2.2919999999999998</v>
      </c>
      <c r="I77" s="9">
        <v>2.3532999999999999</v>
      </c>
      <c r="J77" s="9">
        <v>2.3512</v>
      </c>
      <c r="K77" s="9">
        <v>2.2307000000000001</v>
      </c>
      <c r="L77" s="9">
        <v>2.5192000000000001</v>
      </c>
      <c r="M77" s="9">
        <v>2.6393</v>
      </c>
      <c r="N77" s="9">
        <v>3.0920000000000001</v>
      </c>
      <c r="O77" s="11">
        <v>3.0920000000000001</v>
      </c>
    </row>
    <row r="78" spans="1:15" x14ac:dyDescent="0.3">
      <c r="A78" s="3" t="s">
        <v>54</v>
      </c>
      <c r="B78" s="4" t="s">
        <v>56</v>
      </c>
      <c r="C78" s="5">
        <v>1.3157000000000001</v>
      </c>
      <c r="D78" s="5">
        <v>1.1621999999999999</v>
      </c>
      <c r="E78" s="5">
        <v>1.2124999999999999</v>
      </c>
      <c r="F78" s="5">
        <v>1.0515000000000001</v>
      </c>
      <c r="G78" s="5">
        <v>1.1941999999999999</v>
      </c>
      <c r="H78" s="5">
        <v>1.1202000000000001</v>
      </c>
      <c r="I78" s="5">
        <v>1.1485000000000001</v>
      </c>
      <c r="J78" s="5">
        <v>1.1698</v>
      </c>
      <c r="K78" s="5">
        <v>1.1165</v>
      </c>
      <c r="L78" s="5">
        <v>1.2801</v>
      </c>
      <c r="M78" s="5">
        <v>1.3136000000000001</v>
      </c>
      <c r="N78" s="5">
        <v>1.5274000000000001</v>
      </c>
      <c r="O78" s="11">
        <v>1.5274000000000001</v>
      </c>
    </row>
    <row r="79" spans="1:15" x14ac:dyDescent="0.3">
      <c r="A79" s="7" t="s">
        <v>57</v>
      </c>
      <c r="B79" s="8" t="s">
        <v>59</v>
      </c>
      <c r="C79" s="9">
        <v>0.87339999999999995</v>
      </c>
      <c r="D79" s="9">
        <v>0.7732</v>
      </c>
      <c r="E79" s="9">
        <v>0.7823</v>
      </c>
      <c r="F79" s="9">
        <v>0.72289999999999999</v>
      </c>
      <c r="G79" s="9">
        <v>0.78129999999999999</v>
      </c>
      <c r="H79" s="9">
        <v>0.74790000000000001</v>
      </c>
      <c r="I79" s="9">
        <v>0.77359999999999995</v>
      </c>
      <c r="J79" s="9">
        <v>0.77070000000000005</v>
      </c>
      <c r="K79" s="9">
        <v>0.74860000000000004</v>
      </c>
      <c r="L79" s="9">
        <v>0.86829999999999996</v>
      </c>
      <c r="M79" s="9">
        <v>0.88239999999999996</v>
      </c>
      <c r="N79" s="9">
        <v>1.0074000000000001</v>
      </c>
      <c r="O79" s="11">
        <v>1.0074000000000001</v>
      </c>
    </row>
    <row r="80" spans="1:15" x14ac:dyDescent="0.3">
      <c r="A80" s="3" t="s">
        <v>60</v>
      </c>
      <c r="B80" s="4" t="s">
        <v>62</v>
      </c>
      <c r="C80" s="5">
        <v>0.86309999999999998</v>
      </c>
      <c r="D80" s="5">
        <v>0.76990000000000003</v>
      </c>
      <c r="E80" s="5">
        <v>0.78410000000000002</v>
      </c>
      <c r="F80" s="5">
        <v>0.7046</v>
      </c>
      <c r="G80" s="5">
        <v>0.77880000000000005</v>
      </c>
      <c r="H80" s="5">
        <v>0.75360000000000005</v>
      </c>
      <c r="I80" s="5">
        <v>0.77149999999999996</v>
      </c>
      <c r="J80" s="5">
        <v>0.7732</v>
      </c>
      <c r="K80" s="5">
        <v>0.74629999999999996</v>
      </c>
      <c r="L80" s="5">
        <v>0.84670000000000001</v>
      </c>
      <c r="M80" s="5">
        <v>0.88749999999999996</v>
      </c>
      <c r="N80" s="5">
        <v>1.0202</v>
      </c>
      <c r="O80" s="11">
        <v>1.0202</v>
      </c>
    </row>
    <row r="81" spans="1:15" x14ac:dyDescent="0.3">
      <c r="A81" s="7" t="s">
        <v>63</v>
      </c>
      <c r="B81" s="8" t="s">
        <v>65</v>
      </c>
      <c r="C81" s="9">
        <v>0.85960000000000003</v>
      </c>
      <c r="D81" s="9">
        <v>0.77790000000000004</v>
      </c>
      <c r="E81" s="9">
        <v>0.79510000000000003</v>
      </c>
      <c r="F81" s="9">
        <v>0.72470000000000001</v>
      </c>
      <c r="G81" s="9">
        <v>0.81169999999999998</v>
      </c>
      <c r="H81" s="9">
        <v>0.74739999999999995</v>
      </c>
      <c r="I81" s="9">
        <v>0.77959999999999996</v>
      </c>
      <c r="J81" s="9">
        <v>0.75480000000000003</v>
      </c>
      <c r="K81" s="9">
        <v>0.76119999999999999</v>
      </c>
      <c r="L81" s="9">
        <v>0.84909999999999997</v>
      </c>
      <c r="M81" s="9">
        <v>0.90010000000000001</v>
      </c>
      <c r="N81" s="9">
        <v>1.0232000000000001</v>
      </c>
      <c r="O81" s="11">
        <v>1.0232000000000001</v>
      </c>
    </row>
    <row r="82" spans="1:15" x14ac:dyDescent="0.3">
      <c r="A82" s="3" t="s">
        <v>66</v>
      </c>
      <c r="B82" s="4" t="s">
        <v>67</v>
      </c>
      <c r="C82" s="5">
        <v>1.7049000000000001</v>
      </c>
      <c r="D82" s="5">
        <v>1.5584</v>
      </c>
      <c r="E82" s="5">
        <v>1.5904</v>
      </c>
      <c r="F82" s="5">
        <v>1.4936</v>
      </c>
      <c r="G82" s="5">
        <v>1.5844</v>
      </c>
      <c r="H82" s="5">
        <v>1.4977</v>
      </c>
      <c r="I82" s="5">
        <v>1.5117</v>
      </c>
      <c r="J82" s="5">
        <v>1.5370999999999999</v>
      </c>
      <c r="K82" s="5">
        <v>1.4779</v>
      </c>
      <c r="L82" s="5">
        <v>1.7137</v>
      </c>
      <c r="M82" s="5">
        <v>1.7573000000000001</v>
      </c>
      <c r="N82" s="5">
        <v>2.0594000000000001</v>
      </c>
      <c r="O82" s="11">
        <v>2.0594000000000001</v>
      </c>
    </row>
    <row r="83" spans="1:15" x14ac:dyDescent="0.3">
      <c r="A83" s="7" t="s">
        <v>68</v>
      </c>
      <c r="B83" s="8" t="s">
        <v>69</v>
      </c>
      <c r="C83" s="9">
        <v>1.6937</v>
      </c>
      <c r="D83" s="9">
        <v>1.5537000000000001</v>
      </c>
      <c r="E83" s="9">
        <v>1.5947</v>
      </c>
      <c r="F83" s="9">
        <v>1.401</v>
      </c>
      <c r="G83" s="9">
        <v>1.5342</v>
      </c>
      <c r="H83" s="9">
        <v>1.4963</v>
      </c>
      <c r="I83" s="9">
        <v>1.5068999999999999</v>
      </c>
      <c r="J83" s="9">
        <v>1.5185</v>
      </c>
      <c r="K83" s="9">
        <v>1.4545999999999999</v>
      </c>
      <c r="L83" s="9">
        <v>1.7073</v>
      </c>
      <c r="M83" s="9">
        <v>1.7281</v>
      </c>
      <c r="N83" s="9">
        <v>2.0594999999999999</v>
      </c>
      <c r="O83" s="11">
        <v>2.0594999999999999</v>
      </c>
    </row>
    <row r="84" spans="1:15" x14ac:dyDescent="0.3">
      <c r="A84" s="3" t="s">
        <v>70</v>
      </c>
      <c r="B84" s="4" t="s">
        <v>71</v>
      </c>
      <c r="C84" s="5">
        <v>1.6936</v>
      </c>
      <c r="D84" s="5">
        <v>1.5871</v>
      </c>
      <c r="E84" s="5">
        <v>1.5944</v>
      </c>
      <c r="F84" s="5">
        <v>1.4166000000000001</v>
      </c>
      <c r="G84" s="5">
        <v>1.5811999999999999</v>
      </c>
      <c r="H84" s="5">
        <v>1.48</v>
      </c>
      <c r="I84" s="5">
        <v>1.5338000000000001</v>
      </c>
      <c r="J84" s="5">
        <v>1.5696000000000001</v>
      </c>
      <c r="K84" s="5">
        <v>1.5012000000000001</v>
      </c>
      <c r="L84" s="5">
        <v>1.6835</v>
      </c>
      <c r="M84" s="5">
        <v>1.7513000000000001</v>
      </c>
      <c r="N84" s="5">
        <v>2.0244</v>
      </c>
      <c r="O84" s="11">
        <v>2.0244</v>
      </c>
    </row>
    <row r="85" spans="1:15" x14ac:dyDescent="0.3">
      <c r="A85" s="7" t="s">
        <v>72</v>
      </c>
      <c r="B85" s="8" t="s">
        <v>74</v>
      </c>
      <c r="C85" s="9">
        <v>2.1347</v>
      </c>
      <c r="D85" s="9">
        <v>1.9275</v>
      </c>
      <c r="E85" s="9">
        <v>1.9922</v>
      </c>
      <c r="F85" s="9">
        <v>1.7586999999999999</v>
      </c>
      <c r="G85" s="9">
        <v>1.9714</v>
      </c>
      <c r="H85" s="9">
        <v>1.8511</v>
      </c>
      <c r="I85" s="9">
        <v>1.9819</v>
      </c>
      <c r="J85" s="9">
        <v>1.9080999999999999</v>
      </c>
      <c r="K85" s="9">
        <v>1.8629</v>
      </c>
      <c r="L85" s="9">
        <v>2.1255999999999999</v>
      </c>
      <c r="M85" s="9">
        <v>2.1503999999999999</v>
      </c>
      <c r="N85" s="9">
        <v>2.5421</v>
      </c>
      <c r="O85" s="11">
        <v>2.5421</v>
      </c>
    </row>
    <row r="86" spans="1:15" x14ac:dyDescent="0.3">
      <c r="A86" s="3" t="s">
        <v>75</v>
      </c>
      <c r="B86" s="4" t="s">
        <v>77</v>
      </c>
      <c r="C86" s="5">
        <v>3.4459</v>
      </c>
      <c r="D86" s="5">
        <v>3.1244999999999998</v>
      </c>
      <c r="E86" s="5">
        <v>3.1736</v>
      </c>
      <c r="F86" s="5">
        <v>2.8368000000000002</v>
      </c>
      <c r="G86" s="5">
        <v>3.1452</v>
      </c>
      <c r="H86" s="5">
        <v>3.0472000000000001</v>
      </c>
      <c r="I86" s="5">
        <v>3.0533999999999999</v>
      </c>
      <c r="J86" s="5">
        <v>3.1084000000000001</v>
      </c>
      <c r="K86" s="5">
        <v>2.9178000000000002</v>
      </c>
      <c r="L86" s="5">
        <v>3.4127000000000001</v>
      </c>
      <c r="M86" s="5">
        <v>3.5994999999999999</v>
      </c>
      <c r="N86" s="5">
        <v>4.0906000000000002</v>
      </c>
      <c r="O86" s="11">
        <v>4.0906000000000002</v>
      </c>
    </row>
    <row r="87" spans="1:15" x14ac:dyDescent="0.3">
      <c r="A87" s="7" t="s">
        <v>78</v>
      </c>
      <c r="B87" s="8" t="s">
        <v>79</v>
      </c>
      <c r="C87" s="9">
        <v>2.5720000000000001</v>
      </c>
      <c r="D87" s="9">
        <v>2.3054999999999999</v>
      </c>
      <c r="E87" s="9">
        <v>2.3843000000000001</v>
      </c>
      <c r="F87" s="9">
        <v>2.1160999999999999</v>
      </c>
      <c r="G87" s="9">
        <v>2.3441999999999998</v>
      </c>
      <c r="H87" s="9">
        <v>2.2256</v>
      </c>
      <c r="I87" s="9">
        <v>2.3268</v>
      </c>
      <c r="J87" s="9">
        <v>2.3191000000000002</v>
      </c>
      <c r="K87" s="9">
        <v>2.2332000000000001</v>
      </c>
      <c r="L87" s="9">
        <v>2.5448</v>
      </c>
      <c r="M87" s="9">
        <v>2.6415000000000002</v>
      </c>
      <c r="N87" s="9">
        <v>3.0383</v>
      </c>
      <c r="O87" s="11">
        <v>3.0383</v>
      </c>
    </row>
    <row r="88" spans="1:15" x14ac:dyDescent="0.3">
      <c r="A88" s="3" t="s">
        <v>80</v>
      </c>
      <c r="B88" s="4" t="s">
        <v>82</v>
      </c>
      <c r="C88" s="5">
        <v>2.1322999999999999</v>
      </c>
      <c r="D88" s="5">
        <v>1.9272</v>
      </c>
      <c r="E88" s="5">
        <v>1.9645999999999999</v>
      </c>
      <c r="F88" s="5">
        <v>1.7545999999999999</v>
      </c>
      <c r="G88" s="5">
        <v>1.9728000000000001</v>
      </c>
      <c r="H88" s="5">
        <v>1.8979999999999999</v>
      </c>
      <c r="I88" s="5">
        <v>1.9402999999999999</v>
      </c>
      <c r="J88" s="5">
        <v>1.9255</v>
      </c>
      <c r="K88" s="5">
        <v>1.837</v>
      </c>
      <c r="L88" s="5">
        <v>2.1421999999999999</v>
      </c>
      <c r="M88" s="5">
        <v>2.1817000000000002</v>
      </c>
      <c r="N88" s="5">
        <v>2.5379999999999998</v>
      </c>
      <c r="O88" s="11">
        <v>2.5379999999999998</v>
      </c>
    </row>
    <row r="89" spans="1:15" x14ac:dyDescent="0.3">
      <c r="A89" s="7" t="s">
        <v>83</v>
      </c>
      <c r="B89" s="8" t="s">
        <v>84</v>
      </c>
      <c r="C89" s="9">
        <v>1.4036999999999999</v>
      </c>
      <c r="D89" s="9">
        <v>1.2907999999999999</v>
      </c>
      <c r="E89" s="9">
        <v>1.3312999999999999</v>
      </c>
      <c r="F89" s="9">
        <v>1.1859</v>
      </c>
      <c r="G89" s="9">
        <v>1.3077000000000001</v>
      </c>
      <c r="H89" s="9">
        <v>1.258</v>
      </c>
      <c r="I89" s="9">
        <v>1.2867</v>
      </c>
      <c r="J89" s="9">
        <v>1.2601</v>
      </c>
      <c r="K89" s="9">
        <v>1.2217</v>
      </c>
      <c r="L89" s="9">
        <v>1.4450000000000001</v>
      </c>
      <c r="M89" s="9">
        <v>1.4672000000000001</v>
      </c>
      <c r="N89" s="9">
        <v>1.706</v>
      </c>
      <c r="O89" s="11">
        <v>1.706</v>
      </c>
    </row>
    <row r="90" spans="1:15" x14ac:dyDescent="0.3">
      <c r="A90" s="3" t="s">
        <v>85</v>
      </c>
      <c r="B90" s="4" t="s">
        <v>86</v>
      </c>
      <c r="C90" s="5">
        <v>1.7350000000000001</v>
      </c>
      <c r="D90" s="5">
        <v>1.5429999999999999</v>
      </c>
      <c r="E90" s="5">
        <v>1.56</v>
      </c>
      <c r="F90" s="5">
        <v>1.4337</v>
      </c>
      <c r="G90" s="5">
        <v>1.5447</v>
      </c>
      <c r="H90" s="5">
        <v>1.4937</v>
      </c>
      <c r="I90" s="5">
        <v>1.5276000000000001</v>
      </c>
      <c r="J90" s="5">
        <v>1.5375000000000001</v>
      </c>
      <c r="K90" s="5">
        <v>1.5232000000000001</v>
      </c>
      <c r="L90" s="5">
        <v>1.6977</v>
      </c>
      <c r="M90" s="5">
        <v>1.7517</v>
      </c>
      <c r="N90" s="5">
        <v>2.0383</v>
      </c>
      <c r="O90" s="11">
        <v>2.0383</v>
      </c>
    </row>
    <row r="91" spans="1:15" x14ac:dyDescent="0.3">
      <c r="A91" s="7" t="s">
        <v>87</v>
      </c>
      <c r="B91" s="8" t="s">
        <v>88</v>
      </c>
      <c r="C91" s="9">
        <v>1.7113</v>
      </c>
      <c r="D91" s="9">
        <v>1.5652999999999999</v>
      </c>
      <c r="E91" s="9">
        <v>1.5620000000000001</v>
      </c>
      <c r="F91" s="9">
        <v>1.4457</v>
      </c>
      <c r="G91" s="9">
        <v>1.5760000000000001</v>
      </c>
      <c r="H91" s="9">
        <v>1.4809000000000001</v>
      </c>
      <c r="I91" s="9">
        <v>1.54</v>
      </c>
      <c r="J91" s="9">
        <v>1.5243</v>
      </c>
      <c r="K91" s="9">
        <v>1.4812000000000001</v>
      </c>
      <c r="L91" s="9">
        <v>1.7298</v>
      </c>
      <c r="M91" s="9">
        <v>1.7948</v>
      </c>
      <c r="N91" s="9">
        <v>2.0347</v>
      </c>
      <c r="O91" s="11">
        <v>2.0347</v>
      </c>
    </row>
    <row r="92" spans="1:15" x14ac:dyDescent="0.3">
      <c r="A92" s="3" t="s">
        <v>89</v>
      </c>
      <c r="B92" s="4" t="s">
        <v>90</v>
      </c>
      <c r="C92" s="5">
        <v>1.7142999999999999</v>
      </c>
      <c r="D92" s="5">
        <v>1.5456000000000001</v>
      </c>
      <c r="E92" s="5">
        <v>1.6292</v>
      </c>
      <c r="F92" s="5">
        <v>1.4074</v>
      </c>
      <c r="G92" s="5">
        <v>1.5788</v>
      </c>
      <c r="H92" s="5">
        <v>1.4984999999999999</v>
      </c>
      <c r="I92" s="5">
        <v>1.5458000000000001</v>
      </c>
      <c r="J92" s="5">
        <v>1.5033000000000001</v>
      </c>
      <c r="K92" s="5">
        <v>1.4951000000000001</v>
      </c>
      <c r="L92" s="5">
        <v>1.7338</v>
      </c>
      <c r="M92" s="5">
        <v>1.7444999999999999</v>
      </c>
      <c r="N92" s="5">
        <v>2.0331000000000001</v>
      </c>
      <c r="O92" s="11">
        <v>2.0331000000000001</v>
      </c>
    </row>
    <row r="93" spans="1:15" x14ac:dyDescent="0.3">
      <c r="A93" s="7" t="s">
        <v>91</v>
      </c>
      <c r="B93" s="8" t="s">
        <v>92</v>
      </c>
      <c r="C93" s="9">
        <v>2.1187999999999998</v>
      </c>
      <c r="D93" s="9">
        <v>1.8942000000000001</v>
      </c>
      <c r="E93" s="9">
        <v>1.9941</v>
      </c>
      <c r="F93" s="9">
        <v>1.8214999999999999</v>
      </c>
      <c r="G93" s="9">
        <v>1.9993000000000001</v>
      </c>
      <c r="H93" s="9">
        <v>1.9675</v>
      </c>
      <c r="I93" s="9">
        <v>1.915</v>
      </c>
      <c r="J93" s="9">
        <v>1.8897999999999999</v>
      </c>
      <c r="K93" s="9">
        <v>1.8774999999999999</v>
      </c>
      <c r="L93" s="9">
        <v>2.1747999999999998</v>
      </c>
      <c r="M93" s="9">
        <v>2.2164999999999999</v>
      </c>
      <c r="N93" s="9">
        <v>2.5661999999999998</v>
      </c>
      <c r="O93" s="11">
        <v>2.5661999999999998</v>
      </c>
    </row>
    <row r="94" spans="1:15" x14ac:dyDescent="0.3">
      <c r="A94" s="3" t="s">
        <v>93</v>
      </c>
      <c r="B94" s="4" t="s">
        <v>95</v>
      </c>
      <c r="C94" s="5">
        <v>1.6855</v>
      </c>
      <c r="D94" s="5">
        <v>1.5442</v>
      </c>
      <c r="E94" s="5">
        <v>1.5884</v>
      </c>
      <c r="F94" s="5">
        <v>1.3889</v>
      </c>
      <c r="G94" s="5">
        <v>1.5582</v>
      </c>
      <c r="H94" s="5">
        <v>1.5441</v>
      </c>
      <c r="I94" s="5">
        <v>1.5198</v>
      </c>
      <c r="J94" s="5">
        <v>1.5316000000000001</v>
      </c>
      <c r="K94" s="5">
        <v>1.4977</v>
      </c>
      <c r="L94" s="5">
        <v>1.6932</v>
      </c>
      <c r="M94" s="5">
        <v>1.7652000000000001</v>
      </c>
      <c r="N94" s="5">
        <v>2.0388000000000002</v>
      </c>
      <c r="O94" s="11">
        <v>2.0388000000000002</v>
      </c>
    </row>
    <row r="95" spans="1:15" x14ac:dyDescent="0.3">
      <c r="A95" s="7" t="s">
        <v>96</v>
      </c>
      <c r="B95" s="8" t="s">
        <v>98</v>
      </c>
      <c r="C95" s="9">
        <v>2.5844999999999998</v>
      </c>
      <c r="D95" s="9">
        <v>2.3094000000000001</v>
      </c>
      <c r="E95" s="9">
        <v>2.3473000000000002</v>
      </c>
      <c r="F95" s="9">
        <v>2.1246</v>
      </c>
      <c r="G95" s="9">
        <v>2.3929999999999998</v>
      </c>
      <c r="H95" s="9">
        <v>2.2016</v>
      </c>
      <c r="I95" s="9">
        <v>2.3542999999999998</v>
      </c>
      <c r="J95" s="9">
        <v>2.3321000000000001</v>
      </c>
      <c r="K95" s="9">
        <v>2.1873999999999998</v>
      </c>
      <c r="L95" s="9">
        <v>2.6126</v>
      </c>
      <c r="M95" s="9">
        <v>2.6509</v>
      </c>
      <c r="N95" s="9">
        <v>3.0308999999999999</v>
      </c>
      <c r="O95" s="11">
        <v>3.0308999999999999</v>
      </c>
    </row>
    <row r="96" spans="1:15" x14ac:dyDescent="0.3">
      <c r="A96" s="3" t="s">
        <v>99</v>
      </c>
      <c r="B96" s="4" t="s">
        <v>100</v>
      </c>
      <c r="C96" s="5">
        <v>2.5533999999999999</v>
      </c>
      <c r="D96" s="5">
        <v>2.3285</v>
      </c>
      <c r="E96" s="5">
        <v>2.3344</v>
      </c>
      <c r="F96" s="5">
        <v>2.1101000000000001</v>
      </c>
      <c r="G96" s="5">
        <v>2.3466</v>
      </c>
      <c r="H96" s="5">
        <v>2.2513999999999998</v>
      </c>
      <c r="I96" s="5">
        <v>2.3268</v>
      </c>
      <c r="J96" s="5">
        <v>2.4234</v>
      </c>
      <c r="K96" s="5">
        <v>2.2309000000000001</v>
      </c>
      <c r="L96" s="5">
        <v>2.5564</v>
      </c>
      <c r="M96" s="5">
        <v>2.6286999999999998</v>
      </c>
      <c r="N96" s="5">
        <v>3.0251999999999999</v>
      </c>
      <c r="O96" s="11">
        <v>3.0251999999999999</v>
      </c>
    </row>
    <row r="97" spans="1:15" x14ac:dyDescent="0.3">
      <c r="A97" s="7" t="s">
        <v>101</v>
      </c>
      <c r="B97" s="8" t="s">
        <v>103</v>
      </c>
      <c r="C97" s="9">
        <v>6.8513000000000002</v>
      </c>
      <c r="D97" s="9">
        <v>6.2191999999999998</v>
      </c>
      <c r="E97" s="9">
        <v>6.3097000000000003</v>
      </c>
      <c r="F97" s="9">
        <v>5.7464000000000004</v>
      </c>
      <c r="G97" s="9">
        <v>6.2548000000000004</v>
      </c>
      <c r="H97" s="9">
        <v>6.0670999999999999</v>
      </c>
      <c r="I97" s="9">
        <v>6.2512999999999996</v>
      </c>
      <c r="J97" s="9">
        <v>6.0826000000000002</v>
      </c>
      <c r="K97" s="9">
        <v>5.8567999999999998</v>
      </c>
      <c r="L97" s="9">
        <v>6.7663000000000002</v>
      </c>
      <c r="M97" s="9">
        <v>7.0218999999999996</v>
      </c>
      <c r="N97" s="9">
        <v>8.2344000000000008</v>
      </c>
      <c r="O97" s="11">
        <v>8.2344000000000008</v>
      </c>
    </row>
    <row r="98" spans="1:15" x14ac:dyDescent="0.3">
      <c r="A98" s="3" t="s">
        <v>104</v>
      </c>
      <c r="B98" s="4" t="s">
        <v>106</v>
      </c>
      <c r="C98" s="5">
        <v>5.1797000000000004</v>
      </c>
      <c r="D98" s="5">
        <v>4.6138000000000003</v>
      </c>
      <c r="E98" s="5">
        <v>4.8581000000000003</v>
      </c>
      <c r="F98" s="5">
        <v>4.1860999999999997</v>
      </c>
      <c r="G98" s="5">
        <v>4.6712999999999996</v>
      </c>
      <c r="H98" s="5">
        <v>4.4438000000000004</v>
      </c>
      <c r="I98" s="5">
        <v>4.6025</v>
      </c>
      <c r="J98" s="5">
        <v>4.6570999999999998</v>
      </c>
      <c r="K98" s="5">
        <v>4.4149000000000003</v>
      </c>
      <c r="L98" s="5">
        <v>5.0590000000000002</v>
      </c>
      <c r="M98" s="5">
        <v>5.1988000000000003</v>
      </c>
      <c r="N98" s="5">
        <v>6.0551000000000004</v>
      </c>
      <c r="O98" s="11">
        <v>6.0551000000000004</v>
      </c>
    </row>
    <row r="99" spans="1:15" x14ac:dyDescent="0.3">
      <c r="A99" s="7" t="s">
        <v>107</v>
      </c>
      <c r="B99" s="8" t="s">
        <v>109</v>
      </c>
      <c r="C99" s="9">
        <v>1.7214</v>
      </c>
      <c r="D99" s="9">
        <v>1.5778000000000001</v>
      </c>
      <c r="E99" s="9">
        <v>1.5556000000000001</v>
      </c>
      <c r="F99" s="9">
        <v>1.3980999999999999</v>
      </c>
      <c r="G99" s="9">
        <v>1.5620000000000001</v>
      </c>
      <c r="H99" s="9">
        <v>1.4779</v>
      </c>
      <c r="I99" s="9">
        <v>1.5529999999999999</v>
      </c>
      <c r="J99" s="9">
        <v>1.5643</v>
      </c>
      <c r="K99" s="9">
        <v>1.4954000000000001</v>
      </c>
      <c r="L99" s="9">
        <v>1.7215</v>
      </c>
      <c r="M99" s="9">
        <v>1.7252000000000001</v>
      </c>
      <c r="N99" s="9">
        <v>2.0449999999999999</v>
      </c>
      <c r="O99" s="11">
        <v>2.0449999999999999</v>
      </c>
    </row>
    <row r="100" spans="1:15" x14ac:dyDescent="0.3">
      <c r="A100" s="3" t="s">
        <v>110</v>
      </c>
      <c r="B100" s="4" t="s">
        <v>111</v>
      </c>
      <c r="C100" s="5">
        <v>3.1381999999999999</v>
      </c>
      <c r="D100" s="5">
        <v>2.8115999999999999</v>
      </c>
      <c r="E100" s="5">
        <v>2.9321999999999999</v>
      </c>
      <c r="F100" s="5">
        <v>2.6791999999999998</v>
      </c>
      <c r="G100" s="5">
        <v>2.9152</v>
      </c>
      <c r="H100" s="5">
        <v>2.7841999999999998</v>
      </c>
      <c r="I100" s="5">
        <v>2.8319999999999999</v>
      </c>
      <c r="J100" s="5">
        <v>2.7765</v>
      </c>
      <c r="K100" s="5">
        <v>2.7081</v>
      </c>
      <c r="L100" s="5">
        <v>3.0889000000000002</v>
      </c>
      <c r="M100" s="5">
        <v>3.2195</v>
      </c>
      <c r="N100" s="5">
        <v>3.7490999999999999</v>
      </c>
      <c r="O100" s="11">
        <v>3.7490999999999999</v>
      </c>
    </row>
    <row r="101" spans="1:15" x14ac:dyDescent="0.3">
      <c r="A101" s="7" t="s">
        <v>112</v>
      </c>
      <c r="B101" s="8" t="s">
        <v>114</v>
      </c>
      <c r="C101" s="9">
        <v>1.1446000000000001</v>
      </c>
      <c r="D101" s="9">
        <v>1.0218</v>
      </c>
      <c r="E101" s="9">
        <v>1.0643</v>
      </c>
      <c r="F101" s="9">
        <v>0.96809999999999996</v>
      </c>
      <c r="G101" s="9">
        <v>1.0432999999999999</v>
      </c>
      <c r="H101" s="9">
        <v>0.99399999999999999</v>
      </c>
      <c r="I101" s="9">
        <v>1.0139</v>
      </c>
      <c r="J101" s="9">
        <v>1.0098</v>
      </c>
      <c r="K101" s="9">
        <v>1.0018</v>
      </c>
      <c r="L101" s="9">
        <v>1.1662999999999999</v>
      </c>
      <c r="M101" s="9">
        <v>1.1783999999999999</v>
      </c>
      <c r="N101" s="9">
        <v>1.3753</v>
      </c>
      <c r="O101" s="11">
        <v>1.3753</v>
      </c>
    </row>
    <row r="102" spans="1:15" x14ac:dyDescent="0.3">
      <c r="A102" s="3" t="s">
        <v>115</v>
      </c>
      <c r="B102" s="4" t="s">
        <v>117</v>
      </c>
      <c r="C102" s="5">
        <v>1.3120000000000001</v>
      </c>
      <c r="D102" s="5">
        <v>1.1372</v>
      </c>
      <c r="E102" s="5">
        <v>1.1890000000000001</v>
      </c>
      <c r="F102" s="5">
        <v>1.0653999999999999</v>
      </c>
      <c r="G102" s="5">
        <v>1.1871</v>
      </c>
      <c r="H102" s="5">
        <v>1.1419999999999999</v>
      </c>
      <c r="I102" s="5">
        <v>1.1725000000000001</v>
      </c>
      <c r="J102" s="5">
        <v>1.1620999999999999</v>
      </c>
      <c r="K102" s="5">
        <v>1.1002000000000001</v>
      </c>
      <c r="L102" s="5">
        <v>1.2811999999999999</v>
      </c>
      <c r="M102" s="5">
        <v>1.3159000000000001</v>
      </c>
      <c r="N102" s="5">
        <v>1.5387999999999999</v>
      </c>
      <c r="O102" s="11">
        <v>1.5387999999999999</v>
      </c>
    </row>
    <row r="103" spans="1:15" x14ac:dyDescent="0.3">
      <c r="A103" s="7" t="s">
        <v>118</v>
      </c>
      <c r="B103" s="8" t="s">
        <v>120</v>
      </c>
      <c r="C103" s="9">
        <v>0.21310000000000001</v>
      </c>
      <c r="D103" s="9">
        <v>0.19389999999999999</v>
      </c>
      <c r="E103" s="9">
        <v>0.19889999999999999</v>
      </c>
      <c r="F103" s="9">
        <v>0.17730000000000001</v>
      </c>
      <c r="G103" s="9">
        <v>0.19409999999999999</v>
      </c>
      <c r="H103" s="9">
        <v>0.186</v>
      </c>
      <c r="I103" s="9">
        <v>0.1961</v>
      </c>
      <c r="J103" s="9">
        <v>0.188</v>
      </c>
      <c r="K103" s="9">
        <v>0.18709999999999999</v>
      </c>
      <c r="L103" s="9">
        <v>0.21229999999999999</v>
      </c>
      <c r="M103" s="9">
        <v>0.22209999999999999</v>
      </c>
      <c r="N103" s="9">
        <v>0.2571</v>
      </c>
      <c r="O103" s="11">
        <v>0.2571</v>
      </c>
    </row>
    <row r="104" spans="1:15" x14ac:dyDescent="0.3">
      <c r="A104" s="3" t="s">
        <v>121</v>
      </c>
      <c r="B104" s="4" t="s">
        <v>122</v>
      </c>
      <c r="C104" s="5">
        <v>0.21510000000000001</v>
      </c>
      <c r="D104" s="5">
        <v>0.1963</v>
      </c>
      <c r="E104" s="5">
        <v>0.1986</v>
      </c>
      <c r="F104" s="5">
        <v>0.17710000000000001</v>
      </c>
      <c r="G104" s="5">
        <v>0.1953</v>
      </c>
      <c r="H104" s="5">
        <v>0.1875</v>
      </c>
      <c r="I104" s="5">
        <v>0.1928</v>
      </c>
      <c r="J104" s="5">
        <v>0.1928</v>
      </c>
      <c r="K104" s="5">
        <v>0.18720000000000001</v>
      </c>
      <c r="L104" s="5">
        <v>0.219</v>
      </c>
      <c r="M104" s="5">
        <v>0.22259999999999999</v>
      </c>
      <c r="N104" s="5">
        <v>0.25159999999999999</v>
      </c>
      <c r="O104" s="11">
        <v>0.25159999999999999</v>
      </c>
    </row>
    <row r="105" spans="1:15" x14ac:dyDescent="0.3">
      <c r="A105" s="7" t="s">
        <v>123</v>
      </c>
      <c r="B105" s="8" t="s">
        <v>125</v>
      </c>
      <c r="C105" s="9">
        <v>0.218</v>
      </c>
      <c r="D105" s="9">
        <v>0.19220000000000001</v>
      </c>
      <c r="E105" s="9">
        <v>0.20019999999999999</v>
      </c>
      <c r="F105" s="9">
        <v>0.1789</v>
      </c>
      <c r="G105" s="9">
        <v>0.1961</v>
      </c>
      <c r="H105" s="9">
        <v>0.18329999999999999</v>
      </c>
      <c r="I105" s="9">
        <v>0.1971</v>
      </c>
      <c r="J105" s="9">
        <v>0.19170000000000001</v>
      </c>
      <c r="K105" s="9">
        <v>0.182</v>
      </c>
      <c r="L105" s="9">
        <v>0.21590000000000001</v>
      </c>
      <c r="M105" s="9">
        <v>0.21829999999999999</v>
      </c>
      <c r="N105" s="9">
        <v>0.25319999999999998</v>
      </c>
      <c r="O105" s="11">
        <v>0.25319999999999998</v>
      </c>
    </row>
    <row r="106" spans="1:15" x14ac:dyDescent="0.3">
      <c r="A106" s="3" t="s">
        <v>126</v>
      </c>
      <c r="B106" s="4" t="s">
        <v>127</v>
      </c>
      <c r="C106" s="5">
        <v>0.35299999999999998</v>
      </c>
      <c r="D106" s="5">
        <v>0.33829999999999999</v>
      </c>
      <c r="E106" s="5">
        <v>0.32879999999999998</v>
      </c>
      <c r="F106" s="5">
        <v>0.2974</v>
      </c>
      <c r="G106" s="5">
        <v>0.33019999999999999</v>
      </c>
      <c r="H106" s="5">
        <v>0.3211</v>
      </c>
      <c r="I106" s="5">
        <v>0.31740000000000002</v>
      </c>
      <c r="J106" s="5">
        <v>0.3231</v>
      </c>
      <c r="K106" s="5">
        <v>0.30769999999999997</v>
      </c>
      <c r="L106" s="5">
        <v>0.36230000000000001</v>
      </c>
      <c r="M106" s="5">
        <v>0.36430000000000001</v>
      </c>
      <c r="N106" s="5">
        <v>0.43419999999999997</v>
      </c>
      <c r="O106" s="11">
        <v>0.43419999999999997</v>
      </c>
    </row>
    <row r="107" spans="1:15" x14ac:dyDescent="0.3">
      <c r="A107" s="7" t="s">
        <v>128</v>
      </c>
      <c r="B107" s="8" t="s">
        <v>129</v>
      </c>
      <c r="C107" s="9">
        <v>0.2137</v>
      </c>
      <c r="D107" s="9">
        <v>0.19450000000000001</v>
      </c>
      <c r="E107" s="9">
        <v>0.2079</v>
      </c>
      <c r="F107" s="9">
        <v>0.18049999999999999</v>
      </c>
      <c r="G107" s="9">
        <v>0.19400000000000001</v>
      </c>
      <c r="H107" s="9">
        <v>0.18659999999999999</v>
      </c>
      <c r="I107" s="9">
        <v>0.19020000000000001</v>
      </c>
      <c r="J107" s="9">
        <v>0.19189999999999999</v>
      </c>
      <c r="K107" s="9">
        <v>0.1855</v>
      </c>
      <c r="L107" s="9">
        <v>0.2137</v>
      </c>
      <c r="M107" s="9">
        <v>0.22239999999999999</v>
      </c>
      <c r="N107" s="9">
        <v>0.25619999999999998</v>
      </c>
      <c r="O107" s="11">
        <v>0.25619999999999998</v>
      </c>
    </row>
    <row r="108" spans="1:15" x14ac:dyDescent="0.3">
      <c r="A108" s="3" t="s">
        <v>130</v>
      </c>
      <c r="B108" s="4" t="s">
        <v>131</v>
      </c>
      <c r="C108" s="5">
        <v>0.21629999999999999</v>
      </c>
      <c r="D108" s="5">
        <v>0.19389999999999999</v>
      </c>
      <c r="E108" s="5">
        <v>0.20080000000000001</v>
      </c>
      <c r="F108" s="5">
        <v>0.17660000000000001</v>
      </c>
      <c r="G108" s="5">
        <v>0.1983</v>
      </c>
      <c r="H108" s="5">
        <v>0.18609999999999999</v>
      </c>
      <c r="I108" s="5">
        <v>0.19070000000000001</v>
      </c>
      <c r="J108" s="5">
        <v>0.19120000000000001</v>
      </c>
      <c r="K108" s="5">
        <v>0.18340000000000001</v>
      </c>
      <c r="L108" s="5">
        <v>0.21510000000000001</v>
      </c>
      <c r="M108" s="5">
        <v>0.21629999999999999</v>
      </c>
      <c r="N108" s="5">
        <v>0.25380000000000003</v>
      </c>
      <c r="O108" s="11">
        <v>0.25380000000000003</v>
      </c>
    </row>
    <row r="109" spans="1:15" x14ac:dyDescent="0.3">
      <c r="A109" s="7" t="s">
        <v>132</v>
      </c>
      <c r="B109" s="8" t="s">
        <v>133</v>
      </c>
      <c r="C109" s="9">
        <v>0.21490000000000001</v>
      </c>
      <c r="D109" s="9">
        <v>0.19420000000000001</v>
      </c>
      <c r="E109" s="9">
        <v>0.19980000000000001</v>
      </c>
      <c r="F109" s="9">
        <v>0.1759</v>
      </c>
      <c r="G109" s="9">
        <v>0.19600000000000001</v>
      </c>
      <c r="H109" s="9">
        <v>0.189</v>
      </c>
      <c r="I109" s="9">
        <v>0.19289999999999999</v>
      </c>
      <c r="J109" s="9">
        <v>0.20430000000000001</v>
      </c>
      <c r="K109" s="9">
        <v>0.189</v>
      </c>
      <c r="L109" s="9">
        <v>0.21310000000000001</v>
      </c>
      <c r="M109" s="9">
        <v>0.21690000000000001</v>
      </c>
      <c r="N109" s="9">
        <v>0.25669999999999998</v>
      </c>
      <c r="O109" s="11">
        <v>0.25669999999999998</v>
      </c>
    </row>
    <row r="110" spans="1:15" x14ac:dyDescent="0.3">
      <c r="A110" s="3" t="s">
        <v>134</v>
      </c>
      <c r="B110" s="4" t="s">
        <v>135</v>
      </c>
      <c r="C110" s="5">
        <v>0.42749999999999999</v>
      </c>
      <c r="D110" s="5">
        <v>0.38379999999999997</v>
      </c>
      <c r="E110" s="5">
        <v>0.4052</v>
      </c>
      <c r="F110" s="5">
        <v>0.36320000000000002</v>
      </c>
      <c r="G110" s="5">
        <v>0.39079999999999998</v>
      </c>
      <c r="H110" s="5">
        <v>0.37430000000000002</v>
      </c>
      <c r="I110" s="5">
        <v>0.38129999999999997</v>
      </c>
      <c r="J110" s="5">
        <v>0.38369999999999999</v>
      </c>
      <c r="K110" s="5">
        <v>0.36530000000000001</v>
      </c>
      <c r="L110" s="5">
        <v>0.42809999999999998</v>
      </c>
      <c r="M110" s="5">
        <v>0.43790000000000001</v>
      </c>
      <c r="N110" s="5">
        <v>0.5101</v>
      </c>
      <c r="O110" s="11">
        <v>0.5101</v>
      </c>
    </row>
    <row r="111" spans="1:15" x14ac:dyDescent="0.3">
      <c r="A111" s="7" t="s">
        <v>136</v>
      </c>
      <c r="B111" s="8" t="s">
        <v>137</v>
      </c>
      <c r="C111" s="9">
        <v>0.42970000000000003</v>
      </c>
      <c r="D111" s="9">
        <v>0.38579999999999998</v>
      </c>
      <c r="E111" s="9">
        <v>0.38829999999999998</v>
      </c>
      <c r="F111" s="9">
        <v>0.36409999999999998</v>
      </c>
      <c r="G111" s="9">
        <v>0.39140000000000003</v>
      </c>
      <c r="H111" s="9">
        <v>0.38109999999999999</v>
      </c>
      <c r="I111" s="9">
        <v>0.38109999999999999</v>
      </c>
      <c r="J111" s="9">
        <v>0.38419999999999999</v>
      </c>
      <c r="K111" s="9">
        <v>0.36780000000000002</v>
      </c>
      <c r="L111" s="9">
        <v>0.42499999999999999</v>
      </c>
      <c r="M111" s="9">
        <v>0.44230000000000003</v>
      </c>
      <c r="N111" s="9">
        <v>0.51239999999999997</v>
      </c>
      <c r="O111" s="11">
        <v>0.51239999999999997</v>
      </c>
    </row>
    <row r="112" spans="1:15" x14ac:dyDescent="0.3">
      <c r="A112" s="3" t="s">
        <v>138</v>
      </c>
      <c r="B112" s="4" t="s">
        <v>139</v>
      </c>
      <c r="C112" s="5">
        <v>0.42499999999999999</v>
      </c>
      <c r="D112" s="5">
        <v>0.39350000000000002</v>
      </c>
      <c r="E112" s="5">
        <v>0.39190000000000003</v>
      </c>
      <c r="F112" s="5">
        <v>0.35539999999999999</v>
      </c>
      <c r="G112" s="5">
        <v>0.39250000000000002</v>
      </c>
      <c r="H112" s="5">
        <v>0.37640000000000001</v>
      </c>
      <c r="I112" s="5">
        <v>0.38219999999999998</v>
      </c>
      <c r="J112" s="5">
        <v>0.38629999999999998</v>
      </c>
      <c r="K112" s="5">
        <v>0.38150000000000001</v>
      </c>
      <c r="L112" s="5">
        <v>0.4259</v>
      </c>
      <c r="M112" s="5">
        <v>0.43369999999999997</v>
      </c>
      <c r="N112" s="5">
        <v>0.51339999999999997</v>
      </c>
      <c r="O112" s="11">
        <v>0.51339999999999997</v>
      </c>
    </row>
    <row r="113" spans="1:15" x14ac:dyDescent="0.3">
      <c r="A113" s="7" t="s">
        <v>140</v>
      </c>
      <c r="B113" s="8" t="s">
        <v>141</v>
      </c>
      <c r="C113" s="9">
        <v>0.21110000000000001</v>
      </c>
      <c r="D113" s="9">
        <v>0.1928</v>
      </c>
      <c r="E113" s="9">
        <v>0.19439999999999999</v>
      </c>
      <c r="F113" s="9">
        <v>0.18210000000000001</v>
      </c>
      <c r="G113" s="9">
        <v>0.19670000000000001</v>
      </c>
      <c r="H113" s="9">
        <v>0.192</v>
      </c>
      <c r="I113" s="9">
        <v>0.1938</v>
      </c>
      <c r="J113" s="9">
        <v>0.19409999999999999</v>
      </c>
      <c r="K113" s="9">
        <v>0.18429999999999999</v>
      </c>
      <c r="L113" s="9">
        <v>0.21340000000000001</v>
      </c>
      <c r="M113" s="9">
        <v>0.21659999999999999</v>
      </c>
      <c r="N113" s="9">
        <v>0.25559999999999999</v>
      </c>
      <c r="O113" s="11">
        <v>0.25559999999999999</v>
      </c>
    </row>
    <row r="114" spans="1:15" x14ac:dyDescent="0.3">
      <c r="A114" s="3" t="s">
        <v>142</v>
      </c>
      <c r="B114" s="4" t="s">
        <v>143</v>
      </c>
      <c r="C114" s="5">
        <v>0.42530000000000001</v>
      </c>
      <c r="D114" s="5">
        <v>0.38429999999999997</v>
      </c>
      <c r="E114" s="5">
        <v>0.39560000000000001</v>
      </c>
      <c r="F114" s="5">
        <v>0.36470000000000002</v>
      </c>
      <c r="G114" s="5">
        <v>0.39419999999999999</v>
      </c>
      <c r="H114" s="5">
        <v>0.38159999999999999</v>
      </c>
      <c r="I114" s="5">
        <v>0.37240000000000001</v>
      </c>
      <c r="J114" s="5">
        <v>0.38750000000000001</v>
      </c>
      <c r="K114" s="5">
        <v>0.36699999999999999</v>
      </c>
      <c r="L114" s="5">
        <v>0.42980000000000002</v>
      </c>
      <c r="M114" s="5">
        <v>0.4501</v>
      </c>
      <c r="N114" s="5">
        <v>0.51039999999999996</v>
      </c>
      <c r="O114" s="11">
        <v>0.51039999999999996</v>
      </c>
    </row>
    <row r="115" spans="1:15" ht="18" customHeight="1" x14ac:dyDescent="0.3">
      <c r="A115" s="12" t="s">
        <v>158</v>
      </c>
      <c r="B115" s="12" t="s">
        <v>159</v>
      </c>
      <c r="C115" s="13">
        <v>21.105799999999999</v>
      </c>
      <c r="D115" s="13">
        <v>19.523099999999999</v>
      </c>
      <c r="E115" s="13">
        <v>19.650099999999998</v>
      </c>
      <c r="F115" s="13">
        <v>17.8659</v>
      </c>
      <c r="G115" s="13">
        <v>20.498699999999999</v>
      </c>
      <c r="H115" s="13">
        <v>18.6494</v>
      </c>
      <c r="I115" s="13">
        <v>18.965399999999999</v>
      </c>
      <c r="J115" s="13">
        <v>19.185400000000001</v>
      </c>
      <c r="K115" s="13">
        <v>18.707999999999998</v>
      </c>
      <c r="L115" s="13">
        <v>21.306899999999999</v>
      </c>
      <c r="M115" s="13">
        <v>21.9115</v>
      </c>
      <c r="N115" s="13">
        <v>25.667400000000001</v>
      </c>
      <c r="O115" s="13">
        <v>25.667400000000001</v>
      </c>
    </row>
    <row r="117" spans="1:15" ht="22.05" customHeight="1" x14ac:dyDescent="0.3">
      <c r="A117" s="41" t="s">
        <v>161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</row>
    <row r="118" spans="1:15" ht="30" customHeight="1" x14ac:dyDescent="0.3">
      <c r="A118" s="1" t="s">
        <v>5</v>
      </c>
      <c r="B118" s="1" t="s">
        <v>7</v>
      </c>
      <c r="C118" s="2" t="s">
        <v>14</v>
      </c>
      <c r="D118" s="2" t="s">
        <v>144</v>
      </c>
      <c r="E118" s="2" t="s">
        <v>145</v>
      </c>
      <c r="F118" s="2" t="s">
        <v>146</v>
      </c>
      <c r="G118" s="2" t="s">
        <v>147</v>
      </c>
      <c r="H118" s="2" t="s">
        <v>148</v>
      </c>
      <c r="I118" s="2" t="s">
        <v>149</v>
      </c>
      <c r="J118" s="2" t="s">
        <v>150</v>
      </c>
      <c r="K118" s="2" t="s">
        <v>151</v>
      </c>
      <c r="L118" s="2" t="s">
        <v>152</v>
      </c>
      <c r="M118" s="2" t="s">
        <v>153</v>
      </c>
      <c r="N118" s="2" t="s">
        <v>154</v>
      </c>
      <c r="O118" s="1" t="s">
        <v>157</v>
      </c>
    </row>
    <row r="119" spans="1:15" x14ac:dyDescent="0.3">
      <c r="A119" s="3" t="s">
        <v>16</v>
      </c>
      <c r="B119" s="4" t="s">
        <v>18</v>
      </c>
      <c r="C119" s="5">
        <v>1680.4739</v>
      </c>
      <c r="D119" s="5">
        <v>1353.2783999999999</v>
      </c>
      <c r="E119" s="5">
        <v>1533.7348</v>
      </c>
      <c r="F119" s="5">
        <v>1311.0260000000001</v>
      </c>
      <c r="G119" s="5">
        <v>1523.8942</v>
      </c>
      <c r="H119" s="5">
        <v>1398.1921</v>
      </c>
      <c r="I119" s="5">
        <v>1492.6449</v>
      </c>
      <c r="J119" s="5">
        <v>1482.9684999999999</v>
      </c>
      <c r="K119" s="5">
        <v>1389.7302</v>
      </c>
      <c r="L119" s="5">
        <v>1678.0635</v>
      </c>
      <c r="M119" s="5">
        <v>1663.4865</v>
      </c>
      <c r="N119" s="5">
        <v>2037.0228999999999</v>
      </c>
      <c r="O119" s="11">
        <v>18544.515899999999</v>
      </c>
    </row>
    <row r="120" spans="1:15" x14ac:dyDescent="0.3">
      <c r="A120" s="7" t="s">
        <v>20</v>
      </c>
      <c r="B120" s="8" t="s">
        <v>22</v>
      </c>
      <c r="C120" s="9">
        <v>836.63289999999995</v>
      </c>
      <c r="D120" s="9">
        <v>677.39880000000005</v>
      </c>
      <c r="E120" s="9">
        <v>770.29380000000003</v>
      </c>
      <c r="F120" s="9">
        <v>655.12210000000005</v>
      </c>
      <c r="G120" s="9">
        <v>762.84199999999998</v>
      </c>
      <c r="H120" s="9">
        <v>698.60990000000004</v>
      </c>
      <c r="I120" s="9">
        <v>742.64689999999996</v>
      </c>
      <c r="J120" s="9">
        <v>740.90539999999999</v>
      </c>
      <c r="K120" s="9">
        <v>688.69460000000004</v>
      </c>
      <c r="L120" s="9">
        <v>833.7011</v>
      </c>
      <c r="M120" s="9">
        <v>832.26599999999996</v>
      </c>
      <c r="N120" s="9">
        <v>1016.2753</v>
      </c>
      <c r="O120" s="11">
        <v>9255.3887999999988</v>
      </c>
    </row>
    <row r="121" spans="1:15" x14ac:dyDescent="0.3">
      <c r="A121" s="3" t="s">
        <v>23</v>
      </c>
      <c r="B121" s="4" t="s">
        <v>24</v>
      </c>
      <c r="C121" s="5">
        <v>673.40070000000003</v>
      </c>
      <c r="D121" s="5">
        <v>537.18960000000004</v>
      </c>
      <c r="E121" s="5">
        <v>614.48440000000005</v>
      </c>
      <c r="F121" s="5">
        <v>524.98180000000002</v>
      </c>
      <c r="G121" s="5">
        <v>607.87929999999994</v>
      </c>
      <c r="H121" s="5">
        <v>558.25279999999998</v>
      </c>
      <c r="I121" s="5">
        <v>597.77980000000002</v>
      </c>
      <c r="J121" s="5">
        <v>595.80359999999996</v>
      </c>
      <c r="K121" s="5">
        <v>551.13559999999995</v>
      </c>
      <c r="L121" s="5">
        <v>673.22109999999998</v>
      </c>
      <c r="M121" s="5">
        <v>667.51440000000002</v>
      </c>
      <c r="N121" s="5">
        <v>814.69079999999997</v>
      </c>
      <c r="O121" s="11">
        <v>7416.3339000000014</v>
      </c>
    </row>
    <row r="122" spans="1:15" x14ac:dyDescent="0.3">
      <c r="A122" s="7" t="s">
        <v>25</v>
      </c>
      <c r="B122" s="8" t="s">
        <v>26</v>
      </c>
      <c r="C122" s="9">
        <v>558.20029999999997</v>
      </c>
      <c r="D122" s="9">
        <v>451.13979999999998</v>
      </c>
      <c r="E122" s="9">
        <v>511.19439999999997</v>
      </c>
      <c r="F122" s="9">
        <v>436.66829999999999</v>
      </c>
      <c r="G122" s="9">
        <v>507.29239999999999</v>
      </c>
      <c r="H122" s="9">
        <v>466.85019999999997</v>
      </c>
      <c r="I122" s="9">
        <v>496.71100000000001</v>
      </c>
      <c r="J122" s="9">
        <v>495.4665</v>
      </c>
      <c r="K122" s="9">
        <v>459.0958</v>
      </c>
      <c r="L122" s="9">
        <v>558.73080000000004</v>
      </c>
      <c r="M122" s="9">
        <v>553.97749999999996</v>
      </c>
      <c r="N122" s="9">
        <v>677.36890000000005</v>
      </c>
      <c r="O122" s="11">
        <v>6172.6958999999997</v>
      </c>
    </row>
    <row r="123" spans="1:15" x14ac:dyDescent="0.3">
      <c r="A123" s="3" t="s">
        <v>27</v>
      </c>
      <c r="B123" s="4" t="s">
        <v>28</v>
      </c>
      <c r="C123" s="5">
        <v>603.98429999999996</v>
      </c>
      <c r="D123" s="5">
        <v>486.92</v>
      </c>
      <c r="E123" s="5">
        <v>552.4348</v>
      </c>
      <c r="F123" s="5">
        <v>473.30180000000001</v>
      </c>
      <c r="G123" s="5">
        <v>549.42740000000003</v>
      </c>
      <c r="H123" s="5">
        <v>502.82749999999999</v>
      </c>
      <c r="I123" s="5">
        <v>535.36530000000005</v>
      </c>
      <c r="J123" s="5">
        <v>537.3614</v>
      </c>
      <c r="K123" s="5">
        <v>495.38290000000001</v>
      </c>
      <c r="L123" s="5">
        <v>601.18690000000004</v>
      </c>
      <c r="M123" s="5">
        <v>598.91240000000005</v>
      </c>
      <c r="N123" s="5">
        <v>730.21550000000002</v>
      </c>
      <c r="O123" s="11">
        <v>6667.3201999999992</v>
      </c>
    </row>
    <row r="124" spans="1:15" x14ac:dyDescent="0.3">
      <c r="A124" s="7" t="s">
        <v>29</v>
      </c>
      <c r="B124" s="8" t="s">
        <v>30</v>
      </c>
      <c r="C124" s="9">
        <v>401.85820000000001</v>
      </c>
      <c r="D124" s="9">
        <v>326.02280000000002</v>
      </c>
      <c r="E124" s="9">
        <v>367.43680000000001</v>
      </c>
      <c r="F124" s="9">
        <v>315.19619999999998</v>
      </c>
      <c r="G124" s="9">
        <v>364.6653</v>
      </c>
      <c r="H124" s="9">
        <v>335.62560000000002</v>
      </c>
      <c r="I124" s="9">
        <v>355.7518</v>
      </c>
      <c r="J124" s="9">
        <v>354.67219999999998</v>
      </c>
      <c r="K124" s="9">
        <v>331.36630000000002</v>
      </c>
      <c r="L124" s="9">
        <v>400.2124</v>
      </c>
      <c r="M124" s="9">
        <v>399.98340000000002</v>
      </c>
      <c r="N124" s="9">
        <v>488.39409999999998</v>
      </c>
      <c r="O124" s="11">
        <v>4441.1851000000006</v>
      </c>
    </row>
    <row r="125" spans="1:15" x14ac:dyDescent="0.3">
      <c r="A125" s="3" t="s">
        <v>31</v>
      </c>
      <c r="B125" s="4" t="s">
        <v>32</v>
      </c>
      <c r="C125" s="5">
        <v>134.1764</v>
      </c>
      <c r="D125" s="5">
        <v>108.54640000000001</v>
      </c>
      <c r="E125" s="5">
        <v>122.1812</v>
      </c>
      <c r="F125" s="5">
        <v>105.6238</v>
      </c>
      <c r="G125" s="5">
        <v>121.85299999999999</v>
      </c>
      <c r="H125" s="5">
        <v>112.2182</v>
      </c>
      <c r="I125" s="5">
        <v>118.84699999999999</v>
      </c>
      <c r="J125" s="5">
        <v>118.98739999999999</v>
      </c>
      <c r="K125" s="5">
        <v>110.4984</v>
      </c>
      <c r="L125" s="5">
        <v>134.26759999999999</v>
      </c>
      <c r="M125" s="5">
        <v>133.16309999999999</v>
      </c>
      <c r="N125" s="5">
        <v>162.92140000000001</v>
      </c>
      <c r="O125" s="11">
        <v>1483.2838999999999</v>
      </c>
    </row>
    <row r="126" spans="1:15" x14ac:dyDescent="0.3">
      <c r="A126" s="7" t="s">
        <v>34</v>
      </c>
      <c r="B126" s="8" t="s">
        <v>35</v>
      </c>
      <c r="C126" s="9">
        <v>403.92520000000002</v>
      </c>
      <c r="D126" s="9">
        <v>323.88940000000002</v>
      </c>
      <c r="E126" s="9">
        <v>369.58730000000003</v>
      </c>
      <c r="F126" s="9">
        <v>316.02229999999997</v>
      </c>
      <c r="G126" s="9">
        <v>365.69959999999998</v>
      </c>
      <c r="H126" s="9">
        <v>337.31299999999999</v>
      </c>
      <c r="I126" s="9">
        <v>355.1284</v>
      </c>
      <c r="J126" s="9">
        <v>356.24090000000001</v>
      </c>
      <c r="K126" s="9">
        <v>329.67899999999997</v>
      </c>
      <c r="L126" s="9">
        <v>401.79730000000001</v>
      </c>
      <c r="M126" s="9">
        <v>400.2518</v>
      </c>
      <c r="N126" s="9">
        <v>487.70600000000002</v>
      </c>
      <c r="O126" s="11">
        <v>4447.2402000000002</v>
      </c>
    </row>
    <row r="127" spans="1:15" x14ac:dyDescent="0.3">
      <c r="A127" s="3" t="s">
        <v>36</v>
      </c>
      <c r="B127" s="4" t="s">
        <v>38</v>
      </c>
      <c r="C127" s="5">
        <v>167.57810000000001</v>
      </c>
      <c r="D127" s="5">
        <v>135.38499999999999</v>
      </c>
      <c r="E127" s="5">
        <v>153.00370000000001</v>
      </c>
      <c r="F127" s="5">
        <v>131.52930000000001</v>
      </c>
      <c r="G127" s="5">
        <v>151.90289999999999</v>
      </c>
      <c r="H127" s="5">
        <v>140.13229999999999</v>
      </c>
      <c r="I127" s="5">
        <v>148.38480000000001</v>
      </c>
      <c r="J127" s="5">
        <v>148.6754</v>
      </c>
      <c r="K127" s="5">
        <v>137.76230000000001</v>
      </c>
      <c r="L127" s="5">
        <v>167.19069999999999</v>
      </c>
      <c r="M127" s="5">
        <v>166.11920000000001</v>
      </c>
      <c r="N127" s="5">
        <v>204.30860000000001</v>
      </c>
      <c r="O127" s="11">
        <v>1851.972300000001</v>
      </c>
    </row>
    <row r="128" spans="1:15" x14ac:dyDescent="0.3">
      <c r="A128" s="7" t="s">
        <v>39</v>
      </c>
      <c r="B128" s="8" t="s">
        <v>40</v>
      </c>
      <c r="C128" s="9">
        <v>134.0582</v>
      </c>
      <c r="D128" s="9">
        <v>108.3357</v>
      </c>
      <c r="E128" s="9">
        <v>122.3402</v>
      </c>
      <c r="F128" s="9">
        <v>105.2867</v>
      </c>
      <c r="G128" s="9">
        <v>121.447</v>
      </c>
      <c r="H128" s="9">
        <v>111.5488</v>
      </c>
      <c r="I128" s="9">
        <v>118.9705</v>
      </c>
      <c r="J128" s="9">
        <v>118.7432</v>
      </c>
      <c r="K128" s="9">
        <v>110.71769999999999</v>
      </c>
      <c r="L128" s="9">
        <v>133.69460000000001</v>
      </c>
      <c r="M128" s="9">
        <v>133.10849999999999</v>
      </c>
      <c r="N128" s="9">
        <v>163.45490000000001</v>
      </c>
      <c r="O128" s="11">
        <v>1481.7059999999999</v>
      </c>
    </row>
    <row r="129" spans="1:15" x14ac:dyDescent="0.3">
      <c r="A129" s="3" t="s">
        <v>41</v>
      </c>
      <c r="B129" s="4" t="s">
        <v>42</v>
      </c>
      <c r="C129" s="5">
        <v>268.1284</v>
      </c>
      <c r="D129" s="5">
        <v>216.34979999999999</v>
      </c>
      <c r="E129" s="5">
        <v>246.64429999999999</v>
      </c>
      <c r="F129" s="5">
        <v>210.40379999999999</v>
      </c>
      <c r="G129" s="5">
        <v>243.4761</v>
      </c>
      <c r="H129" s="5">
        <v>223.74520000000001</v>
      </c>
      <c r="I129" s="5">
        <v>237.57640000000001</v>
      </c>
      <c r="J129" s="5">
        <v>237.72460000000001</v>
      </c>
      <c r="K129" s="5">
        <v>220.3629</v>
      </c>
      <c r="L129" s="5">
        <v>267.53620000000001</v>
      </c>
      <c r="M129" s="5">
        <v>266.70749999999998</v>
      </c>
      <c r="N129" s="5">
        <v>325.04199999999997</v>
      </c>
      <c r="O129" s="11">
        <v>2963.6972000000001</v>
      </c>
    </row>
    <row r="130" spans="1:15" x14ac:dyDescent="0.3">
      <c r="A130" s="7" t="s">
        <v>43</v>
      </c>
      <c r="B130" s="8" t="s">
        <v>44</v>
      </c>
      <c r="C130" s="9">
        <v>100.6865</v>
      </c>
      <c r="D130" s="9">
        <v>81.0779</v>
      </c>
      <c r="E130" s="9">
        <v>92.108400000000003</v>
      </c>
      <c r="F130" s="9">
        <v>78.634699999999995</v>
      </c>
      <c r="G130" s="9">
        <v>91.399299999999997</v>
      </c>
      <c r="H130" s="9">
        <v>83.864000000000004</v>
      </c>
      <c r="I130" s="9">
        <v>89.322100000000006</v>
      </c>
      <c r="J130" s="9">
        <v>89.290999999999997</v>
      </c>
      <c r="K130" s="9">
        <v>83.106200000000001</v>
      </c>
      <c r="L130" s="9">
        <v>100.6816</v>
      </c>
      <c r="M130" s="9">
        <v>99.878</v>
      </c>
      <c r="N130" s="9">
        <v>122.0128</v>
      </c>
      <c r="O130" s="11">
        <v>1112.0625</v>
      </c>
    </row>
    <row r="131" spans="1:15" x14ac:dyDescent="0.3">
      <c r="A131" s="3" t="s">
        <v>45</v>
      </c>
      <c r="B131" s="4" t="s">
        <v>46</v>
      </c>
      <c r="C131" s="5">
        <v>100.70440000000001</v>
      </c>
      <c r="D131" s="5">
        <v>80.718599999999995</v>
      </c>
      <c r="E131" s="5">
        <v>92.233400000000003</v>
      </c>
      <c r="F131" s="5">
        <v>78.424000000000007</v>
      </c>
      <c r="G131" s="5">
        <v>91.308199999999999</v>
      </c>
      <c r="H131" s="5">
        <v>84.075500000000005</v>
      </c>
      <c r="I131" s="5">
        <v>89.066599999999994</v>
      </c>
      <c r="J131" s="5">
        <v>89.235799999999998</v>
      </c>
      <c r="K131" s="5">
        <v>82.915999999999997</v>
      </c>
      <c r="L131" s="5">
        <v>101.14619999999999</v>
      </c>
      <c r="M131" s="5">
        <v>99.729799999999997</v>
      </c>
      <c r="N131" s="5">
        <v>121.72839999999999</v>
      </c>
      <c r="O131" s="11">
        <v>1111.2869000000001</v>
      </c>
    </row>
    <row r="132" spans="1:15" x14ac:dyDescent="0.3">
      <c r="A132" s="7" t="s">
        <v>47</v>
      </c>
      <c r="B132" s="8" t="s">
        <v>48</v>
      </c>
      <c r="C132" s="9">
        <v>201.2287</v>
      </c>
      <c r="D132" s="9">
        <v>162.46080000000001</v>
      </c>
      <c r="E132" s="9">
        <v>184.42250000000001</v>
      </c>
      <c r="F132" s="9">
        <v>157.7877</v>
      </c>
      <c r="G132" s="9">
        <v>183.01339999999999</v>
      </c>
      <c r="H132" s="9">
        <v>167.9187</v>
      </c>
      <c r="I132" s="9">
        <v>178.41300000000001</v>
      </c>
      <c r="J132" s="9">
        <v>178.1309</v>
      </c>
      <c r="K132" s="9">
        <v>166.36600000000001</v>
      </c>
      <c r="L132" s="9">
        <v>201.6489</v>
      </c>
      <c r="M132" s="9">
        <v>199.7645</v>
      </c>
      <c r="N132" s="9">
        <v>244.6026</v>
      </c>
      <c r="O132" s="11">
        <v>2225.7577000000001</v>
      </c>
    </row>
    <row r="133" spans="1:15" x14ac:dyDescent="0.3">
      <c r="A133" s="3" t="s">
        <v>49</v>
      </c>
      <c r="B133" s="4" t="s">
        <v>51</v>
      </c>
      <c r="C133" s="5">
        <v>201.2441</v>
      </c>
      <c r="D133" s="5">
        <v>161.9896</v>
      </c>
      <c r="E133" s="5">
        <v>184.1189</v>
      </c>
      <c r="F133" s="5">
        <v>157.44049999999999</v>
      </c>
      <c r="G133" s="5">
        <v>181.96629999999999</v>
      </c>
      <c r="H133" s="5">
        <v>167.5634</v>
      </c>
      <c r="I133" s="5">
        <v>178.24639999999999</v>
      </c>
      <c r="J133" s="5">
        <v>178.77279999999999</v>
      </c>
      <c r="K133" s="5">
        <v>165.65389999999999</v>
      </c>
      <c r="L133" s="5">
        <v>200.7884</v>
      </c>
      <c r="M133" s="5">
        <v>199.8922</v>
      </c>
      <c r="N133" s="5">
        <v>243.8202</v>
      </c>
      <c r="O133" s="11">
        <v>2221.4967000000001</v>
      </c>
    </row>
    <row r="134" spans="1:15" x14ac:dyDescent="0.3">
      <c r="A134" s="7" t="s">
        <v>52</v>
      </c>
      <c r="B134" s="8" t="s">
        <v>53</v>
      </c>
      <c r="C134" s="9">
        <v>202.20099999999999</v>
      </c>
      <c r="D134" s="9">
        <v>162.15860000000001</v>
      </c>
      <c r="E134" s="9">
        <v>184.23179999999999</v>
      </c>
      <c r="F134" s="9">
        <v>158.38570000000001</v>
      </c>
      <c r="G134" s="9">
        <v>183.52889999999999</v>
      </c>
      <c r="H134" s="9">
        <v>168.01060000000001</v>
      </c>
      <c r="I134" s="9">
        <v>177.80500000000001</v>
      </c>
      <c r="J134" s="9">
        <v>178.77180000000001</v>
      </c>
      <c r="K134" s="9">
        <v>166.33500000000001</v>
      </c>
      <c r="L134" s="9">
        <v>201.02699999999999</v>
      </c>
      <c r="M134" s="9">
        <v>200.27629999999999</v>
      </c>
      <c r="N134" s="9">
        <v>244.0958</v>
      </c>
      <c r="O134" s="11">
        <v>2226.8274999999999</v>
      </c>
    </row>
    <row r="135" spans="1:15" x14ac:dyDescent="0.3">
      <c r="A135" s="3" t="s">
        <v>54</v>
      </c>
      <c r="B135" s="4" t="s">
        <v>56</v>
      </c>
      <c r="C135" s="5">
        <v>100.9267</v>
      </c>
      <c r="D135" s="5">
        <v>80.669600000000003</v>
      </c>
      <c r="E135" s="5">
        <v>92.319199999999995</v>
      </c>
      <c r="F135" s="5">
        <v>78.734999999999999</v>
      </c>
      <c r="G135" s="5">
        <v>90.705799999999996</v>
      </c>
      <c r="H135" s="5">
        <v>83.364599999999996</v>
      </c>
      <c r="I135" s="5">
        <v>88.940299999999993</v>
      </c>
      <c r="J135" s="5">
        <v>89.292599999999993</v>
      </c>
      <c r="K135" s="5">
        <v>82.835800000000006</v>
      </c>
      <c r="L135" s="5">
        <v>100.30119999999999</v>
      </c>
      <c r="M135" s="5">
        <v>99.712000000000003</v>
      </c>
      <c r="N135" s="5">
        <v>121.992</v>
      </c>
      <c r="O135" s="11">
        <v>1109.7947999999999</v>
      </c>
    </row>
    <row r="136" spans="1:15" x14ac:dyDescent="0.3">
      <c r="A136" s="7" t="s">
        <v>57</v>
      </c>
      <c r="B136" s="8" t="s">
        <v>59</v>
      </c>
      <c r="C136" s="9">
        <v>67.022599999999997</v>
      </c>
      <c r="D136" s="9">
        <v>53.973500000000001</v>
      </c>
      <c r="E136" s="9">
        <v>61.334800000000001</v>
      </c>
      <c r="F136" s="9">
        <v>52.665799999999997</v>
      </c>
      <c r="G136" s="9">
        <v>61.022199999999998</v>
      </c>
      <c r="H136" s="9">
        <v>55.9529</v>
      </c>
      <c r="I136" s="9">
        <v>59.339599999999997</v>
      </c>
      <c r="J136" s="9">
        <v>59.668799999999997</v>
      </c>
      <c r="K136" s="9">
        <v>55.150599999999997</v>
      </c>
      <c r="L136" s="9">
        <v>66.819900000000004</v>
      </c>
      <c r="M136" s="9">
        <v>66.676599999999993</v>
      </c>
      <c r="N136" s="9">
        <v>81.582800000000006</v>
      </c>
      <c r="O136" s="11">
        <v>741.2100999999999</v>
      </c>
    </row>
    <row r="137" spans="1:15" x14ac:dyDescent="0.3">
      <c r="A137" s="3" t="s">
        <v>60</v>
      </c>
      <c r="B137" s="4" t="s">
        <v>62</v>
      </c>
      <c r="C137" s="5">
        <v>67.2834</v>
      </c>
      <c r="D137" s="5">
        <v>53.883699999999997</v>
      </c>
      <c r="E137" s="5">
        <v>61.334800000000001</v>
      </c>
      <c r="F137" s="5">
        <v>52.817999999999998</v>
      </c>
      <c r="G137" s="5">
        <v>60.92</v>
      </c>
      <c r="H137" s="5">
        <v>56.017800000000001</v>
      </c>
      <c r="I137" s="5">
        <v>59.343200000000003</v>
      </c>
      <c r="J137" s="5">
        <v>59.511000000000003</v>
      </c>
      <c r="K137" s="5">
        <v>55.325600000000001</v>
      </c>
      <c r="L137" s="5">
        <v>66.8232</v>
      </c>
      <c r="M137" s="5">
        <v>66.6892</v>
      </c>
      <c r="N137" s="5">
        <v>81.517799999999994</v>
      </c>
      <c r="O137" s="11">
        <v>741.46770000000015</v>
      </c>
    </row>
    <row r="138" spans="1:15" x14ac:dyDescent="0.3">
      <c r="A138" s="7" t="s">
        <v>63</v>
      </c>
      <c r="B138" s="8" t="s">
        <v>65</v>
      </c>
      <c r="C138" s="9">
        <v>67.128600000000006</v>
      </c>
      <c r="D138" s="9">
        <v>54.152200000000001</v>
      </c>
      <c r="E138" s="9">
        <v>61.533099999999997</v>
      </c>
      <c r="F138" s="9">
        <v>52.682600000000001</v>
      </c>
      <c r="G138" s="9">
        <v>61.003599999999999</v>
      </c>
      <c r="H138" s="9">
        <v>55.9773</v>
      </c>
      <c r="I138" s="9">
        <v>59.15</v>
      </c>
      <c r="J138" s="9">
        <v>59.429000000000002</v>
      </c>
      <c r="K138" s="9">
        <v>54.997300000000003</v>
      </c>
      <c r="L138" s="9">
        <v>66.914199999999994</v>
      </c>
      <c r="M138" s="9">
        <v>66.548400000000001</v>
      </c>
      <c r="N138" s="9">
        <v>81.677999999999997</v>
      </c>
      <c r="O138" s="11">
        <v>741.19429999999988</v>
      </c>
    </row>
    <row r="139" spans="1:15" x14ac:dyDescent="0.3">
      <c r="A139" s="3" t="s">
        <v>66</v>
      </c>
      <c r="B139" s="4" t="s">
        <v>67</v>
      </c>
      <c r="C139" s="5">
        <v>133.8383</v>
      </c>
      <c r="D139" s="5">
        <v>107.15260000000001</v>
      </c>
      <c r="E139" s="5">
        <v>122.8877</v>
      </c>
      <c r="F139" s="5">
        <v>105.3527</v>
      </c>
      <c r="G139" s="5">
        <v>121.7169</v>
      </c>
      <c r="H139" s="5">
        <v>111.39709999999999</v>
      </c>
      <c r="I139" s="5">
        <v>118.3301</v>
      </c>
      <c r="J139" s="5">
        <v>118.91889999999999</v>
      </c>
      <c r="K139" s="5">
        <v>110.56529999999999</v>
      </c>
      <c r="L139" s="5">
        <v>133.8982</v>
      </c>
      <c r="M139" s="5">
        <v>132.6454</v>
      </c>
      <c r="N139" s="5">
        <v>162.5933</v>
      </c>
      <c r="O139" s="11">
        <v>1479.2964999999999</v>
      </c>
    </row>
    <row r="140" spans="1:15" x14ac:dyDescent="0.3">
      <c r="A140" s="7" t="s">
        <v>68</v>
      </c>
      <c r="B140" s="8" t="s">
        <v>69</v>
      </c>
      <c r="C140" s="9">
        <v>134.60040000000001</v>
      </c>
      <c r="D140" s="9">
        <v>108.3651</v>
      </c>
      <c r="E140" s="9">
        <v>122.559</v>
      </c>
      <c r="F140" s="9">
        <v>105.3519</v>
      </c>
      <c r="G140" s="9">
        <v>122.312</v>
      </c>
      <c r="H140" s="9">
        <v>112.0441</v>
      </c>
      <c r="I140" s="9">
        <v>118.61360000000001</v>
      </c>
      <c r="J140" s="9">
        <v>118.9682</v>
      </c>
      <c r="K140" s="9">
        <v>110.72490000000001</v>
      </c>
      <c r="L140" s="9">
        <v>134.17140000000001</v>
      </c>
      <c r="M140" s="9">
        <v>133.70679999999999</v>
      </c>
      <c r="N140" s="9">
        <v>162.91239999999999</v>
      </c>
      <c r="O140" s="11">
        <v>1484.3298</v>
      </c>
    </row>
    <row r="141" spans="1:15" x14ac:dyDescent="0.3">
      <c r="A141" s="3" t="s">
        <v>70</v>
      </c>
      <c r="B141" s="4" t="s">
        <v>71</v>
      </c>
      <c r="C141" s="5">
        <v>134.32220000000001</v>
      </c>
      <c r="D141" s="5">
        <v>107.6784</v>
      </c>
      <c r="E141" s="5">
        <v>122.63509999999999</v>
      </c>
      <c r="F141" s="5">
        <v>105.46850000000001</v>
      </c>
      <c r="G141" s="5">
        <v>122.0598</v>
      </c>
      <c r="H141" s="5">
        <v>112.0211</v>
      </c>
      <c r="I141" s="5">
        <v>118.80759999999999</v>
      </c>
      <c r="J141" s="5">
        <v>118.873</v>
      </c>
      <c r="K141" s="5">
        <v>110.7283</v>
      </c>
      <c r="L141" s="5">
        <v>134.30539999999999</v>
      </c>
      <c r="M141" s="5">
        <v>133.14420000000001</v>
      </c>
      <c r="N141" s="5">
        <v>163.06280000000001</v>
      </c>
      <c r="O141" s="11">
        <v>1483.1063999999999</v>
      </c>
    </row>
    <row r="142" spans="1:15" x14ac:dyDescent="0.3">
      <c r="A142" s="7" t="s">
        <v>72</v>
      </c>
      <c r="B142" s="8" t="s">
        <v>74</v>
      </c>
      <c r="C142" s="9">
        <v>168.09209999999999</v>
      </c>
      <c r="D142" s="9">
        <v>135.0138</v>
      </c>
      <c r="E142" s="9">
        <v>153.84780000000001</v>
      </c>
      <c r="F142" s="9">
        <v>131.8237</v>
      </c>
      <c r="G142" s="9">
        <v>152.57380000000001</v>
      </c>
      <c r="H142" s="9">
        <v>140.18549999999999</v>
      </c>
      <c r="I142" s="9">
        <v>148.7602</v>
      </c>
      <c r="J142" s="9">
        <v>148.71619999999999</v>
      </c>
      <c r="K142" s="9">
        <v>138.15690000000001</v>
      </c>
      <c r="L142" s="9">
        <v>166.9862</v>
      </c>
      <c r="M142" s="9">
        <v>165.77959999999999</v>
      </c>
      <c r="N142" s="9">
        <v>202.9615</v>
      </c>
      <c r="O142" s="11">
        <v>1852.8973000000001</v>
      </c>
    </row>
    <row r="143" spans="1:15" x14ac:dyDescent="0.3">
      <c r="A143" s="3" t="s">
        <v>75</v>
      </c>
      <c r="B143" s="4" t="s">
        <v>77</v>
      </c>
      <c r="C143" s="5">
        <v>268.39210000000003</v>
      </c>
      <c r="D143" s="5">
        <v>216.55269999999999</v>
      </c>
      <c r="E143" s="5">
        <v>246.15870000000001</v>
      </c>
      <c r="F143" s="5">
        <v>211.51410000000001</v>
      </c>
      <c r="G143" s="5">
        <v>243.0256</v>
      </c>
      <c r="H143" s="5">
        <v>223.25720000000001</v>
      </c>
      <c r="I143" s="5">
        <v>238.0138</v>
      </c>
      <c r="J143" s="5">
        <v>239.60579999999999</v>
      </c>
      <c r="K143" s="5">
        <v>219.7646</v>
      </c>
      <c r="L143" s="5">
        <v>267.68529999999998</v>
      </c>
      <c r="M143" s="5">
        <v>265.83589999999998</v>
      </c>
      <c r="N143" s="5">
        <v>326.83109999999999</v>
      </c>
      <c r="O143" s="11">
        <v>2966.6369</v>
      </c>
    </row>
    <row r="144" spans="1:15" x14ac:dyDescent="0.3">
      <c r="A144" s="7" t="s">
        <v>78</v>
      </c>
      <c r="B144" s="8" t="s">
        <v>79</v>
      </c>
      <c r="C144" s="9">
        <v>201.7567</v>
      </c>
      <c r="D144" s="9">
        <v>161.82749999999999</v>
      </c>
      <c r="E144" s="9">
        <v>183.74889999999999</v>
      </c>
      <c r="F144" s="9">
        <v>157.8075</v>
      </c>
      <c r="G144" s="9">
        <v>181.95259999999999</v>
      </c>
      <c r="H144" s="9">
        <v>167.13849999999999</v>
      </c>
      <c r="I144" s="9">
        <v>177.81780000000001</v>
      </c>
      <c r="J144" s="9">
        <v>177.976</v>
      </c>
      <c r="K144" s="9">
        <v>166.36160000000001</v>
      </c>
      <c r="L144" s="9">
        <v>201.42779999999999</v>
      </c>
      <c r="M144" s="9">
        <v>200.3212</v>
      </c>
      <c r="N144" s="9">
        <v>244.34870000000001</v>
      </c>
      <c r="O144" s="11">
        <v>2222.4848000000002</v>
      </c>
    </row>
    <row r="145" spans="1:15" x14ac:dyDescent="0.3">
      <c r="A145" s="3" t="s">
        <v>80</v>
      </c>
      <c r="B145" s="4" t="s">
        <v>82</v>
      </c>
      <c r="C145" s="5">
        <v>167.7818</v>
      </c>
      <c r="D145" s="5">
        <v>134.5307</v>
      </c>
      <c r="E145" s="5">
        <v>153.4066</v>
      </c>
      <c r="F145" s="5">
        <v>130.27889999999999</v>
      </c>
      <c r="G145" s="5">
        <v>152.6413</v>
      </c>
      <c r="H145" s="5">
        <v>139.51169999999999</v>
      </c>
      <c r="I145" s="5">
        <v>148.5838</v>
      </c>
      <c r="J145" s="5">
        <v>148.61750000000001</v>
      </c>
      <c r="K145" s="5">
        <v>138.59180000000001</v>
      </c>
      <c r="L145" s="5">
        <v>167.2362</v>
      </c>
      <c r="M145" s="5">
        <v>166.3468</v>
      </c>
      <c r="N145" s="5">
        <v>203.22739999999999</v>
      </c>
      <c r="O145" s="11">
        <v>1850.7545</v>
      </c>
    </row>
    <row r="146" spans="1:15" x14ac:dyDescent="0.3">
      <c r="A146" s="7" t="s">
        <v>83</v>
      </c>
      <c r="B146" s="8" t="s">
        <v>84</v>
      </c>
      <c r="C146" s="9">
        <v>111.47490000000001</v>
      </c>
      <c r="D146" s="9">
        <v>90.063999999999993</v>
      </c>
      <c r="E146" s="9">
        <v>102.357</v>
      </c>
      <c r="F146" s="9">
        <v>88.053100000000001</v>
      </c>
      <c r="G146" s="9">
        <v>101.96339999999999</v>
      </c>
      <c r="H146" s="9">
        <v>93.316100000000006</v>
      </c>
      <c r="I146" s="9">
        <v>99.794300000000007</v>
      </c>
      <c r="J146" s="9">
        <v>98.942999999999998</v>
      </c>
      <c r="K146" s="9">
        <v>92.476600000000005</v>
      </c>
      <c r="L146" s="9">
        <v>111.6071</v>
      </c>
      <c r="M146" s="9">
        <v>111.0746</v>
      </c>
      <c r="N146" s="9">
        <v>135.61859999999999</v>
      </c>
      <c r="O146" s="11">
        <v>1236.7427</v>
      </c>
    </row>
    <row r="147" spans="1:15" x14ac:dyDescent="0.3">
      <c r="A147" s="3" t="s">
        <v>85</v>
      </c>
      <c r="B147" s="4" t="s">
        <v>86</v>
      </c>
      <c r="C147" s="5">
        <v>134.35059999999999</v>
      </c>
      <c r="D147" s="5">
        <v>107.8657</v>
      </c>
      <c r="E147" s="5">
        <v>122.197</v>
      </c>
      <c r="F147" s="5">
        <v>105.2722</v>
      </c>
      <c r="G147" s="5">
        <v>122.11239999999999</v>
      </c>
      <c r="H147" s="5">
        <v>111.9627</v>
      </c>
      <c r="I147" s="5">
        <v>119.0003</v>
      </c>
      <c r="J147" s="5">
        <v>119.4183</v>
      </c>
      <c r="K147" s="5">
        <v>110.25579999999999</v>
      </c>
      <c r="L147" s="5">
        <v>133.5591</v>
      </c>
      <c r="M147" s="5">
        <v>133.26050000000001</v>
      </c>
      <c r="N147" s="5">
        <v>163.3972</v>
      </c>
      <c r="O147" s="11">
        <v>1482.6518000000001</v>
      </c>
    </row>
    <row r="148" spans="1:15" x14ac:dyDescent="0.3">
      <c r="A148" s="7" t="s">
        <v>87</v>
      </c>
      <c r="B148" s="8" t="s">
        <v>88</v>
      </c>
      <c r="C148" s="9">
        <v>134.12270000000001</v>
      </c>
      <c r="D148" s="9">
        <v>107.92140000000001</v>
      </c>
      <c r="E148" s="9">
        <v>122.813</v>
      </c>
      <c r="F148" s="9">
        <v>105.4543</v>
      </c>
      <c r="G148" s="9">
        <v>121.94880000000001</v>
      </c>
      <c r="H148" s="9">
        <v>111.9526</v>
      </c>
      <c r="I148" s="9">
        <v>118.6271</v>
      </c>
      <c r="J148" s="9">
        <v>118.6679</v>
      </c>
      <c r="K148" s="9">
        <v>110.17059999999999</v>
      </c>
      <c r="L148" s="9">
        <v>133.63470000000001</v>
      </c>
      <c r="M148" s="9">
        <v>133.43709999999999</v>
      </c>
      <c r="N148" s="9">
        <v>162.8631</v>
      </c>
      <c r="O148" s="11">
        <v>1481.6133</v>
      </c>
    </row>
    <row r="149" spans="1:15" x14ac:dyDescent="0.3">
      <c r="A149" s="3" t="s">
        <v>89</v>
      </c>
      <c r="B149" s="4" t="s">
        <v>90</v>
      </c>
      <c r="C149" s="5">
        <v>134.31299999999999</v>
      </c>
      <c r="D149" s="5">
        <v>108.60899999999999</v>
      </c>
      <c r="E149" s="5">
        <v>122.2787</v>
      </c>
      <c r="F149" s="5">
        <v>105.46510000000001</v>
      </c>
      <c r="G149" s="5">
        <v>121.7214</v>
      </c>
      <c r="H149" s="5">
        <v>111.5879</v>
      </c>
      <c r="I149" s="5">
        <v>118.7186</v>
      </c>
      <c r="J149" s="5">
        <v>119.0202</v>
      </c>
      <c r="K149" s="5">
        <v>110.9</v>
      </c>
      <c r="L149" s="5">
        <v>134.28630000000001</v>
      </c>
      <c r="M149" s="5">
        <v>133.09800000000001</v>
      </c>
      <c r="N149" s="5">
        <v>162.5241</v>
      </c>
      <c r="O149" s="11">
        <v>1482.5223000000001</v>
      </c>
    </row>
    <row r="150" spans="1:15" x14ac:dyDescent="0.3">
      <c r="A150" s="7" t="s">
        <v>91</v>
      </c>
      <c r="B150" s="8" t="s">
        <v>92</v>
      </c>
      <c r="C150" s="9">
        <v>167.87960000000001</v>
      </c>
      <c r="D150" s="9">
        <v>135.2594</v>
      </c>
      <c r="E150" s="9">
        <v>154.411</v>
      </c>
      <c r="F150" s="9">
        <v>132.38980000000001</v>
      </c>
      <c r="G150" s="9">
        <v>152.6678</v>
      </c>
      <c r="H150" s="9">
        <v>139.2653</v>
      </c>
      <c r="I150" s="9">
        <v>148.41730000000001</v>
      </c>
      <c r="J150" s="9">
        <v>148.76300000000001</v>
      </c>
      <c r="K150" s="9">
        <v>137.97620000000001</v>
      </c>
      <c r="L150" s="9">
        <v>167.00149999999999</v>
      </c>
      <c r="M150" s="9">
        <v>166.166</v>
      </c>
      <c r="N150" s="9">
        <v>203.28540000000001</v>
      </c>
      <c r="O150" s="11">
        <v>1853.4822999999999</v>
      </c>
    </row>
    <row r="151" spans="1:15" x14ac:dyDescent="0.3">
      <c r="A151" s="3" t="s">
        <v>93</v>
      </c>
      <c r="B151" s="4" t="s">
        <v>95</v>
      </c>
      <c r="C151" s="5">
        <v>134.28720000000001</v>
      </c>
      <c r="D151" s="5">
        <v>107.6314</v>
      </c>
      <c r="E151" s="5">
        <v>122.8948</v>
      </c>
      <c r="F151" s="5">
        <v>105.5372</v>
      </c>
      <c r="G151" s="5">
        <v>121.95099999999999</v>
      </c>
      <c r="H151" s="5">
        <v>111.9011</v>
      </c>
      <c r="I151" s="5">
        <v>118.7924</v>
      </c>
      <c r="J151" s="5">
        <v>118.72199999999999</v>
      </c>
      <c r="K151" s="5">
        <v>110.1846</v>
      </c>
      <c r="L151" s="5">
        <v>134.09360000000001</v>
      </c>
      <c r="M151" s="5">
        <v>133.2303</v>
      </c>
      <c r="N151" s="5">
        <v>163.16900000000001</v>
      </c>
      <c r="O151" s="11">
        <v>1482.3946000000001</v>
      </c>
    </row>
    <row r="152" spans="1:15" x14ac:dyDescent="0.3">
      <c r="A152" s="7" t="s">
        <v>96</v>
      </c>
      <c r="B152" s="8" t="s">
        <v>98</v>
      </c>
      <c r="C152" s="9">
        <v>201.50110000000001</v>
      </c>
      <c r="D152" s="9">
        <v>162.9435</v>
      </c>
      <c r="E152" s="9">
        <v>183.9315</v>
      </c>
      <c r="F152" s="9">
        <v>158.05019999999999</v>
      </c>
      <c r="G152" s="9">
        <v>183.1491</v>
      </c>
      <c r="H152" s="9">
        <v>167.90770000000001</v>
      </c>
      <c r="I152" s="9">
        <v>178.26490000000001</v>
      </c>
      <c r="J152" s="9">
        <v>178.31209999999999</v>
      </c>
      <c r="K152" s="9">
        <v>166.13200000000001</v>
      </c>
      <c r="L152" s="9">
        <v>201.03579999999999</v>
      </c>
      <c r="M152" s="9">
        <v>200.52600000000001</v>
      </c>
      <c r="N152" s="9">
        <v>244.67910000000001</v>
      </c>
      <c r="O152" s="11">
        <v>2226.433</v>
      </c>
    </row>
    <row r="153" spans="1:15" x14ac:dyDescent="0.3">
      <c r="A153" s="3" t="s">
        <v>99</v>
      </c>
      <c r="B153" s="4" t="s">
        <v>100</v>
      </c>
      <c r="C153" s="5">
        <v>200.70500000000001</v>
      </c>
      <c r="D153" s="5">
        <v>162.4282</v>
      </c>
      <c r="E153" s="5">
        <v>183.67179999999999</v>
      </c>
      <c r="F153" s="5">
        <v>158.00970000000001</v>
      </c>
      <c r="G153" s="5">
        <v>182.25659999999999</v>
      </c>
      <c r="H153" s="5">
        <v>167.0455</v>
      </c>
      <c r="I153" s="5">
        <v>178.45760000000001</v>
      </c>
      <c r="J153" s="5">
        <v>177.86580000000001</v>
      </c>
      <c r="K153" s="5">
        <v>164.9665</v>
      </c>
      <c r="L153" s="5">
        <v>199.90690000000001</v>
      </c>
      <c r="M153" s="5">
        <v>199.33150000000001</v>
      </c>
      <c r="N153" s="5">
        <v>244.2081</v>
      </c>
      <c r="O153" s="11">
        <v>2218.8532</v>
      </c>
    </row>
    <row r="154" spans="1:15" x14ac:dyDescent="0.3">
      <c r="A154" s="7" t="s">
        <v>101</v>
      </c>
      <c r="B154" s="8" t="s">
        <v>103</v>
      </c>
      <c r="C154" s="9">
        <v>535.78099999999995</v>
      </c>
      <c r="D154" s="9">
        <v>434.17829999999998</v>
      </c>
      <c r="E154" s="9">
        <v>491.1934</v>
      </c>
      <c r="F154" s="9">
        <v>420.25959999999998</v>
      </c>
      <c r="G154" s="9">
        <v>486.95159999999998</v>
      </c>
      <c r="H154" s="9">
        <v>449.65499999999997</v>
      </c>
      <c r="I154" s="9">
        <v>475.1832</v>
      </c>
      <c r="J154" s="9">
        <v>475.17849999999999</v>
      </c>
      <c r="K154" s="9">
        <v>441.7568</v>
      </c>
      <c r="L154" s="9">
        <v>535.36670000000004</v>
      </c>
      <c r="M154" s="9">
        <v>533.35500000000002</v>
      </c>
      <c r="N154" s="9">
        <v>653.31899999999996</v>
      </c>
      <c r="O154" s="11">
        <v>5932.1780999999992</v>
      </c>
    </row>
    <row r="155" spans="1:15" x14ac:dyDescent="0.3">
      <c r="A155" s="3" t="s">
        <v>104</v>
      </c>
      <c r="B155" s="4" t="s">
        <v>106</v>
      </c>
      <c r="C155" s="5">
        <v>402.67320000000001</v>
      </c>
      <c r="D155" s="5">
        <v>323.73860000000002</v>
      </c>
      <c r="E155" s="5">
        <v>367.95460000000003</v>
      </c>
      <c r="F155" s="5">
        <v>314.77730000000003</v>
      </c>
      <c r="G155" s="5">
        <v>366.31479999999999</v>
      </c>
      <c r="H155" s="5">
        <v>335.4366</v>
      </c>
      <c r="I155" s="5">
        <v>356.35169999999999</v>
      </c>
      <c r="J155" s="5">
        <v>356.09059999999999</v>
      </c>
      <c r="K155" s="5">
        <v>331.48779999999999</v>
      </c>
      <c r="L155" s="5">
        <v>401.6506</v>
      </c>
      <c r="M155" s="5">
        <v>399.47050000000002</v>
      </c>
      <c r="N155" s="5">
        <v>488.8449</v>
      </c>
      <c r="O155" s="11">
        <v>4444.7911999999997</v>
      </c>
    </row>
    <row r="156" spans="1:15" x14ac:dyDescent="0.3">
      <c r="A156" s="7" t="s">
        <v>107</v>
      </c>
      <c r="B156" s="8" t="s">
        <v>109</v>
      </c>
      <c r="C156" s="9">
        <v>134.1653</v>
      </c>
      <c r="D156" s="9">
        <v>107.2371</v>
      </c>
      <c r="E156" s="9">
        <v>122.04640000000001</v>
      </c>
      <c r="F156" s="9">
        <v>105.2473</v>
      </c>
      <c r="G156" s="9">
        <v>122.0658</v>
      </c>
      <c r="H156" s="9">
        <v>112.2133</v>
      </c>
      <c r="I156" s="9">
        <v>119.11579999999999</v>
      </c>
      <c r="J156" s="9">
        <v>118.8198</v>
      </c>
      <c r="K156" s="9">
        <v>110.71599999999999</v>
      </c>
      <c r="L156" s="9">
        <v>133.5248</v>
      </c>
      <c r="M156" s="9">
        <v>133.14420000000001</v>
      </c>
      <c r="N156" s="9">
        <v>162.75620000000001</v>
      </c>
      <c r="O156" s="11">
        <v>1481.0519999999999</v>
      </c>
    </row>
    <row r="157" spans="1:15" x14ac:dyDescent="0.3">
      <c r="A157" s="3" t="s">
        <v>110</v>
      </c>
      <c r="B157" s="4" t="s">
        <v>111</v>
      </c>
      <c r="C157" s="5">
        <v>245.0256</v>
      </c>
      <c r="D157" s="5">
        <v>197.71870000000001</v>
      </c>
      <c r="E157" s="5">
        <v>225.43600000000001</v>
      </c>
      <c r="F157" s="5">
        <v>193.9821</v>
      </c>
      <c r="G157" s="5">
        <v>223.3665</v>
      </c>
      <c r="H157" s="5">
        <v>204.55629999999999</v>
      </c>
      <c r="I157" s="5">
        <v>217.9717</v>
      </c>
      <c r="J157" s="5">
        <v>217.9298</v>
      </c>
      <c r="K157" s="5">
        <v>202.5864</v>
      </c>
      <c r="L157" s="5">
        <v>245.02090000000001</v>
      </c>
      <c r="M157" s="5">
        <v>244.28319999999999</v>
      </c>
      <c r="N157" s="5">
        <v>298.80489999999998</v>
      </c>
      <c r="O157" s="11">
        <v>2716.6821</v>
      </c>
    </row>
    <row r="158" spans="1:15" x14ac:dyDescent="0.3">
      <c r="A158" s="7" t="s">
        <v>112</v>
      </c>
      <c r="B158" s="8" t="s">
        <v>114</v>
      </c>
      <c r="C158" s="9">
        <v>89.718199999999996</v>
      </c>
      <c r="D158" s="9">
        <v>71.855800000000002</v>
      </c>
      <c r="E158" s="9">
        <v>81.962500000000006</v>
      </c>
      <c r="F158" s="9">
        <v>70.0608</v>
      </c>
      <c r="G158" s="9">
        <v>81.516900000000007</v>
      </c>
      <c r="H158" s="9">
        <v>74.565799999999996</v>
      </c>
      <c r="I158" s="9">
        <v>79.661299999999997</v>
      </c>
      <c r="J158" s="9">
        <v>79.351299999999995</v>
      </c>
      <c r="K158" s="9">
        <v>73.776399999999995</v>
      </c>
      <c r="L158" s="9">
        <v>88.909899999999993</v>
      </c>
      <c r="M158" s="9">
        <v>88.678200000000004</v>
      </c>
      <c r="N158" s="9">
        <v>108.5243</v>
      </c>
      <c r="O158" s="11">
        <v>988.58140000000003</v>
      </c>
    </row>
    <row r="159" spans="1:15" x14ac:dyDescent="0.3">
      <c r="A159" s="3" t="s">
        <v>115</v>
      </c>
      <c r="B159" s="4" t="s">
        <v>117</v>
      </c>
      <c r="C159" s="5">
        <v>100.4344</v>
      </c>
      <c r="D159" s="5">
        <v>81.156400000000005</v>
      </c>
      <c r="E159" s="5">
        <v>92.231899999999996</v>
      </c>
      <c r="F159" s="5">
        <v>78.484300000000005</v>
      </c>
      <c r="G159" s="5">
        <v>91.250500000000002</v>
      </c>
      <c r="H159" s="5">
        <v>83.913899999999998</v>
      </c>
      <c r="I159" s="5">
        <v>89.152500000000003</v>
      </c>
      <c r="J159" s="5">
        <v>89.01</v>
      </c>
      <c r="K159" s="5">
        <v>83.090599999999995</v>
      </c>
      <c r="L159" s="5">
        <v>100.5775</v>
      </c>
      <c r="M159" s="5">
        <v>100.04</v>
      </c>
      <c r="N159" s="5">
        <v>122.3484</v>
      </c>
      <c r="O159" s="11">
        <v>1111.6904</v>
      </c>
    </row>
    <row r="160" spans="1:15" x14ac:dyDescent="0.3">
      <c r="A160" s="7" t="s">
        <v>118</v>
      </c>
      <c r="B160" s="8" t="s">
        <v>120</v>
      </c>
      <c r="C160" s="9">
        <v>16.765699999999999</v>
      </c>
      <c r="D160" s="9">
        <v>13.4839</v>
      </c>
      <c r="E160" s="9">
        <v>15.313800000000001</v>
      </c>
      <c r="F160" s="9">
        <v>13.145799999999999</v>
      </c>
      <c r="G160" s="9">
        <v>15.1784</v>
      </c>
      <c r="H160" s="9">
        <v>13.9748</v>
      </c>
      <c r="I160" s="9">
        <v>14.833500000000001</v>
      </c>
      <c r="J160" s="9">
        <v>14.8504</v>
      </c>
      <c r="K160" s="9">
        <v>13.7668</v>
      </c>
      <c r="L160" s="9">
        <v>16.707699999999999</v>
      </c>
      <c r="M160" s="9">
        <v>16.604399999999998</v>
      </c>
      <c r="N160" s="9">
        <v>20.3127</v>
      </c>
      <c r="O160" s="11">
        <v>184.93790000000001</v>
      </c>
    </row>
    <row r="161" spans="1:15" x14ac:dyDescent="0.3">
      <c r="A161" s="3" t="s">
        <v>121</v>
      </c>
      <c r="B161" s="4" t="s">
        <v>122</v>
      </c>
      <c r="C161" s="5">
        <v>16.788499999999999</v>
      </c>
      <c r="D161" s="5">
        <v>13.5322</v>
      </c>
      <c r="E161" s="5">
        <v>15.2667</v>
      </c>
      <c r="F161" s="5">
        <v>13.1218</v>
      </c>
      <c r="G161" s="5">
        <v>15.189</v>
      </c>
      <c r="H161" s="5">
        <v>13.973800000000001</v>
      </c>
      <c r="I161" s="5">
        <v>14.907500000000001</v>
      </c>
      <c r="J161" s="5">
        <v>14.8696</v>
      </c>
      <c r="K161" s="5">
        <v>13.775600000000001</v>
      </c>
      <c r="L161" s="5">
        <v>16.716699999999999</v>
      </c>
      <c r="M161" s="5">
        <v>16.642800000000001</v>
      </c>
      <c r="N161" s="5">
        <v>20.329000000000001</v>
      </c>
      <c r="O161" s="11">
        <v>185.11320000000001</v>
      </c>
    </row>
    <row r="162" spans="1:15" x14ac:dyDescent="0.3">
      <c r="A162" s="7" t="s">
        <v>123</v>
      </c>
      <c r="B162" s="8" t="s">
        <v>125</v>
      </c>
      <c r="C162" s="9">
        <v>16.804200000000002</v>
      </c>
      <c r="D162" s="9">
        <v>13.5054</v>
      </c>
      <c r="E162" s="9">
        <v>15.338900000000001</v>
      </c>
      <c r="F162" s="9">
        <v>13.1981</v>
      </c>
      <c r="G162" s="9">
        <v>15.2699</v>
      </c>
      <c r="H162" s="9">
        <v>13.9832</v>
      </c>
      <c r="I162" s="9">
        <v>14.811199999999999</v>
      </c>
      <c r="J162" s="9">
        <v>14.851100000000001</v>
      </c>
      <c r="K162" s="9">
        <v>13.896699999999999</v>
      </c>
      <c r="L162" s="9">
        <v>16.816700000000001</v>
      </c>
      <c r="M162" s="9">
        <v>16.661000000000001</v>
      </c>
      <c r="N162" s="9">
        <v>20.3184</v>
      </c>
      <c r="O162" s="11">
        <v>185.45480000000001</v>
      </c>
    </row>
    <row r="163" spans="1:15" x14ac:dyDescent="0.3">
      <c r="A163" s="3" t="s">
        <v>126</v>
      </c>
      <c r="B163" s="4" t="s">
        <v>127</v>
      </c>
      <c r="C163" s="5">
        <v>28.0137</v>
      </c>
      <c r="D163" s="5">
        <v>22.597799999999999</v>
      </c>
      <c r="E163" s="5">
        <v>25.526599999999998</v>
      </c>
      <c r="F163" s="5">
        <v>22.0014</v>
      </c>
      <c r="G163" s="5">
        <v>25.411999999999999</v>
      </c>
      <c r="H163" s="5">
        <v>23.224399999999999</v>
      </c>
      <c r="I163" s="5">
        <v>24.754899999999999</v>
      </c>
      <c r="J163" s="5">
        <v>24.784600000000001</v>
      </c>
      <c r="K163" s="5">
        <v>22.974299999999999</v>
      </c>
      <c r="L163" s="5">
        <v>27.889700000000001</v>
      </c>
      <c r="M163" s="5">
        <v>27.630500000000001</v>
      </c>
      <c r="N163" s="5">
        <v>34.022599999999997</v>
      </c>
      <c r="O163" s="11">
        <v>308.83249999999998</v>
      </c>
    </row>
    <row r="164" spans="1:15" x14ac:dyDescent="0.3">
      <c r="A164" s="7" t="s">
        <v>128</v>
      </c>
      <c r="B164" s="8" t="s">
        <v>129</v>
      </c>
      <c r="C164" s="9">
        <v>16.756699999999999</v>
      </c>
      <c r="D164" s="9">
        <v>13.5084</v>
      </c>
      <c r="E164" s="9">
        <v>15.325200000000001</v>
      </c>
      <c r="F164" s="9">
        <v>13.1395</v>
      </c>
      <c r="G164" s="9">
        <v>15.2455</v>
      </c>
      <c r="H164" s="9">
        <v>14.037599999999999</v>
      </c>
      <c r="I164" s="9">
        <v>14.9002</v>
      </c>
      <c r="J164" s="9">
        <v>14.882099999999999</v>
      </c>
      <c r="K164" s="9">
        <v>13.779</v>
      </c>
      <c r="L164" s="9">
        <v>16.697500000000002</v>
      </c>
      <c r="M164" s="9">
        <v>16.635899999999999</v>
      </c>
      <c r="N164" s="9">
        <v>20.4008</v>
      </c>
      <c r="O164" s="11">
        <v>185.30840000000001</v>
      </c>
    </row>
    <row r="165" spans="1:15" x14ac:dyDescent="0.3">
      <c r="A165" s="3" t="s">
        <v>130</v>
      </c>
      <c r="B165" s="4" t="s">
        <v>131</v>
      </c>
      <c r="C165" s="5">
        <v>16.766300000000001</v>
      </c>
      <c r="D165" s="5">
        <v>13.509499999999999</v>
      </c>
      <c r="E165" s="5">
        <v>15.3666</v>
      </c>
      <c r="F165" s="5">
        <v>13.1196</v>
      </c>
      <c r="G165" s="5">
        <v>15.2826</v>
      </c>
      <c r="H165" s="5">
        <v>13.9922</v>
      </c>
      <c r="I165" s="5">
        <v>14.885999999999999</v>
      </c>
      <c r="J165" s="5">
        <v>14.925599999999999</v>
      </c>
      <c r="K165" s="5">
        <v>13.8302</v>
      </c>
      <c r="L165" s="5">
        <v>16.699400000000001</v>
      </c>
      <c r="M165" s="5">
        <v>16.715499999999999</v>
      </c>
      <c r="N165" s="5">
        <v>20.275400000000001</v>
      </c>
      <c r="O165" s="11">
        <v>185.3689</v>
      </c>
    </row>
    <row r="166" spans="1:15" x14ac:dyDescent="0.3">
      <c r="A166" s="7" t="s">
        <v>132</v>
      </c>
      <c r="B166" s="8" t="s">
        <v>133</v>
      </c>
      <c r="C166" s="9">
        <v>16.764099999999999</v>
      </c>
      <c r="D166" s="9">
        <v>13.527900000000001</v>
      </c>
      <c r="E166" s="9">
        <v>15.4359</v>
      </c>
      <c r="F166" s="9">
        <v>13.203799999999999</v>
      </c>
      <c r="G166" s="9">
        <v>15.2796</v>
      </c>
      <c r="H166" s="9">
        <v>13.959099999999999</v>
      </c>
      <c r="I166" s="9">
        <v>14.8246</v>
      </c>
      <c r="J166" s="9">
        <v>14.9023</v>
      </c>
      <c r="K166" s="9">
        <v>13.8415</v>
      </c>
      <c r="L166" s="9">
        <v>16.722999999999999</v>
      </c>
      <c r="M166" s="9">
        <v>16.591799999999999</v>
      </c>
      <c r="N166" s="9">
        <v>20.407</v>
      </c>
      <c r="O166" s="11">
        <v>185.4606</v>
      </c>
    </row>
    <row r="167" spans="1:15" x14ac:dyDescent="0.3">
      <c r="A167" s="3" t="s">
        <v>134</v>
      </c>
      <c r="B167" s="4" t="s">
        <v>135</v>
      </c>
      <c r="C167" s="5">
        <v>33.637599999999999</v>
      </c>
      <c r="D167" s="5">
        <v>27.0717</v>
      </c>
      <c r="E167" s="5">
        <v>30.574999999999999</v>
      </c>
      <c r="F167" s="5">
        <v>26.234100000000002</v>
      </c>
      <c r="G167" s="5">
        <v>30.424199999999999</v>
      </c>
      <c r="H167" s="5">
        <v>27.962700000000002</v>
      </c>
      <c r="I167" s="5">
        <v>29.5426</v>
      </c>
      <c r="J167" s="5">
        <v>29.722799999999999</v>
      </c>
      <c r="K167" s="5">
        <v>27.715599999999998</v>
      </c>
      <c r="L167" s="5">
        <v>33.5916</v>
      </c>
      <c r="M167" s="5">
        <v>33.395800000000001</v>
      </c>
      <c r="N167" s="5">
        <v>40.753999999999998</v>
      </c>
      <c r="O167" s="11">
        <v>370.6277</v>
      </c>
    </row>
    <row r="168" spans="1:15" x14ac:dyDescent="0.3">
      <c r="A168" s="7" t="s">
        <v>136</v>
      </c>
      <c r="B168" s="8" t="s">
        <v>137</v>
      </c>
      <c r="C168" s="9">
        <v>33.661200000000001</v>
      </c>
      <c r="D168" s="9">
        <v>26.856400000000001</v>
      </c>
      <c r="E168" s="9">
        <v>30.7544</v>
      </c>
      <c r="F168" s="9">
        <v>26.168299999999999</v>
      </c>
      <c r="G168" s="9">
        <v>30.430199999999999</v>
      </c>
      <c r="H168" s="9">
        <v>27.85</v>
      </c>
      <c r="I168" s="9">
        <v>29.6768</v>
      </c>
      <c r="J168" s="9">
        <v>29.828800000000001</v>
      </c>
      <c r="K168" s="9">
        <v>27.702400000000001</v>
      </c>
      <c r="L168" s="9">
        <v>33.500500000000002</v>
      </c>
      <c r="M168" s="9">
        <v>33.22</v>
      </c>
      <c r="N168" s="9">
        <v>40.681699999999999</v>
      </c>
      <c r="O168" s="11">
        <v>370.33069999999998</v>
      </c>
    </row>
    <row r="169" spans="1:15" x14ac:dyDescent="0.3">
      <c r="A169" s="3" t="s">
        <v>138</v>
      </c>
      <c r="B169" s="4" t="s">
        <v>139</v>
      </c>
      <c r="C169" s="5">
        <v>33.460299999999997</v>
      </c>
      <c r="D169" s="5">
        <v>27.172699999999999</v>
      </c>
      <c r="E169" s="5">
        <v>30.568899999999999</v>
      </c>
      <c r="F169" s="5">
        <v>26.234200000000001</v>
      </c>
      <c r="G169" s="5">
        <v>30.477799999999998</v>
      </c>
      <c r="H169" s="5">
        <v>27.849399999999999</v>
      </c>
      <c r="I169" s="5">
        <v>29.699000000000002</v>
      </c>
      <c r="J169" s="5">
        <v>29.850999999999999</v>
      </c>
      <c r="K169" s="5">
        <v>27.6096</v>
      </c>
      <c r="L169" s="5">
        <v>33.483899999999998</v>
      </c>
      <c r="M169" s="5">
        <v>33.264099999999999</v>
      </c>
      <c r="N169" s="5">
        <v>40.869</v>
      </c>
      <c r="O169" s="11">
        <v>370.53989999999999</v>
      </c>
    </row>
    <row r="170" spans="1:15" x14ac:dyDescent="0.3">
      <c r="A170" s="7" t="s">
        <v>140</v>
      </c>
      <c r="B170" s="8" t="s">
        <v>141</v>
      </c>
      <c r="C170" s="9">
        <v>16.700600000000001</v>
      </c>
      <c r="D170" s="9">
        <v>13.5124</v>
      </c>
      <c r="E170" s="9">
        <v>15.346399999999999</v>
      </c>
      <c r="F170" s="9">
        <v>13.1374</v>
      </c>
      <c r="G170" s="9">
        <v>15.308999999999999</v>
      </c>
      <c r="H170" s="9">
        <v>13.9369</v>
      </c>
      <c r="I170" s="9">
        <v>14.8591</v>
      </c>
      <c r="J170" s="9">
        <v>14.823</v>
      </c>
      <c r="K170" s="9">
        <v>13.8012</v>
      </c>
      <c r="L170" s="9">
        <v>16.7224</v>
      </c>
      <c r="M170" s="9">
        <v>16.638400000000001</v>
      </c>
      <c r="N170" s="9">
        <v>20.326899999999998</v>
      </c>
      <c r="O170" s="11">
        <v>185.11369999999999</v>
      </c>
    </row>
    <row r="171" spans="1:15" x14ac:dyDescent="0.3">
      <c r="A171" s="3" t="s">
        <v>142</v>
      </c>
      <c r="B171" s="4" t="s">
        <v>143</v>
      </c>
      <c r="C171" s="5">
        <v>33.596400000000003</v>
      </c>
      <c r="D171" s="5">
        <v>27.031500000000001</v>
      </c>
      <c r="E171" s="5">
        <v>30.759799999999998</v>
      </c>
      <c r="F171" s="5">
        <v>26.2911</v>
      </c>
      <c r="G171" s="5">
        <v>30.521999999999998</v>
      </c>
      <c r="H171" s="5">
        <v>27.966000000000001</v>
      </c>
      <c r="I171" s="5">
        <v>29.636700000000001</v>
      </c>
      <c r="J171" s="5">
        <v>29.7196</v>
      </c>
      <c r="K171" s="5">
        <v>27.4617</v>
      </c>
      <c r="L171" s="5">
        <v>33.4512</v>
      </c>
      <c r="M171" s="5">
        <v>33.367600000000003</v>
      </c>
      <c r="N171" s="5">
        <v>40.775799999999997</v>
      </c>
      <c r="O171" s="11">
        <v>370.57940000000002</v>
      </c>
    </row>
    <row r="172" spans="1:15" ht="18" customHeight="1" x14ac:dyDescent="0.3">
      <c r="A172" s="12" t="s">
        <v>158</v>
      </c>
      <c r="B172" s="12" t="s">
        <v>159</v>
      </c>
      <c r="C172" s="13">
        <v>11185.773300000001</v>
      </c>
      <c r="D172" s="13">
        <v>9010.5782999999992</v>
      </c>
      <c r="E172" s="13">
        <v>10233.174199999999</v>
      </c>
      <c r="F172" s="13">
        <v>8760.3714999999956</v>
      </c>
      <c r="G172" s="13">
        <v>10154.785700000009</v>
      </c>
      <c r="H172" s="13">
        <v>9321.6054999999978</v>
      </c>
      <c r="I172" s="13">
        <v>9913.2006999999976</v>
      </c>
      <c r="J172" s="13">
        <v>9905.4316000000017</v>
      </c>
      <c r="K172" s="13">
        <v>9208.6364000000012</v>
      </c>
      <c r="L172" s="13">
        <v>11160.638999999999</v>
      </c>
      <c r="M172" s="13">
        <v>11098.900100000001</v>
      </c>
      <c r="N172" s="13">
        <v>13570.1836</v>
      </c>
      <c r="O172" s="13">
        <v>123523.2798999997</v>
      </c>
    </row>
  </sheetData>
  <mergeCells count="4">
    <mergeCell ref="A117:O117"/>
    <mergeCell ref="A1:P1"/>
    <mergeCell ref="A60:O60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18" customWidth="1"/>
    <col min="8" max="8" width="26" customWidth="1"/>
  </cols>
  <sheetData>
    <row r="1" spans="1:8" ht="28.05" customHeight="1" x14ac:dyDescent="0.3">
      <c r="A1" s="40" t="s">
        <v>162</v>
      </c>
      <c r="B1" s="39"/>
      <c r="C1" s="39"/>
      <c r="D1" s="39"/>
      <c r="E1" s="39"/>
      <c r="F1" s="39"/>
      <c r="G1" s="39"/>
      <c r="H1" s="39"/>
    </row>
    <row r="2" spans="1:8" ht="18" customHeight="1" x14ac:dyDescent="0.3">
      <c r="A2" s="38" t="s">
        <v>163</v>
      </c>
      <c r="B2" s="39"/>
      <c r="C2" s="39"/>
      <c r="D2" s="39"/>
      <c r="E2" s="39"/>
      <c r="F2" s="39"/>
      <c r="G2" s="39"/>
      <c r="H2" s="39"/>
    </row>
    <row r="3" spans="1:8" ht="36" customHeight="1" x14ac:dyDescent="0.3">
      <c r="A3" s="1" t="s">
        <v>2</v>
      </c>
      <c r="B3" s="1" t="s">
        <v>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</row>
    <row r="4" spans="1:8" x14ac:dyDescent="0.3">
      <c r="A4" s="3" t="s">
        <v>14</v>
      </c>
      <c r="B4" s="3">
        <v>1</v>
      </c>
      <c r="C4" s="5">
        <v>53519.472999999998</v>
      </c>
      <c r="D4" s="5">
        <v>21.105799999999999</v>
      </c>
      <c r="E4" s="5">
        <v>11185.773300000001</v>
      </c>
      <c r="F4" s="6">
        <v>0.20900380128929891</v>
      </c>
      <c r="G4" s="5">
        <v>1726.434612903226</v>
      </c>
      <c r="H4" s="4" t="s">
        <v>170</v>
      </c>
    </row>
    <row r="5" spans="1:8" x14ac:dyDescent="0.3">
      <c r="A5" s="7" t="s">
        <v>144</v>
      </c>
      <c r="B5" s="7">
        <v>2</v>
      </c>
      <c r="C5" s="9">
        <v>43105.20930000001</v>
      </c>
      <c r="D5" s="9">
        <v>19.523099999999999</v>
      </c>
      <c r="E5" s="9">
        <v>9010.5782999999992</v>
      </c>
      <c r="F5" s="10">
        <v>0.2090368761995548</v>
      </c>
      <c r="G5" s="9">
        <v>1539.4717607142859</v>
      </c>
      <c r="H5" s="8" t="s">
        <v>170</v>
      </c>
    </row>
    <row r="6" spans="1:8" x14ac:dyDescent="0.3">
      <c r="A6" s="3" t="s">
        <v>145</v>
      </c>
      <c r="B6" s="3">
        <v>3</v>
      </c>
      <c r="C6" s="5">
        <v>48964.770500000013</v>
      </c>
      <c r="D6" s="5">
        <v>19.650099999999998</v>
      </c>
      <c r="E6" s="5">
        <v>10233.174199999999</v>
      </c>
      <c r="F6" s="6">
        <v>0.2089905476019743</v>
      </c>
      <c r="G6" s="5">
        <v>1748.741803571429</v>
      </c>
      <c r="H6" s="4" t="s">
        <v>170</v>
      </c>
    </row>
    <row r="7" spans="1:8" x14ac:dyDescent="0.3">
      <c r="A7" s="7" t="s">
        <v>146</v>
      </c>
      <c r="B7" s="7">
        <v>4</v>
      </c>
      <c r="C7" s="9">
        <v>41931.581899999997</v>
      </c>
      <c r="D7" s="9">
        <v>17.8659</v>
      </c>
      <c r="E7" s="9">
        <v>8760.3714999999956</v>
      </c>
      <c r="F7" s="10">
        <v>0.20892060597408549</v>
      </c>
      <c r="G7" s="9">
        <v>1352.631674193548</v>
      </c>
      <c r="H7" s="8" t="s">
        <v>170</v>
      </c>
    </row>
    <row r="8" spans="1:8" x14ac:dyDescent="0.3">
      <c r="A8" s="3" t="s">
        <v>147</v>
      </c>
      <c r="B8" s="3">
        <v>5</v>
      </c>
      <c r="C8" s="5">
        <v>48603.364299999987</v>
      </c>
      <c r="D8" s="5">
        <v>20.498699999999999</v>
      </c>
      <c r="E8" s="5">
        <v>10154.785700000009</v>
      </c>
      <c r="F8" s="6">
        <v>0.2089317446693707</v>
      </c>
      <c r="G8" s="5">
        <v>1620.1121433333331</v>
      </c>
      <c r="H8" s="4" t="s">
        <v>170</v>
      </c>
    </row>
    <row r="9" spans="1:8" x14ac:dyDescent="0.3">
      <c r="A9" s="7" t="s">
        <v>148</v>
      </c>
      <c r="B9" s="7">
        <v>6</v>
      </c>
      <c r="C9" s="9">
        <v>44620.381499999989</v>
      </c>
      <c r="D9" s="9">
        <v>18.6494</v>
      </c>
      <c r="E9" s="9">
        <v>9321.6054999999978</v>
      </c>
      <c r="F9" s="10">
        <v>0.20890913942544401</v>
      </c>
      <c r="G9" s="9">
        <v>1439.36714516129</v>
      </c>
      <c r="H9" s="8" t="s">
        <v>170</v>
      </c>
    </row>
    <row r="10" spans="1:8" x14ac:dyDescent="0.3">
      <c r="A10" s="3" t="s">
        <v>149</v>
      </c>
      <c r="B10" s="3">
        <v>7</v>
      </c>
      <c r="C10" s="5">
        <v>47447.722599999986</v>
      </c>
      <c r="D10" s="5">
        <v>18.965399999999999</v>
      </c>
      <c r="E10" s="5">
        <v>9913.2006999999976</v>
      </c>
      <c r="F10" s="6">
        <v>0.2089289044191133</v>
      </c>
      <c r="G10" s="5">
        <v>1581.5907533333329</v>
      </c>
      <c r="H10" s="4" t="s">
        <v>170</v>
      </c>
    </row>
    <row r="11" spans="1:8" x14ac:dyDescent="0.3">
      <c r="A11" s="7" t="s">
        <v>150</v>
      </c>
      <c r="B11" s="7">
        <v>8</v>
      </c>
      <c r="C11" s="9">
        <v>47439.259999999987</v>
      </c>
      <c r="D11" s="9">
        <v>19.185400000000001</v>
      </c>
      <c r="E11" s="9">
        <v>9905.4316000000017</v>
      </c>
      <c r="F11" s="10">
        <v>0.20880240543381171</v>
      </c>
      <c r="G11" s="9">
        <v>1530.2987096774191</v>
      </c>
      <c r="H11" s="8" t="s">
        <v>170</v>
      </c>
    </row>
    <row r="12" spans="1:8" x14ac:dyDescent="0.3">
      <c r="A12" s="3" t="s">
        <v>151</v>
      </c>
      <c r="B12" s="3">
        <v>9</v>
      </c>
      <c r="C12" s="5">
        <v>44082.804800000013</v>
      </c>
      <c r="D12" s="5">
        <v>18.707999999999998</v>
      </c>
      <c r="E12" s="5">
        <v>9208.6364000000012</v>
      </c>
      <c r="F12" s="6">
        <v>0.2088940674664149</v>
      </c>
      <c r="G12" s="5">
        <v>1422.025961290323</v>
      </c>
      <c r="H12" s="4" t="s">
        <v>170</v>
      </c>
    </row>
    <row r="13" spans="1:8" x14ac:dyDescent="0.3">
      <c r="A13" s="7" t="s">
        <v>152</v>
      </c>
      <c r="B13" s="7">
        <v>10</v>
      </c>
      <c r="C13" s="9">
        <v>53390.55999999999</v>
      </c>
      <c r="D13" s="9">
        <v>21.306899999999999</v>
      </c>
      <c r="E13" s="9">
        <v>11160.638999999999</v>
      </c>
      <c r="F13" s="10">
        <v>0.2090376838152663</v>
      </c>
      <c r="G13" s="9">
        <v>1779.6853333333329</v>
      </c>
      <c r="H13" s="8" t="s">
        <v>170</v>
      </c>
    </row>
    <row r="14" spans="1:8" x14ac:dyDescent="0.3">
      <c r="A14" s="3" t="s">
        <v>153</v>
      </c>
      <c r="B14" s="3">
        <v>11</v>
      </c>
      <c r="C14" s="5">
        <v>53105.214200000009</v>
      </c>
      <c r="D14" s="5">
        <v>21.9115</v>
      </c>
      <c r="E14" s="5">
        <v>11098.900100000001</v>
      </c>
      <c r="F14" s="6">
        <v>0.20899831150666931</v>
      </c>
      <c r="G14" s="5">
        <v>1713.071425806452</v>
      </c>
      <c r="H14" s="4" t="s">
        <v>170</v>
      </c>
    </row>
    <row r="15" spans="1:8" x14ac:dyDescent="0.3">
      <c r="A15" s="7" t="s">
        <v>154</v>
      </c>
      <c r="B15" s="7">
        <v>12</v>
      </c>
      <c r="C15" s="9">
        <v>64940.949000000022</v>
      </c>
      <c r="D15" s="9">
        <v>25.667400000000001</v>
      </c>
      <c r="E15" s="9">
        <v>13570.1836</v>
      </c>
      <c r="F15" s="10">
        <v>0.2089618924417011</v>
      </c>
      <c r="G15" s="9">
        <v>2094.869322580646</v>
      </c>
      <c r="H15" s="8" t="s">
        <v>170</v>
      </c>
    </row>
    <row r="16" spans="1:8" ht="18" customHeight="1" x14ac:dyDescent="0.3">
      <c r="A16" s="14" t="s">
        <v>157</v>
      </c>
      <c r="B16" s="14"/>
      <c r="C16" s="15">
        <v>591151.29110000038</v>
      </c>
      <c r="D16" s="15">
        <v>25.667400000000001</v>
      </c>
      <c r="E16" s="15">
        <v>123523.2798999997</v>
      </c>
      <c r="F16" s="16">
        <v>0.2089537513656623</v>
      </c>
      <c r="G16" s="14"/>
      <c r="H16" s="14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Mensual</vt:lpstr>
      <vt:lpstr>Pliegos Tarifarios (Huechuraba)</vt:lpstr>
      <vt:lpstr>Consumo por Local (Pivot)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Caceres</cp:lastModifiedBy>
  <dcterms:created xsi:type="dcterms:W3CDTF">2026-03-11T13:34:49Z</dcterms:created>
  <dcterms:modified xsi:type="dcterms:W3CDTF">2026-03-11T18:34:03Z</dcterms:modified>
</cp:coreProperties>
</file>